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codeName="ЭтаКнига"/>
  <mc:AlternateContent xmlns:mc="http://schemas.openxmlformats.org/markup-compatibility/2006">
    <mc:Choice Requires="x15">
      <x15ac:absPath xmlns:x15ac="http://schemas.microsoft.com/office/spreadsheetml/2010/11/ac" url="D:\Мои документы\JavaScript\Sonata\public\examples\work\"/>
    </mc:Choice>
  </mc:AlternateContent>
  <xr:revisionPtr revIDLastSave="0" documentId="13_ncr:1_{1786AF96-C46B-436D-A4A3-2485A18ED5C2}" xr6:coauthVersionLast="47" xr6:coauthVersionMax="47" xr10:uidLastSave="{00000000-0000-0000-0000-000000000000}"/>
  <bookViews>
    <workbookView xWindow="-120" yWindow="-120" windowWidth="38640" windowHeight="21120" tabRatio="876" activeTab="1" xr2:uid="{00000000-000D-0000-FFFF-FFFF00000000}"/>
  </bookViews>
  <sheets>
    <sheet name="Приклад" sheetId="68" r:id="rId1"/>
    <sheet name="Л_Загальна" sheetId="72" r:id="rId2"/>
    <sheet name="ЛЗ1" sheetId="38" r:id="rId3"/>
    <sheet name="ЛЗ2" sheetId="50" r:id="rId4"/>
    <sheet name="ЛЗ3" sheetId="51" r:id="rId5"/>
    <sheet name="ЛЗ4" sheetId="52" r:id="rId6"/>
    <sheet name="ЛЗ5" sheetId="53" r:id="rId7"/>
    <sheet name="ЛЗ6" sheetId="54" r:id="rId8"/>
    <sheet name="ЛЗ7" sheetId="56" r:id="rId9"/>
    <sheet name="ЛЗ8" sheetId="55" r:id="rId10"/>
    <sheet name="ЛЗ9" sheetId="57" r:id="rId11"/>
    <sheet name="ЛР1" sheetId="73" r:id="rId12"/>
    <sheet name="ЛР2" sheetId="60" r:id="rId13"/>
    <sheet name="ЛР3" sheetId="61" r:id="rId14"/>
    <sheet name="ЛР4" sheetId="62" r:id="rId15"/>
    <sheet name="ЛР5" sheetId="63" r:id="rId16"/>
    <sheet name="ЛР6" sheetId="64" r:id="rId17"/>
    <sheet name="ЛР7" sheetId="65" r:id="rId18"/>
    <sheet name="ЛР8" sheetId="66" r:id="rId19"/>
    <sheet name="ЛР9" sheetId="67" r:id="rId20"/>
  </sheets>
  <definedNames>
    <definedName name="A1048577" localSheetId="1">#REF!</definedName>
    <definedName name="A1048577" localSheetId="2">#REF!</definedName>
    <definedName name="A1048577" localSheetId="3">#REF!</definedName>
    <definedName name="A1048577" localSheetId="4">#REF!</definedName>
    <definedName name="A1048577" localSheetId="5">#REF!</definedName>
    <definedName name="A1048577" localSheetId="6">#REF!</definedName>
    <definedName name="A1048577" localSheetId="7">#REF!</definedName>
    <definedName name="A1048577" localSheetId="8">#REF!</definedName>
    <definedName name="A1048577" localSheetId="9">#REF!</definedName>
    <definedName name="A1048577" localSheetId="10">#REF!</definedName>
    <definedName name="A1048577" localSheetId="11">#REF!</definedName>
    <definedName name="A1048577" localSheetId="12">#REF!</definedName>
    <definedName name="A1048577" localSheetId="13">#REF!</definedName>
    <definedName name="A1048577" localSheetId="14">#REF!</definedName>
    <definedName name="A1048577" localSheetId="15">#REF!</definedName>
    <definedName name="A1048577" localSheetId="16">#REF!</definedName>
    <definedName name="A1048577" localSheetId="17">#REF!</definedName>
    <definedName name="A1048577" localSheetId="18">#REF!</definedName>
    <definedName name="A1048577" localSheetId="19">#REF!</definedName>
    <definedName name="A1048577" localSheetId="0">#REF!</definedName>
    <definedName name="A1048577">#REF!</definedName>
    <definedName name="_xlnm.Print_Area" localSheetId="1">Л_Загальна!$C$3:$Z$118</definedName>
    <definedName name="_xlnm.Print_Area" localSheetId="2">ЛЗ1!$C$3:$Z$118</definedName>
    <definedName name="_xlnm.Print_Area" localSheetId="3">ЛЗ2!$C$3:$Z$118</definedName>
    <definedName name="_xlnm.Print_Area" localSheetId="4">ЛЗ3!$C$3:$Z$118</definedName>
    <definedName name="_xlnm.Print_Area" localSheetId="5">ЛЗ4!$C$3:$Z$118</definedName>
    <definedName name="_xlnm.Print_Area" localSheetId="6">ЛЗ5!$C$3:$Z$118</definedName>
    <definedName name="_xlnm.Print_Area" localSheetId="7">ЛЗ6!$C$3:$Z$118</definedName>
    <definedName name="_xlnm.Print_Area" localSheetId="8">ЛЗ7!$C$3:$Z$118</definedName>
    <definedName name="_xlnm.Print_Area" localSheetId="9">ЛЗ8!$C$3:$Z$118</definedName>
    <definedName name="_xlnm.Print_Area" localSheetId="10">ЛЗ9!$C$3:$Z$118</definedName>
    <definedName name="_xlnm.Print_Area" localSheetId="11">ЛР1!$C$3:$AA$113</definedName>
    <definedName name="_xlnm.Print_Area" localSheetId="12">ЛР2!$C$3:$AA$113</definedName>
    <definedName name="_xlnm.Print_Area" localSheetId="13">ЛР3!$C$3:$AA$113</definedName>
    <definedName name="_xlnm.Print_Area" localSheetId="14">ЛР4!$C$3:$AA$113</definedName>
    <definedName name="_xlnm.Print_Area" localSheetId="15">ЛР5!$C$3:$AA$113</definedName>
    <definedName name="_xlnm.Print_Area" localSheetId="16">ЛР6!$C$3:$AA$113</definedName>
    <definedName name="_xlnm.Print_Area" localSheetId="17">ЛР7!$C$3:$AA$113</definedName>
    <definedName name="_xlnm.Print_Area" localSheetId="18">ЛР8!$C$3:$AA$113</definedName>
    <definedName name="_xlnm.Print_Area" localSheetId="19">ЛР9!$C$3:$AA$113</definedName>
    <definedName name="_xlnm.Print_Area" localSheetId="0">Приклад!$C$3:$U$36</definedName>
    <definedName name="Ф80" localSheetId="1">#REF!</definedName>
    <definedName name="Ф80" localSheetId="2">#REF!</definedName>
    <definedName name="Ф80" localSheetId="3">#REF!</definedName>
    <definedName name="Ф80" localSheetId="4">#REF!</definedName>
    <definedName name="Ф80" localSheetId="5">#REF!</definedName>
    <definedName name="Ф80" localSheetId="6">#REF!</definedName>
    <definedName name="Ф80" localSheetId="7">#REF!</definedName>
    <definedName name="Ф80" localSheetId="8">#REF!</definedName>
    <definedName name="Ф80" localSheetId="9">#REF!</definedName>
    <definedName name="Ф80" localSheetId="10">#REF!</definedName>
    <definedName name="Ф80" localSheetId="11">#REF!</definedName>
    <definedName name="Ф80" localSheetId="12">#REF!</definedName>
    <definedName name="Ф80" localSheetId="13">#REF!</definedName>
    <definedName name="Ф80" localSheetId="14">#REF!</definedName>
    <definedName name="Ф80" localSheetId="15">#REF!</definedName>
    <definedName name="Ф80" localSheetId="16">#REF!</definedName>
    <definedName name="Ф80" localSheetId="17">#REF!</definedName>
    <definedName name="Ф80" localSheetId="18">#REF!</definedName>
    <definedName name="Ф80" localSheetId="19">#REF!</definedName>
    <definedName name="Ф80" localSheetId="0">#REF!</definedName>
    <definedName name="Ф80">#REF!</definedName>
  </definedNames>
  <calcPr calcId="191029" calcMode="autoNoTable"/>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 roundtripDataSignature="AMtx7mi/vqgVw2WeVD2CSZpRXBIyplAZAg=="/>
    </ext>
  </extLst>
</workbook>
</file>

<file path=xl/calcChain.xml><?xml version="1.0" encoding="utf-8"?>
<calcChain xmlns="http://schemas.openxmlformats.org/spreadsheetml/2006/main">
  <c r="F110" i="72" l="1"/>
  <c r="G110" i="72"/>
  <c r="H110" i="72"/>
  <c r="Z110" i="72" s="1"/>
  <c r="I110" i="72"/>
  <c r="J110" i="72"/>
  <c r="K110" i="72"/>
  <c r="L110" i="72"/>
  <c r="M110" i="72"/>
  <c r="N110" i="72"/>
  <c r="O110" i="72"/>
  <c r="P110" i="72"/>
  <c r="Q110" i="72"/>
  <c r="R110" i="72"/>
  <c r="S110" i="72"/>
  <c r="T110" i="72"/>
  <c r="U110" i="72"/>
  <c r="V110" i="72"/>
  <c r="W110" i="72"/>
  <c r="X110" i="72"/>
  <c r="Y110" i="72"/>
  <c r="F111" i="72"/>
  <c r="G111" i="72"/>
  <c r="F113" i="72" s="1"/>
  <c r="H111" i="72"/>
  <c r="I111" i="72"/>
  <c r="J111" i="72"/>
  <c r="K111" i="72"/>
  <c r="L111" i="72"/>
  <c r="M111" i="72"/>
  <c r="N111" i="72"/>
  <c r="O111" i="72"/>
  <c r="P111" i="72"/>
  <c r="Q111" i="72"/>
  <c r="R111" i="72"/>
  <c r="S111" i="72"/>
  <c r="T111" i="72"/>
  <c r="U111" i="72"/>
  <c r="V111" i="72"/>
  <c r="W111" i="72"/>
  <c r="X111" i="72"/>
  <c r="Y111" i="72"/>
  <c r="F112" i="72"/>
  <c r="F114" i="72" s="1"/>
  <c r="G112" i="72"/>
  <c r="H112" i="72"/>
  <c r="I112" i="72"/>
  <c r="J112" i="72"/>
  <c r="K112" i="72"/>
  <c r="L112" i="72"/>
  <c r="M112" i="72"/>
  <c r="N112" i="72"/>
  <c r="O112" i="72"/>
  <c r="P112" i="72"/>
  <c r="Q112" i="72"/>
  <c r="R112" i="72"/>
  <c r="S112" i="72"/>
  <c r="T112" i="72"/>
  <c r="U112" i="72"/>
  <c r="V112" i="72"/>
  <c r="W112" i="72"/>
  <c r="X112" i="72"/>
  <c r="Y112" i="72"/>
  <c r="F115" i="72"/>
  <c r="F118" i="72" s="1"/>
  <c r="F116" i="72"/>
  <c r="C7" i="67"/>
  <c r="C6" i="67"/>
  <c r="C5" i="67"/>
  <c r="C7" i="66"/>
  <c r="C6" i="66"/>
  <c r="C5" i="66"/>
  <c r="C7" i="65"/>
  <c r="C6" i="65"/>
  <c r="C5" i="65"/>
  <c r="C7" i="64"/>
  <c r="C6" i="64"/>
  <c r="C5" i="64"/>
  <c r="C7" i="63"/>
  <c r="C6" i="63"/>
  <c r="C5" i="63"/>
  <c r="C7" i="62"/>
  <c r="C6" i="62"/>
  <c r="C5" i="62"/>
  <c r="C7" i="61"/>
  <c r="C6" i="61"/>
  <c r="C5" i="61"/>
  <c r="C7" i="60"/>
  <c r="C6" i="60"/>
  <c r="C5" i="60"/>
  <c r="C7" i="73"/>
  <c r="C6" i="73"/>
  <c r="C5" i="73"/>
  <c r="F112" i="73"/>
  <c r="AA26" i="73"/>
  <c r="AA42" i="73"/>
  <c r="AA58" i="73"/>
  <c r="AA64" i="73"/>
  <c r="AA71" i="73"/>
  <c r="AA74" i="73"/>
  <c r="AA80" i="73"/>
  <c r="AA89" i="73"/>
  <c r="AA90" i="73"/>
  <c r="AA95" i="73"/>
  <c r="AA106" i="73"/>
  <c r="Z10" i="73"/>
  <c r="AA10" i="73" s="1"/>
  <c r="Z109" i="73"/>
  <c r="AA109" i="73" s="1"/>
  <c r="Z108" i="73"/>
  <c r="AA108" i="73" s="1"/>
  <c r="Z107" i="73"/>
  <c r="AA107" i="73" s="1"/>
  <c r="Z106" i="73"/>
  <c r="Z105" i="73"/>
  <c r="AA105" i="73" s="1"/>
  <c r="Z104" i="73"/>
  <c r="AA104" i="73" s="1"/>
  <c r="Z103" i="73"/>
  <c r="AA103" i="73" s="1"/>
  <c r="Z102" i="73"/>
  <c r="AA102" i="73" s="1"/>
  <c r="Z101" i="73"/>
  <c r="AA101" i="73" s="1"/>
  <c r="Z100" i="73"/>
  <c r="AA100" i="73" s="1"/>
  <c r="Z99" i="73"/>
  <c r="AA99" i="73" s="1"/>
  <c r="Z98" i="73"/>
  <c r="AA98" i="73" s="1"/>
  <c r="Z97" i="73"/>
  <c r="AA97" i="73" s="1"/>
  <c r="Z96" i="73"/>
  <c r="AA96" i="73" s="1"/>
  <c r="Z95" i="73"/>
  <c r="Z94" i="73"/>
  <c r="AA94" i="73" s="1"/>
  <c r="Z93" i="73"/>
  <c r="AA93" i="73" s="1"/>
  <c r="Z92" i="73"/>
  <c r="AA92" i="73" s="1"/>
  <c r="Z91" i="73"/>
  <c r="AA91" i="73" s="1"/>
  <c r="Z90" i="73"/>
  <c r="Z89" i="73"/>
  <c r="Z88" i="73"/>
  <c r="AA88" i="73" s="1"/>
  <c r="Z87" i="73"/>
  <c r="AA87" i="73" s="1"/>
  <c r="Z86" i="73"/>
  <c r="AA86" i="73" s="1"/>
  <c r="Z85" i="73"/>
  <c r="AA85" i="73" s="1"/>
  <c r="Z84" i="73"/>
  <c r="AA84" i="73" s="1"/>
  <c r="Z83" i="73"/>
  <c r="AA83" i="73" s="1"/>
  <c r="Z82" i="73"/>
  <c r="AA82" i="73" s="1"/>
  <c r="Z81" i="73"/>
  <c r="AA81" i="73" s="1"/>
  <c r="Z80" i="73"/>
  <c r="Z79" i="73"/>
  <c r="AA79" i="73" s="1"/>
  <c r="Z78" i="73"/>
  <c r="AA78" i="73" s="1"/>
  <c r="Z77" i="73"/>
  <c r="AA77" i="73" s="1"/>
  <c r="Z76" i="73"/>
  <c r="AA76" i="73" s="1"/>
  <c r="Z75" i="73"/>
  <c r="AA75" i="73" s="1"/>
  <c r="Z74" i="73"/>
  <c r="Z73" i="73"/>
  <c r="AA73" i="73" s="1"/>
  <c r="Z72" i="73"/>
  <c r="AA72" i="73" s="1"/>
  <c r="Z71" i="73"/>
  <c r="Z70" i="73"/>
  <c r="AA70" i="73" s="1"/>
  <c r="Z69" i="73"/>
  <c r="AA69" i="73" s="1"/>
  <c r="Z68" i="73"/>
  <c r="AA68" i="73" s="1"/>
  <c r="Z67" i="73"/>
  <c r="AA67" i="73" s="1"/>
  <c r="Z66" i="73"/>
  <c r="AA66" i="73" s="1"/>
  <c r="Z65" i="73"/>
  <c r="AA65" i="73" s="1"/>
  <c r="Z64" i="73"/>
  <c r="Z63" i="73"/>
  <c r="AA63" i="73" s="1"/>
  <c r="Z62" i="73"/>
  <c r="AA62" i="73" s="1"/>
  <c r="Z61" i="73"/>
  <c r="AA61" i="73" s="1"/>
  <c r="Z60" i="73"/>
  <c r="AA60" i="73" s="1"/>
  <c r="Z59" i="73"/>
  <c r="AA59" i="73" s="1"/>
  <c r="Z58" i="73"/>
  <c r="Z57" i="73"/>
  <c r="AA57" i="73" s="1"/>
  <c r="Z56" i="73"/>
  <c r="AA56" i="73" s="1"/>
  <c r="Z55" i="73"/>
  <c r="AA55" i="73" s="1"/>
  <c r="Z54" i="73"/>
  <c r="AA54" i="73" s="1"/>
  <c r="Z53" i="73"/>
  <c r="AA53" i="73" s="1"/>
  <c r="Z52" i="73"/>
  <c r="AA52" i="73" s="1"/>
  <c r="Z51" i="73"/>
  <c r="AA51" i="73" s="1"/>
  <c r="Z50" i="73"/>
  <c r="AA50" i="73" s="1"/>
  <c r="Z49" i="73"/>
  <c r="AA49" i="73" s="1"/>
  <c r="Z48" i="73"/>
  <c r="AA48" i="73" s="1"/>
  <c r="Z47" i="73"/>
  <c r="AA47" i="73" s="1"/>
  <c r="Z46" i="73"/>
  <c r="AA46" i="73" s="1"/>
  <c r="Z45" i="73"/>
  <c r="AA45" i="73" s="1"/>
  <c r="Z44" i="73"/>
  <c r="AA44" i="73" s="1"/>
  <c r="Z43" i="73"/>
  <c r="AA43" i="73" s="1"/>
  <c r="Z42" i="73"/>
  <c r="Z41" i="73"/>
  <c r="AA41" i="73" s="1"/>
  <c r="Z40" i="73"/>
  <c r="AA40" i="73" s="1"/>
  <c r="Z39" i="73"/>
  <c r="AA39" i="73" s="1"/>
  <c r="Z38" i="73"/>
  <c r="AA38" i="73" s="1"/>
  <c r="Z37" i="73"/>
  <c r="AA37" i="73" s="1"/>
  <c r="Z36" i="73"/>
  <c r="AA36" i="73" s="1"/>
  <c r="Z35" i="73"/>
  <c r="AA35" i="73" s="1"/>
  <c r="Z34" i="73"/>
  <c r="AA34" i="73" s="1"/>
  <c r="Z33" i="73"/>
  <c r="AA33" i="73" s="1"/>
  <c r="Z32" i="73"/>
  <c r="AA32" i="73" s="1"/>
  <c r="Z31" i="73"/>
  <c r="AA31" i="73" s="1"/>
  <c r="Z30" i="73"/>
  <c r="AA30" i="73" s="1"/>
  <c r="Z29" i="73"/>
  <c r="AA29" i="73" s="1"/>
  <c r="Z28" i="73"/>
  <c r="AA28" i="73" s="1"/>
  <c r="Z27" i="73"/>
  <c r="AA27" i="73" s="1"/>
  <c r="Z26" i="73"/>
  <c r="Z25" i="73"/>
  <c r="AA25" i="73" s="1"/>
  <c r="Z24" i="73"/>
  <c r="AA24" i="73" s="1"/>
  <c r="Z23" i="73"/>
  <c r="AA23" i="73" s="1"/>
  <c r="Z22" i="73"/>
  <c r="AA22" i="73" s="1"/>
  <c r="Z21" i="73"/>
  <c r="AA21" i="73" s="1"/>
  <c r="Z20" i="73"/>
  <c r="AA20" i="73" s="1"/>
  <c r="Z19" i="73"/>
  <c r="AA19" i="73" s="1"/>
  <c r="Z18" i="73"/>
  <c r="AA18" i="73" s="1"/>
  <c r="Z17" i="73"/>
  <c r="AA17" i="73" s="1"/>
  <c r="Z16" i="73"/>
  <c r="AA16" i="73" s="1"/>
  <c r="Z15" i="73"/>
  <c r="AA15" i="73" s="1"/>
  <c r="Z14" i="73"/>
  <c r="AA14" i="73" s="1"/>
  <c r="Z13" i="73"/>
  <c r="AA13" i="73" s="1"/>
  <c r="Z12" i="73"/>
  <c r="AA12" i="73" s="1"/>
  <c r="Z11" i="73"/>
  <c r="AA11" i="73" s="1"/>
  <c r="F34" i="68"/>
  <c r="F33" i="68"/>
  <c r="F36" i="68" s="1"/>
  <c r="G28" i="68"/>
  <c r="H28" i="68"/>
  <c r="I28" i="68"/>
  <c r="J28" i="68"/>
  <c r="K28" i="68"/>
  <c r="L28" i="68"/>
  <c r="M28" i="68"/>
  <c r="N28" i="68"/>
  <c r="O28" i="68"/>
  <c r="P28" i="68"/>
  <c r="Q28" i="68"/>
  <c r="R28" i="68"/>
  <c r="S28" i="68"/>
  <c r="T28" i="68"/>
  <c r="G29" i="68"/>
  <c r="H29" i="68"/>
  <c r="I29" i="68"/>
  <c r="J29" i="68"/>
  <c r="K29" i="68"/>
  <c r="L29" i="68"/>
  <c r="M29" i="68"/>
  <c r="N29" i="68"/>
  <c r="O29" i="68"/>
  <c r="P29" i="68"/>
  <c r="Q29" i="68"/>
  <c r="R29" i="68"/>
  <c r="S29" i="68"/>
  <c r="T29" i="68"/>
  <c r="G30" i="68"/>
  <c r="H30" i="68"/>
  <c r="I30" i="68"/>
  <c r="J30" i="68"/>
  <c r="K30" i="68"/>
  <c r="L30" i="68"/>
  <c r="M30" i="68"/>
  <c r="N30" i="68"/>
  <c r="O30" i="68"/>
  <c r="P30" i="68"/>
  <c r="Q30" i="68"/>
  <c r="R30" i="68"/>
  <c r="S30" i="68"/>
  <c r="T30" i="68"/>
  <c r="F30" i="68"/>
  <c r="F32" i="68" s="1"/>
  <c r="F29" i="68"/>
  <c r="F31" i="68" s="1"/>
  <c r="F28" i="68"/>
  <c r="U11" i="68"/>
  <c r="U12" i="68"/>
  <c r="U13" i="68"/>
  <c r="U14" i="68"/>
  <c r="U15" i="68"/>
  <c r="U16" i="68"/>
  <c r="U17" i="68"/>
  <c r="U18" i="68"/>
  <c r="U19" i="68"/>
  <c r="U20" i="68"/>
  <c r="U21" i="68"/>
  <c r="U22" i="68"/>
  <c r="U23" i="68"/>
  <c r="U24" i="68"/>
  <c r="U25" i="68"/>
  <c r="U26" i="68"/>
  <c r="U27" i="68"/>
  <c r="U10" i="68"/>
  <c r="Z109" i="72" l="1"/>
  <c r="Z108" i="72"/>
  <c r="Z107" i="72"/>
  <c r="Z106" i="72"/>
  <c r="Z105" i="72"/>
  <c r="Z104" i="72"/>
  <c r="Z103" i="72"/>
  <c r="Z102" i="72"/>
  <c r="Z101" i="72"/>
  <c r="Z100" i="72"/>
  <c r="Z99" i="72"/>
  <c r="Z98" i="72"/>
  <c r="Z97" i="72"/>
  <c r="Z96" i="72"/>
  <c r="Z95" i="72"/>
  <c r="Z94" i="72"/>
  <c r="Z93" i="72"/>
  <c r="Z92" i="72"/>
  <c r="Z91" i="72"/>
  <c r="Z90" i="72"/>
  <c r="Z89" i="72"/>
  <c r="Z88" i="72"/>
  <c r="Z87" i="72"/>
  <c r="Z86" i="72"/>
  <c r="Z85" i="72"/>
  <c r="Z84" i="72"/>
  <c r="Z83" i="72"/>
  <c r="Z82" i="72"/>
  <c r="Z81" i="72"/>
  <c r="Z80" i="72"/>
  <c r="Z79" i="72"/>
  <c r="Z78" i="72"/>
  <c r="Z77" i="72"/>
  <c r="Z76" i="72"/>
  <c r="Z75" i="72"/>
  <c r="Z74" i="72"/>
  <c r="Z73" i="72"/>
  <c r="Z72" i="72"/>
  <c r="Z71" i="72"/>
  <c r="Z70" i="72"/>
  <c r="Z69" i="72"/>
  <c r="Z68" i="72"/>
  <c r="Z67" i="72"/>
  <c r="Z66" i="72"/>
  <c r="Z65" i="72"/>
  <c r="Z64" i="72"/>
  <c r="Z63" i="72"/>
  <c r="Z62" i="72"/>
  <c r="Z61" i="72"/>
  <c r="Z60" i="72"/>
  <c r="Z59" i="72"/>
  <c r="Z58" i="72"/>
  <c r="Z57" i="72"/>
  <c r="Z56" i="72"/>
  <c r="Z55" i="72"/>
  <c r="Z54" i="72"/>
  <c r="Z53" i="72"/>
  <c r="Z52" i="72"/>
  <c r="Z51" i="72"/>
  <c r="Z50" i="72"/>
  <c r="Z49" i="72"/>
  <c r="Z48" i="72"/>
  <c r="Z47" i="72"/>
  <c r="Z46" i="72"/>
  <c r="Z45" i="72"/>
  <c r="Z44" i="72"/>
  <c r="Z43" i="72"/>
  <c r="Z42" i="72"/>
  <c r="Z41" i="72"/>
  <c r="Z40" i="72"/>
  <c r="Z39" i="72"/>
  <c r="Z38" i="72"/>
  <c r="Z37" i="72"/>
  <c r="Z36" i="72"/>
  <c r="Z35" i="72"/>
  <c r="Z34" i="72"/>
  <c r="Z33" i="72"/>
  <c r="Z32" i="72"/>
  <c r="Z31" i="72"/>
  <c r="Z30" i="72"/>
  <c r="Z29" i="72"/>
  <c r="Z28" i="72"/>
  <c r="Z27" i="72"/>
  <c r="Z26" i="72"/>
  <c r="Z25" i="72"/>
  <c r="Z24" i="72"/>
  <c r="Z23" i="72"/>
  <c r="Z22" i="72"/>
  <c r="Z21" i="72"/>
  <c r="Z20" i="72"/>
  <c r="Z19" i="72"/>
  <c r="Z18" i="72"/>
  <c r="Z17" i="72"/>
  <c r="Z16" i="72"/>
  <c r="Z15" i="72"/>
  <c r="Z14" i="72"/>
  <c r="Z13" i="72"/>
  <c r="Z12" i="72"/>
  <c r="Z11" i="72"/>
  <c r="Z10" i="72"/>
  <c r="Z11" i="60"/>
  <c r="AA11" i="60" s="1"/>
  <c r="Z12" i="60"/>
  <c r="AA12" i="60" s="1"/>
  <c r="Z13" i="60"/>
  <c r="AA13" i="60" s="1"/>
  <c r="Z14" i="60"/>
  <c r="AA14" i="60" s="1"/>
  <c r="Z15" i="60"/>
  <c r="AA15" i="60" s="1"/>
  <c r="Z16" i="60"/>
  <c r="AA16" i="60" s="1"/>
  <c r="Z17" i="60"/>
  <c r="AA17" i="60" s="1"/>
  <c r="Z18" i="60"/>
  <c r="AA18" i="60"/>
  <c r="Z19" i="60"/>
  <c r="AA19" i="60" s="1"/>
  <c r="Z20" i="60"/>
  <c r="AA20" i="60" s="1"/>
  <c r="Z21" i="60"/>
  <c r="AA21" i="60" s="1"/>
  <c r="Z22" i="60"/>
  <c r="AA22" i="60" s="1"/>
  <c r="Z23" i="60"/>
  <c r="AA23" i="60" s="1"/>
  <c r="Z24" i="60"/>
  <c r="AA24" i="60" s="1"/>
  <c r="Z25" i="60"/>
  <c r="AA25" i="60" s="1"/>
  <c r="Z26" i="60"/>
  <c r="AA26" i="60" s="1"/>
  <c r="Z27" i="60"/>
  <c r="AA27" i="60" s="1"/>
  <c r="Z28" i="60"/>
  <c r="AA28" i="60"/>
  <c r="Z29" i="60"/>
  <c r="AA29" i="60" s="1"/>
  <c r="Z30" i="60"/>
  <c r="AA30" i="60" s="1"/>
  <c r="Z31" i="60"/>
  <c r="AA31" i="60" s="1"/>
  <c r="Z32" i="60"/>
  <c r="AA32" i="60" s="1"/>
  <c r="Z33" i="60"/>
  <c r="AA33" i="60" s="1"/>
  <c r="Z34" i="60"/>
  <c r="AA34" i="60" s="1"/>
  <c r="Z35" i="60"/>
  <c r="AA35" i="60" s="1"/>
  <c r="Z36" i="60"/>
  <c r="AA36" i="60" s="1"/>
  <c r="Z37" i="60"/>
  <c r="AA37" i="60" s="1"/>
  <c r="Z38" i="60"/>
  <c r="AA38" i="60" s="1"/>
  <c r="Z39" i="60"/>
  <c r="AA39" i="60" s="1"/>
  <c r="Z40" i="60"/>
  <c r="AA40" i="60" s="1"/>
  <c r="Z41" i="60"/>
  <c r="AA41" i="60" s="1"/>
  <c r="Z42" i="60"/>
  <c r="AA42" i="60" s="1"/>
  <c r="Z43" i="60"/>
  <c r="AA43" i="60" s="1"/>
  <c r="Z44" i="60"/>
  <c r="AA44" i="60"/>
  <c r="Z45" i="60"/>
  <c r="AA45" i="60" s="1"/>
  <c r="Z46" i="60"/>
  <c r="AA46" i="60" s="1"/>
  <c r="Z47" i="60"/>
  <c r="AA47" i="60" s="1"/>
  <c r="Z48" i="60"/>
  <c r="AA48" i="60" s="1"/>
  <c r="Z49" i="60"/>
  <c r="AA49" i="60" s="1"/>
  <c r="Z50" i="60"/>
  <c r="AA50" i="60" s="1"/>
  <c r="Z51" i="60"/>
  <c r="AA51" i="60" s="1"/>
  <c r="Z52" i="60"/>
  <c r="AA52" i="60" s="1"/>
  <c r="Z53" i="60"/>
  <c r="AA53" i="60" s="1"/>
  <c r="Z54" i="60"/>
  <c r="AA54" i="60" s="1"/>
  <c r="Z55" i="60"/>
  <c r="AA55" i="60" s="1"/>
  <c r="Z56" i="60"/>
  <c r="AA56" i="60" s="1"/>
  <c r="Z57" i="60"/>
  <c r="AA57" i="60" s="1"/>
  <c r="Z58" i="60"/>
  <c r="AA58" i="60" s="1"/>
  <c r="Z59" i="60"/>
  <c r="AA59" i="60" s="1"/>
  <c r="Z60" i="60"/>
  <c r="AA60" i="60"/>
  <c r="Z61" i="60"/>
  <c r="AA61" i="60" s="1"/>
  <c r="Z62" i="60"/>
  <c r="AA62" i="60" s="1"/>
  <c r="Z63" i="60"/>
  <c r="AA63" i="60" s="1"/>
  <c r="Z64" i="60"/>
  <c r="AA64" i="60" s="1"/>
  <c r="Z65" i="60"/>
  <c r="AA65" i="60" s="1"/>
  <c r="Z66" i="60"/>
  <c r="AA66" i="60" s="1"/>
  <c r="Z67" i="60"/>
  <c r="AA67" i="60" s="1"/>
  <c r="Z68" i="60"/>
  <c r="AA68" i="60"/>
  <c r="Z69" i="60"/>
  <c r="AA69" i="60" s="1"/>
  <c r="Z70" i="60"/>
  <c r="AA70" i="60" s="1"/>
  <c r="Z71" i="60"/>
  <c r="AA71" i="60" s="1"/>
  <c r="Z72" i="60"/>
  <c r="AA72" i="60" s="1"/>
  <c r="Z73" i="60"/>
  <c r="AA73" i="60" s="1"/>
  <c r="Z74" i="60"/>
  <c r="AA74" i="60" s="1"/>
  <c r="Z75" i="60"/>
  <c r="AA75" i="60" s="1"/>
  <c r="Z76" i="60"/>
  <c r="AA76" i="60"/>
  <c r="Z77" i="60"/>
  <c r="AA77" i="60" s="1"/>
  <c r="Z78" i="60"/>
  <c r="AA78" i="60" s="1"/>
  <c r="Z79" i="60"/>
  <c r="AA79" i="60" s="1"/>
  <c r="Z80" i="60"/>
  <c r="AA80" i="60" s="1"/>
  <c r="Z81" i="60"/>
  <c r="AA81" i="60" s="1"/>
  <c r="Z82" i="60"/>
  <c r="AA82" i="60" s="1"/>
  <c r="Z83" i="60"/>
  <c r="AA83" i="60" s="1"/>
  <c r="Z84" i="60"/>
  <c r="AA84" i="60" s="1"/>
  <c r="Z85" i="60"/>
  <c r="AA85" i="60" s="1"/>
  <c r="Z86" i="60"/>
  <c r="AA86" i="60" s="1"/>
  <c r="Z87" i="60"/>
  <c r="AA87" i="60" s="1"/>
  <c r="Z88" i="60"/>
  <c r="AA88" i="60" s="1"/>
  <c r="Z89" i="60"/>
  <c r="AA89" i="60" s="1"/>
  <c r="Z90" i="60"/>
  <c r="AA90" i="60" s="1"/>
  <c r="Z91" i="60"/>
  <c r="AA91" i="60" s="1"/>
  <c r="Z92" i="60"/>
  <c r="AA92" i="60" s="1"/>
  <c r="Z93" i="60"/>
  <c r="AA93" i="60" s="1"/>
  <c r="Z94" i="60"/>
  <c r="AA94" i="60" s="1"/>
  <c r="Z95" i="60"/>
  <c r="AA95" i="60" s="1"/>
  <c r="Z96" i="60"/>
  <c r="AA96" i="60" s="1"/>
  <c r="Z97" i="60"/>
  <c r="AA97" i="60" s="1"/>
  <c r="Z98" i="60"/>
  <c r="AA98" i="60" s="1"/>
  <c r="Z99" i="60"/>
  <c r="AA99" i="60" s="1"/>
  <c r="Z100" i="60"/>
  <c r="AA100" i="60"/>
  <c r="Z101" i="60"/>
  <c r="AA101" i="60" s="1"/>
  <c r="Z102" i="60"/>
  <c r="AA102" i="60" s="1"/>
  <c r="Z103" i="60"/>
  <c r="AA103" i="60" s="1"/>
  <c r="Z104" i="60"/>
  <c r="AA104" i="60" s="1"/>
  <c r="Z105" i="60"/>
  <c r="AA105" i="60" s="1"/>
  <c r="Z106" i="60"/>
  <c r="AA106" i="60" s="1"/>
  <c r="Z107" i="60"/>
  <c r="AA107" i="60" s="1"/>
  <c r="Z108" i="60"/>
  <c r="AA108" i="60" s="1"/>
  <c r="Z109" i="60"/>
  <c r="AA109" i="60" s="1"/>
  <c r="Z11" i="61"/>
  <c r="AA11" i="61" s="1"/>
  <c r="Z12" i="61"/>
  <c r="AA12" i="61" s="1"/>
  <c r="Z13" i="61"/>
  <c r="AA13" i="61" s="1"/>
  <c r="Z14" i="61"/>
  <c r="AA14" i="61" s="1"/>
  <c r="Z15" i="61"/>
  <c r="AA15" i="61" s="1"/>
  <c r="Z16" i="61"/>
  <c r="AA16" i="61" s="1"/>
  <c r="Z17" i="61"/>
  <c r="AA17" i="61" s="1"/>
  <c r="Z18" i="61"/>
  <c r="AA18" i="61" s="1"/>
  <c r="Z19" i="61"/>
  <c r="AA19" i="61" s="1"/>
  <c r="Z20" i="61"/>
  <c r="AA20" i="61" s="1"/>
  <c r="Z21" i="61"/>
  <c r="AA21" i="61" s="1"/>
  <c r="Z22" i="61"/>
  <c r="AA22" i="61" s="1"/>
  <c r="Z23" i="61"/>
  <c r="AA23" i="61" s="1"/>
  <c r="Z24" i="61"/>
  <c r="AA24" i="61" s="1"/>
  <c r="Z25" i="61"/>
  <c r="AA25" i="61"/>
  <c r="Z26" i="61"/>
  <c r="AA26" i="61" s="1"/>
  <c r="Z27" i="61"/>
  <c r="AA27" i="61" s="1"/>
  <c r="Z28" i="61"/>
  <c r="AA28" i="61" s="1"/>
  <c r="Z29" i="61"/>
  <c r="AA29" i="61" s="1"/>
  <c r="Z30" i="61"/>
  <c r="AA30" i="61" s="1"/>
  <c r="Z31" i="61"/>
  <c r="AA31" i="61" s="1"/>
  <c r="Z32" i="61"/>
  <c r="AA32" i="61" s="1"/>
  <c r="Z33" i="61"/>
  <c r="AA33" i="61" s="1"/>
  <c r="Z34" i="61"/>
  <c r="AA34" i="61" s="1"/>
  <c r="Z35" i="61"/>
  <c r="AA35" i="61" s="1"/>
  <c r="Z36" i="61"/>
  <c r="AA36" i="61" s="1"/>
  <c r="Z37" i="61"/>
  <c r="AA37" i="61" s="1"/>
  <c r="Z38" i="61"/>
  <c r="AA38" i="61" s="1"/>
  <c r="Z39" i="61"/>
  <c r="AA39" i="61" s="1"/>
  <c r="Z40" i="61"/>
  <c r="AA40" i="61" s="1"/>
  <c r="Z41" i="61"/>
  <c r="AA41" i="61"/>
  <c r="Z42" i="61"/>
  <c r="AA42" i="61" s="1"/>
  <c r="Z43" i="61"/>
  <c r="AA43" i="61" s="1"/>
  <c r="Z44" i="61"/>
  <c r="AA44" i="61" s="1"/>
  <c r="Z45" i="61"/>
  <c r="AA45" i="61" s="1"/>
  <c r="Z46" i="61"/>
  <c r="AA46" i="61" s="1"/>
  <c r="Z47" i="61"/>
  <c r="AA47" i="61" s="1"/>
  <c r="Z48" i="61"/>
  <c r="AA48" i="61" s="1"/>
  <c r="Z49" i="61"/>
  <c r="AA49" i="61"/>
  <c r="Z50" i="61"/>
  <c r="AA50" i="61" s="1"/>
  <c r="Z51" i="61"/>
  <c r="AA51" i="61" s="1"/>
  <c r="Z52" i="61"/>
  <c r="AA52" i="61" s="1"/>
  <c r="Z53" i="61"/>
  <c r="AA53" i="61" s="1"/>
  <c r="Z54" i="61"/>
  <c r="AA54" i="61" s="1"/>
  <c r="Z55" i="61"/>
  <c r="AA55" i="61" s="1"/>
  <c r="Z56" i="61"/>
  <c r="AA56" i="61" s="1"/>
  <c r="Z57" i="61"/>
  <c r="AA57" i="61" s="1"/>
  <c r="Z58" i="61"/>
  <c r="AA58" i="61" s="1"/>
  <c r="Z59" i="61"/>
  <c r="AA59" i="61" s="1"/>
  <c r="Z60" i="61"/>
  <c r="AA60" i="61" s="1"/>
  <c r="Z61" i="61"/>
  <c r="AA61" i="61" s="1"/>
  <c r="Z62" i="61"/>
  <c r="AA62" i="61" s="1"/>
  <c r="Z63" i="61"/>
  <c r="AA63" i="61" s="1"/>
  <c r="Z64" i="61"/>
  <c r="AA64" i="61" s="1"/>
  <c r="Z65" i="61"/>
  <c r="AA65" i="61" s="1"/>
  <c r="Z66" i="61"/>
  <c r="AA66" i="61" s="1"/>
  <c r="Z67" i="61"/>
  <c r="AA67" i="61" s="1"/>
  <c r="Z68" i="61"/>
  <c r="AA68" i="61" s="1"/>
  <c r="Z69" i="61"/>
  <c r="AA69" i="61" s="1"/>
  <c r="Z70" i="61"/>
  <c r="AA70" i="61" s="1"/>
  <c r="Z71" i="61"/>
  <c r="AA71" i="61" s="1"/>
  <c r="Z72" i="61"/>
  <c r="AA72" i="61" s="1"/>
  <c r="Z73" i="61"/>
  <c r="AA73" i="61"/>
  <c r="Z74" i="61"/>
  <c r="AA74" i="61" s="1"/>
  <c r="Z75" i="61"/>
  <c r="AA75" i="61" s="1"/>
  <c r="Z76" i="61"/>
  <c r="AA76" i="61" s="1"/>
  <c r="Z77" i="61"/>
  <c r="AA77" i="61" s="1"/>
  <c r="Z78" i="61"/>
  <c r="AA78" i="61" s="1"/>
  <c r="Z79" i="61"/>
  <c r="AA79" i="61" s="1"/>
  <c r="Z80" i="61"/>
  <c r="AA80" i="61" s="1"/>
  <c r="Z81" i="61"/>
  <c r="AA81" i="61" s="1"/>
  <c r="Z82" i="61"/>
  <c r="AA82" i="61" s="1"/>
  <c r="Z83" i="61"/>
  <c r="AA83" i="61" s="1"/>
  <c r="Z84" i="61"/>
  <c r="AA84" i="61" s="1"/>
  <c r="Z85" i="61"/>
  <c r="AA85" i="61" s="1"/>
  <c r="Z86" i="61"/>
  <c r="AA86" i="61" s="1"/>
  <c r="Z87" i="61"/>
  <c r="AA87" i="61" s="1"/>
  <c r="Z88" i="61"/>
  <c r="AA88" i="61" s="1"/>
  <c r="Z89" i="61"/>
  <c r="AA89" i="61"/>
  <c r="Z90" i="61"/>
  <c r="AA90" i="61" s="1"/>
  <c r="Z91" i="61"/>
  <c r="AA91" i="61" s="1"/>
  <c r="Z92" i="61"/>
  <c r="AA92" i="61" s="1"/>
  <c r="Z93" i="61"/>
  <c r="AA93" i="61" s="1"/>
  <c r="Z94" i="61"/>
  <c r="AA94" i="61" s="1"/>
  <c r="Z95" i="61"/>
  <c r="AA95" i="61" s="1"/>
  <c r="Z96" i="61"/>
  <c r="AA96" i="61" s="1"/>
  <c r="Z97" i="61"/>
  <c r="AA97" i="61" s="1"/>
  <c r="Z98" i="61"/>
  <c r="AA98" i="61" s="1"/>
  <c r="Z99" i="61"/>
  <c r="AA99" i="61" s="1"/>
  <c r="Z100" i="61"/>
  <c r="AA100" i="61" s="1"/>
  <c r="Z101" i="61"/>
  <c r="AA101" i="61" s="1"/>
  <c r="Z102" i="61"/>
  <c r="AA102" i="61" s="1"/>
  <c r="Z103" i="61"/>
  <c r="AA103" i="61" s="1"/>
  <c r="Z104" i="61"/>
  <c r="AA104" i="61" s="1"/>
  <c r="Z105" i="61"/>
  <c r="AA105" i="61" s="1"/>
  <c r="Z106" i="61"/>
  <c r="AA106" i="61" s="1"/>
  <c r="Z107" i="61"/>
  <c r="AA107" i="61" s="1"/>
  <c r="Z108" i="61"/>
  <c r="AA108" i="61" s="1"/>
  <c r="Z109" i="61"/>
  <c r="AA109" i="61" s="1"/>
  <c r="Z11" i="62"/>
  <c r="AA11" i="62" s="1"/>
  <c r="Z12" i="62"/>
  <c r="AA12" i="62" s="1"/>
  <c r="Z13" i="62"/>
  <c r="AA13" i="62" s="1"/>
  <c r="Z14" i="62"/>
  <c r="AA14" i="62" s="1"/>
  <c r="Z15" i="62"/>
  <c r="AA15" i="62" s="1"/>
  <c r="Z16" i="62"/>
  <c r="AA16" i="62" s="1"/>
  <c r="Z17" i="62"/>
  <c r="AA17" i="62" s="1"/>
  <c r="Z18" i="62"/>
  <c r="AA18" i="62" s="1"/>
  <c r="Z19" i="62"/>
  <c r="AA19" i="62" s="1"/>
  <c r="Z20" i="62"/>
  <c r="AA20" i="62" s="1"/>
  <c r="Z21" i="62"/>
  <c r="AA21" i="62" s="1"/>
  <c r="Z22" i="62"/>
  <c r="AA22" i="62" s="1"/>
  <c r="Z23" i="62"/>
  <c r="AA23" i="62" s="1"/>
  <c r="Z24" i="62"/>
  <c r="AA24" i="62"/>
  <c r="Z25" i="62"/>
  <c r="AA25" i="62" s="1"/>
  <c r="Z26" i="62"/>
  <c r="AA26" i="62" s="1"/>
  <c r="Z27" i="62"/>
  <c r="AA27" i="62" s="1"/>
  <c r="Z28" i="62"/>
  <c r="AA28" i="62" s="1"/>
  <c r="Z29" i="62"/>
  <c r="AA29" i="62" s="1"/>
  <c r="Z30" i="62"/>
  <c r="AA30" i="62" s="1"/>
  <c r="Z31" i="62"/>
  <c r="AA31" i="62" s="1"/>
  <c r="Z32" i="62"/>
  <c r="AA32" i="62" s="1"/>
  <c r="Z33" i="62"/>
  <c r="AA33" i="62" s="1"/>
  <c r="Z34" i="62"/>
  <c r="AA34" i="62" s="1"/>
  <c r="Z35" i="62"/>
  <c r="AA35" i="62" s="1"/>
  <c r="Z36" i="62"/>
  <c r="AA36" i="62" s="1"/>
  <c r="Z37" i="62"/>
  <c r="AA37" i="62" s="1"/>
  <c r="Z38" i="62"/>
  <c r="AA38" i="62" s="1"/>
  <c r="Z39" i="62"/>
  <c r="AA39" i="62" s="1"/>
  <c r="Z40" i="62"/>
  <c r="AA40" i="62"/>
  <c r="Z41" i="62"/>
  <c r="AA41" i="62" s="1"/>
  <c r="Z42" i="62"/>
  <c r="AA42" i="62" s="1"/>
  <c r="Z43" i="62"/>
  <c r="AA43" i="62" s="1"/>
  <c r="Z44" i="62"/>
  <c r="AA44" i="62" s="1"/>
  <c r="Z45" i="62"/>
  <c r="AA45" i="62" s="1"/>
  <c r="Z46" i="62"/>
  <c r="AA46" i="62" s="1"/>
  <c r="Z47" i="62"/>
  <c r="AA47" i="62" s="1"/>
  <c r="Z48" i="62"/>
  <c r="AA48" i="62" s="1"/>
  <c r="Z49" i="62"/>
  <c r="AA49" i="62" s="1"/>
  <c r="Z50" i="62"/>
  <c r="AA50" i="62" s="1"/>
  <c r="Z51" i="62"/>
  <c r="AA51" i="62" s="1"/>
  <c r="Z52" i="62"/>
  <c r="AA52" i="62" s="1"/>
  <c r="Z53" i="62"/>
  <c r="AA53" i="62" s="1"/>
  <c r="Z54" i="62"/>
  <c r="AA54" i="62" s="1"/>
  <c r="Z55" i="62"/>
  <c r="AA55" i="62" s="1"/>
  <c r="Z56" i="62"/>
  <c r="AA56" i="62" s="1"/>
  <c r="Z57" i="62"/>
  <c r="AA57" i="62" s="1"/>
  <c r="Z58" i="62"/>
  <c r="AA58" i="62" s="1"/>
  <c r="Z59" i="62"/>
  <c r="AA59" i="62" s="1"/>
  <c r="Z60" i="62"/>
  <c r="AA60" i="62" s="1"/>
  <c r="Z61" i="62"/>
  <c r="AA61" i="62" s="1"/>
  <c r="Z62" i="62"/>
  <c r="AA62" i="62" s="1"/>
  <c r="Z63" i="62"/>
  <c r="AA63" i="62" s="1"/>
  <c r="Z64" i="62"/>
  <c r="AA64" i="62" s="1"/>
  <c r="Z65" i="62"/>
  <c r="AA65" i="62" s="1"/>
  <c r="Z66" i="62"/>
  <c r="AA66" i="62" s="1"/>
  <c r="Z67" i="62"/>
  <c r="AA67" i="62" s="1"/>
  <c r="Z68" i="62"/>
  <c r="AA68" i="62" s="1"/>
  <c r="Z69" i="62"/>
  <c r="AA69" i="62" s="1"/>
  <c r="Z70" i="62"/>
  <c r="AA70" i="62" s="1"/>
  <c r="Z71" i="62"/>
  <c r="AA71" i="62" s="1"/>
  <c r="Z72" i="62"/>
  <c r="AA72" i="62"/>
  <c r="Z73" i="62"/>
  <c r="AA73" i="62" s="1"/>
  <c r="Z74" i="62"/>
  <c r="AA74" i="62" s="1"/>
  <c r="Z75" i="62"/>
  <c r="AA75" i="62" s="1"/>
  <c r="Z76" i="62"/>
  <c r="AA76" i="62" s="1"/>
  <c r="Z77" i="62"/>
  <c r="AA77" i="62" s="1"/>
  <c r="Z78" i="62"/>
  <c r="AA78" i="62" s="1"/>
  <c r="Z79" i="62"/>
  <c r="AA79" i="62" s="1"/>
  <c r="Z80" i="62"/>
  <c r="AA80" i="62" s="1"/>
  <c r="Z81" i="62"/>
  <c r="AA81" i="62" s="1"/>
  <c r="Z82" i="62"/>
  <c r="AA82" i="62" s="1"/>
  <c r="Z83" i="62"/>
  <c r="AA83" i="62" s="1"/>
  <c r="Z84" i="62"/>
  <c r="AA84" i="62" s="1"/>
  <c r="Z85" i="62"/>
  <c r="AA85" i="62" s="1"/>
  <c r="Z86" i="62"/>
  <c r="AA86" i="62" s="1"/>
  <c r="Z87" i="62"/>
  <c r="AA87" i="62" s="1"/>
  <c r="Z88" i="62"/>
  <c r="AA88" i="62" s="1"/>
  <c r="Z89" i="62"/>
  <c r="AA89" i="62" s="1"/>
  <c r="Z90" i="62"/>
  <c r="AA90" i="62" s="1"/>
  <c r="Z91" i="62"/>
  <c r="AA91" i="62" s="1"/>
  <c r="Z92" i="62"/>
  <c r="AA92" i="62" s="1"/>
  <c r="Z93" i="62"/>
  <c r="AA93" i="62" s="1"/>
  <c r="Z94" i="62"/>
  <c r="AA94" i="62" s="1"/>
  <c r="Z95" i="62"/>
  <c r="AA95" i="62" s="1"/>
  <c r="Z96" i="62"/>
  <c r="AA96" i="62" s="1"/>
  <c r="Z97" i="62"/>
  <c r="AA97" i="62" s="1"/>
  <c r="Z98" i="62"/>
  <c r="AA98" i="62" s="1"/>
  <c r="Z99" i="62"/>
  <c r="AA99" i="62" s="1"/>
  <c r="Z100" i="62"/>
  <c r="AA100" i="62" s="1"/>
  <c r="Z101" i="62"/>
  <c r="AA101" i="62" s="1"/>
  <c r="Z102" i="62"/>
  <c r="AA102" i="62" s="1"/>
  <c r="Z103" i="62"/>
  <c r="AA103" i="62" s="1"/>
  <c r="Z104" i="62"/>
  <c r="AA104" i="62"/>
  <c r="Z105" i="62"/>
  <c r="AA105" i="62" s="1"/>
  <c r="Z106" i="62"/>
  <c r="AA106" i="62" s="1"/>
  <c r="Z107" i="62"/>
  <c r="AA107" i="62" s="1"/>
  <c r="Z108" i="62"/>
  <c r="AA108" i="62" s="1"/>
  <c r="Z109" i="62"/>
  <c r="AA109" i="62" s="1"/>
  <c r="Z11" i="63"/>
  <c r="AA11" i="63" s="1"/>
  <c r="Z12" i="63"/>
  <c r="AA12" i="63" s="1"/>
  <c r="Z13" i="63"/>
  <c r="AA13" i="63" s="1"/>
  <c r="Z14" i="63"/>
  <c r="AA14" i="63" s="1"/>
  <c r="Z15" i="63"/>
  <c r="AA15" i="63" s="1"/>
  <c r="Z16" i="63"/>
  <c r="AA16" i="63" s="1"/>
  <c r="Z17" i="63"/>
  <c r="AA17" i="63" s="1"/>
  <c r="Z18" i="63"/>
  <c r="AA18" i="63" s="1"/>
  <c r="Z19" i="63"/>
  <c r="AA19" i="63" s="1"/>
  <c r="Z20" i="63"/>
  <c r="AA20" i="63" s="1"/>
  <c r="Z21" i="63"/>
  <c r="AA21" i="63" s="1"/>
  <c r="Z22" i="63"/>
  <c r="AA22" i="63" s="1"/>
  <c r="Z23" i="63"/>
  <c r="AA23" i="63" s="1"/>
  <c r="Z24" i="63"/>
  <c r="AA24" i="63" s="1"/>
  <c r="Z25" i="63"/>
  <c r="AA25" i="63" s="1"/>
  <c r="Z26" i="63"/>
  <c r="AA26" i="63" s="1"/>
  <c r="Z27" i="63"/>
  <c r="AA27" i="63" s="1"/>
  <c r="Z28" i="63"/>
  <c r="AA28" i="63" s="1"/>
  <c r="Z29" i="63"/>
  <c r="AA29" i="63" s="1"/>
  <c r="Z30" i="63"/>
  <c r="AA30" i="63" s="1"/>
  <c r="Z31" i="63"/>
  <c r="AA31" i="63" s="1"/>
  <c r="Z32" i="63"/>
  <c r="AA32" i="63" s="1"/>
  <c r="Z33" i="63"/>
  <c r="AA33" i="63" s="1"/>
  <c r="Z34" i="63"/>
  <c r="AA34" i="63" s="1"/>
  <c r="Z35" i="63"/>
  <c r="AA35" i="63" s="1"/>
  <c r="Z36" i="63"/>
  <c r="AA36" i="63" s="1"/>
  <c r="Z37" i="63"/>
  <c r="AA37" i="63" s="1"/>
  <c r="Z38" i="63"/>
  <c r="AA38" i="63" s="1"/>
  <c r="Z39" i="63"/>
  <c r="AA39" i="63" s="1"/>
  <c r="Z40" i="63"/>
  <c r="AA40" i="63" s="1"/>
  <c r="Z41" i="63"/>
  <c r="AA41" i="63" s="1"/>
  <c r="Z42" i="63"/>
  <c r="AA42" i="63" s="1"/>
  <c r="Z43" i="63"/>
  <c r="AA43" i="63" s="1"/>
  <c r="Z44" i="63"/>
  <c r="AA44" i="63" s="1"/>
  <c r="Z45" i="63"/>
  <c r="AA45" i="63" s="1"/>
  <c r="Z46" i="63"/>
  <c r="AA46" i="63" s="1"/>
  <c r="Z47" i="63"/>
  <c r="AA47" i="63" s="1"/>
  <c r="Z48" i="63"/>
  <c r="AA48" i="63" s="1"/>
  <c r="Z49" i="63"/>
  <c r="AA49" i="63" s="1"/>
  <c r="Z50" i="63"/>
  <c r="AA50" i="63" s="1"/>
  <c r="Z51" i="63"/>
  <c r="AA51" i="63" s="1"/>
  <c r="Z52" i="63"/>
  <c r="AA52" i="63" s="1"/>
  <c r="Z53" i="63"/>
  <c r="AA53" i="63" s="1"/>
  <c r="Z54" i="63"/>
  <c r="AA54" i="63" s="1"/>
  <c r="Z55" i="63"/>
  <c r="AA55" i="63" s="1"/>
  <c r="Z56" i="63"/>
  <c r="AA56" i="63" s="1"/>
  <c r="Z57" i="63"/>
  <c r="AA57" i="63"/>
  <c r="Z58" i="63"/>
  <c r="AA58" i="63" s="1"/>
  <c r="Z59" i="63"/>
  <c r="AA59" i="63" s="1"/>
  <c r="Z60" i="63"/>
  <c r="AA60" i="63" s="1"/>
  <c r="Z61" i="63"/>
  <c r="AA61" i="63" s="1"/>
  <c r="Z62" i="63"/>
  <c r="AA62" i="63" s="1"/>
  <c r="Z63" i="63"/>
  <c r="AA63" i="63" s="1"/>
  <c r="Z64" i="63"/>
  <c r="AA64" i="63" s="1"/>
  <c r="Z65" i="63"/>
  <c r="AA65" i="63"/>
  <c r="Z66" i="63"/>
  <c r="AA66" i="63" s="1"/>
  <c r="Z67" i="63"/>
  <c r="AA67" i="63" s="1"/>
  <c r="Z68" i="63"/>
  <c r="AA68" i="63" s="1"/>
  <c r="Z69" i="63"/>
  <c r="AA69" i="63" s="1"/>
  <c r="Z70" i="63"/>
  <c r="AA70" i="63" s="1"/>
  <c r="Z71" i="63"/>
  <c r="AA71" i="63" s="1"/>
  <c r="Z72" i="63"/>
  <c r="AA72" i="63" s="1"/>
  <c r="Z73" i="63"/>
  <c r="AA73" i="63" s="1"/>
  <c r="Z74" i="63"/>
  <c r="AA74" i="63" s="1"/>
  <c r="Z75" i="63"/>
  <c r="AA75" i="63" s="1"/>
  <c r="Z76" i="63"/>
  <c r="AA76" i="63" s="1"/>
  <c r="Z77" i="63"/>
  <c r="AA77" i="63" s="1"/>
  <c r="Z78" i="63"/>
  <c r="AA78" i="63" s="1"/>
  <c r="Z79" i="63"/>
  <c r="AA79" i="63" s="1"/>
  <c r="Z80" i="63"/>
  <c r="AA80" i="63" s="1"/>
  <c r="Z81" i="63"/>
  <c r="AA81" i="63" s="1"/>
  <c r="Z82" i="63"/>
  <c r="AA82" i="63" s="1"/>
  <c r="Z83" i="63"/>
  <c r="AA83" i="63" s="1"/>
  <c r="Z84" i="63"/>
  <c r="AA84" i="63" s="1"/>
  <c r="Z85" i="63"/>
  <c r="AA85" i="63" s="1"/>
  <c r="Z86" i="63"/>
  <c r="AA86" i="63" s="1"/>
  <c r="Z87" i="63"/>
  <c r="AA87" i="63" s="1"/>
  <c r="Z88" i="63"/>
  <c r="AA88" i="63" s="1"/>
  <c r="Z89" i="63"/>
  <c r="AA89" i="63" s="1"/>
  <c r="Z90" i="63"/>
  <c r="AA90" i="63" s="1"/>
  <c r="Z91" i="63"/>
  <c r="AA91" i="63" s="1"/>
  <c r="Z92" i="63"/>
  <c r="AA92" i="63" s="1"/>
  <c r="Z93" i="63"/>
  <c r="AA93" i="63"/>
  <c r="Z94" i="63"/>
  <c r="AA94" i="63" s="1"/>
  <c r="Z95" i="63"/>
  <c r="AA95" i="63" s="1"/>
  <c r="Z96" i="63"/>
  <c r="AA96" i="63" s="1"/>
  <c r="Z97" i="63"/>
  <c r="AA97" i="63" s="1"/>
  <c r="Z98" i="63"/>
  <c r="AA98" i="63" s="1"/>
  <c r="Z99" i="63"/>
  <c r="AA99" i="63" s="1"/>
  <c r="Z100" i="63"/>
  <c r="AA100" i="63" s="1"/>
  <c r="Z101" i="63"/>
  <c r="AA101" i="63" s="1"/>
  <c r="Z102" i="63"/>
  <c r="AA102" i="63" s="1"/>
  <c r="Z103" i="63"/>
  <c r="AA103" i="63" s="1"/>
  <c r="Z104" i="63"/>
  <c r="AA104" i="63" s="1"/>
  <c r="Z105" i="63"/>
  <c r="AA105" i="63"/>
  <c r="Z106" i="63"/>
  <c r="AA106" i="63" s="1"/>
  <c r="Z107" i="63"/>
  <c r="AA107" i="63" s="1"/>
  <c r="Z108" i="63"/>
  <c r="AA108" i="63" s="1"/>
  <c r="Z109" i="63"/>
  <c r="AA109" i="63" s="1"/>
  <c r="Z11" i="64"/>
  <c r="AA11" i="64" s="1"/>
  <c r="Z12" i="64"/>
  <c r="AA12" i="64" s="1"/>
  <c r="Z13" i="64"/>
  <c r="AA13" i="64" s="1"/>
  <c r="Z14" i="64"/>
  <c r="AA14" i="64" s="1"/>
  <c r="Z15" i="64"/>
  <c r="AA15" i="64" s="1"/>
  <c r="Z16" i="64"/>
  <c r="AA16" i="64" s="1"/>
  <c r="Z17" i="64"/>
  <c r="AA17" i="64" s="1"/>
  <c r="Z18" i="64"/>
  <c r="AA18" i="64" s="1"/>
  <c r="Z19" i="64"/>
  <c r="AA19" i="64" s="1"/>
  <c r="Z20" i="64"/>
  <c r="AA20" i="64" s="1"/>
  <c r="Z21" i="64"/>
  <c r="AA21" i="64" s="1"/>
  <c r="Z22" i="64"/>
  <c r="AA22" i="64" s="1"/>
  <c r="Z23" i="64"/>
  <c r="AA23" i="64" s="1"/>
  <c r="Z24" i="64"/>
  <c r="AA24" i="64" s="1"/>
  <c r="Z25" i="64"/>
  <c r="AA25" i="64" s="1"/>
  <c r="Z26" i="64"/>
  <c r="AA26" i="64" s="1"/>
  <c r="Z27" i="64"/>
  <c r="AA27" i="64" s="1"/>
  <c r="Z28" i="64"/>
  <c r="AA28" i="64" s="1"/>
  <c r="Z29" i="64"/>
  <c r="AA29" i="64" s="1"/>
  <c r="Z30" i="64"/>
  <c r="AA30" i="64"/>
  <c r="Z31" i="64"/>
  <c r="AA31" i="64" s="1"/>
  <c r="Z32" i="64"/>
  <c r="AA32" i="64" s="1"/>
  <c r="Z33" i="64"/>
  <c r="AA33" i="64" s="1"/>
  <c r="Z34" i="64"/>
  <c r="AA34" i="64" s="1"/>
  <c r="Z35" i="64"/>
  <c r="AA35" i="64" s="1"/>
  <c r="Z36" i="64"/>
  <c r="AA36" i="64" s="1"/>
  <c r="Z37" i="64"/>
  <c r="AA37" i="64" s="1"/>
  <c r="Z38" i="64"/>
  <c r="AA38" i="64" s="1"/>
  <c r="Z39" i="64"/>
  <c r="AA39" i="64" s="1"/>
  <c r="Z40" i="64"/>
  <c r="AA40" i="64" s="1"/>
  <c r="Z41" i="64"/>
  <c r="AA41" i="64" s="1"/>
  <c r="Z42" i="64"/>
  <c r="AA42" i="64" s="1"/>
  <c r="Z43" i="64"/>
  <c r="AA43" i="64" s="1"/>
  <c r="Z44" i="64"/>
  <c r="AA44" i="64" s="1"/>
  <c r="Z45" i="64"/>
  <c r="AA45" i="64" s="1"/>
  <c r="Z46" i="64"/>
  <c r="AA46" i="64" s="1"/>
  <c r="Z47" i="64"/>
  <c r="AA47" i="64" s="1"/>
  <c r="Z48" i="64"/>
  <c r="AA48" i="64" s="1"/>
  <c r="Z49" i="64"/>
  <c r="AA49" i="64" s="1"/>
  <c r="Z50" i="64"/>
  <c r="AA50" i="64" s="1"/>
  <c r="Z51" i="64"/>
  <c r="AA51" i="64" s="1"/>
  <c r="Z52" i="64"/>
  <c r="AA52" i="64" s="1"/>
  <c r="Z53" i="64"/>
  <c r="AA53" i="64" s="1"/>
  <c r="Z54" i="64"/>
  <c r="AA54" i="64"/>
  <c r="Z55" i="64"/>
  <c r="AA55" i="64"/>
  <c r="Z56" i="64"/>
  <c r="AA56" i="64" s="1"/>
  <c r="Z57" i="64"/>
  <c r="AA57" i="64" s="1"/>
  <c r="Z58" i="64"/>
  <c r="AA58" i="64" s="1"/>
  <c r="Z59" i="64"/>
  <c r="AA59" i="64" s="1"/>
  <c r="Z60" i="64"/>
  <c r="AA60" i="64"/>
  <c r="Z61" i="64"/>
  <c r="AA61" i="64" s="1"/>
  <c r="Z62" i="64"/>
  <c r="AA62" i="64" s="1"/>
  <c r="Z63" i="64"/>
  <c r="AA63" i="64"/>
  <c r="Z64" i="64"/>
  <c r="AA64" i="64" s="1"/>
  <c r="Z65" i="64"/>
  <c r="AA65" i="64" s="1"/>
  <c r="Z66" i="64"/>
  <c r="AA66" i="64" s="1"/>
  <c r="Z67" i="64"/>
  <c r="AA67" i="64"/>
  <c r="Z68" i="64"/>
  <c r="AA68" i="64" s="1"/>
  <c r="Z69" i="64"/>
  <c r="AA69" i="64" s="1"/>
  <c r="Z70" i="64"/>
  <c r="AA70" i="64" s="1"/>
  <c r="Z71" i="64"/>
  <c r="AA71" i="64" s="1"/>
  <c r="Z72" i="64"/>
  <c r="AA72" i="64" s="1"/>
  <c r="Z73" i="64"/>
  <c r="AA73" i="64"/>
  <c r="Z74" i="64"/>
  <c r="AA74" i="64" s="1"/>
  <c r="Z75" i="64"/>
  <c r="AA75" i="64" s="1"/>
  <c r="Z76" i="64"/>
  <c r="AA76" i="64" s="1"/>
  <c r="Z77" i="64"/>
  <c r="AA77" i="64" s="1"/>
  <c r="Z78" i="64"/>
  <c r="AA78" i="64" s="1"/>
  <c r="Z79" i="64"/>
  <c r="AA79" i="64" s="1"/>
  <c r="Z80" i="64"/>
  <c r="AA80" i="64" s="1"/>
  <c r="Z81" i="64"/>
  <c r="AA81" i="64" s="1"/>
  <c r="Z82" i="64"/>
  <c r="AA82" i="64" s="1"/>
  <c r="Z83" i="64"/>
  <c r="AA83" i="64" s="1"/>
  <c r="Z84" i="64"/>
  <c r="AA84" i="64" s="1"/>
  <c r="Z85" i="64"/>
  <c r="AA85" i="64"/>
  <c r="Z86" i="64"/>
  <c r="AA86" i="64" s="1"/>
  <c r="Z87" i="64"/>
  <c r="AA87" i="64" s="1"/>
  <c r="Z88" i="64"/>
  <c r="AA88" i="64" s="1"/>
  <c r="Z89" i="64"/>
  <c r="AA89" i="64" s="1"/>
  <c r="Z90" i="64"/>
  <c r="AA90" i="64" s="1"/>
  <c r="Z91" i="64"/>
  <c r="AA91" i="64" s="1"/>
  <c r="Z92" i="64"/>
  <c r="AA92" i="64" s="1"/>
  <c r="Z93" i="64"/>
  <c r="AA93" i="64" s="1"/>
  <c r="Z94" i="64"/>
  <c r="AA94" i="64" s="1"/>
  <c r="Z95" i="64"/>
  <c r="AA95" i="64" s="1"/>
  <c r="Z96" i="64"/>
  <c r="AA96" i="64" s="1"/>
  <c r="Z97" i="64"/>
  <c r="AA97" i="64" s="1"/>
  <c r="Z98" i="64"/>
  <c r="AA98" i="64" s="1"/>
  <c r="Z99" i="64"/>
  <c r="AA99" i="64" s="1"/>
  <c r="Z100" i="64"/>
  <c r="AA100" i="64" s="1"/>
  <c r="Z101" i="64"/>
  <c r="AA101" i="64"/>
  <c r="Z102" i="64"/>
  <c r="AA102" i="64" s="1"/>
  <c r="Z103" i="64"/>
  <c r="AA103" i="64" s="1"/>
  <c r="Z104" i="64"/>
  <c r="AA104" i="64" s="1"/>
  <c r="Z105" i="64"/>
  <c r="AA105" i="64" s="1"/>
  <c r="Z106" i="64"/>
  <c r="AA106" i="64" s="1"/>
  <c r="Z107" i="64"/>
  <c r="AA107" i="64"/>
  <c r="Z108" i="64"/>
  <c r="AA108" i="64" s="1"/>
  <c r="Z109" i="64"/>
  <c r="AA109" i="64" s="1"/>
  <c r="Z11" i="65"/>
  <c r="AA11" i="65" s="1"/>
  <c r="Z12" i="65"/>
  <c r="AA12" i="65" s="1"/>
  <c r="Z13" i="65"/>
  <c r="AA13" i="65" s="1"/>
  <c r="Z14" i="65"/>
  <c r="AA14" i="65" s="1"/>
  <c r="Z15" i="65"/>
  <c r="AA15" i="65" s="1"/>
  <c r="Z16" i="65"/>
  <c r="AA16" i="65" s="1"/>
  <c r="Z17" i="65"/>
  <c r="AA17" i="65" s="1"/>
  <c r="Z18" i="65"/>
  <c r="AA18" i="65" s="1"/>
  <c r="Z19" i="65"/>
  <c r="AA19" i="65" s="1"/>
  <c r="Z20" i="65"/>
  <c r="AA20" i="65"/>
  <c r="Z21" i="65"/>
  <c r="AA21" i="65" s="1"/>
  <c r="Z22" i="65"/>
  <c r="AA22" i="65"/>
  <c r="Z23" i="65"/>
  <c r="AA23" i="65" s="1"/>
  <c r="Z24" i="65"/>
  <c r="AA24" i="65" s="1"/>
  <c r="Z25" i="65"/>
  <c r="AA25" i="65" s="1"/>
  <c r="Z26" i="65"/>
  <c r="AA26" i="65" s="1"/>
  <c r="Z27" i="65"/>
  <c r="AA27" i="65" s="1"/>
  <c r="Z28" i="65"/>
  <c r="AA28" i="65"/>
  <c r="Z29" i="65"/>
  <c r="AA29" i="65" s="1"/>
  <c r="Z30" i="65"/>
  <c r="AA30" i="65" s="1"/>
  <c r="Z31" i="65"/>
  <c r="AA31" i="65" s="1"/>
  <c r="Z32" i="65"/>
  <c r="AA32" i="65" s="1"/>
  <c r="Z33" i="65"/>
  <c r="AA33" i="65" s="1"/>
  <c r="Z34" i="65"/>
  <c r="AA34" i="65" s="1"/>
  <c r="Z35" i="65"/>
  <c r="AA35" i="65" s="1"/>
  <c r="Z36" i="65"/>
  <c r="AA36" i="65"/>
  <c r="Z37" i="65"/>
  <c r="AA37" i="65" s="1"/>
  <c r="Z38" i="65"/>
  <c r="AA38" i="65" s="1"/>
  <c r="Z39" i="65"/>
  <c r="AA39" i="65" s="1"/>
  <c r="Z40" i="65"/>
  <c r="AA40" i="65" s="1"/>
  <c r="Z41" i="65"/>
  <c r="AA41" i="65" s="1"/>
  <c r="Z42" i="65"/>
  <c r="AA42" i="65" s="1"/>
  <c r="Z43" i="65"/>
  <c r="AA43" i="65" s="1"/>
  <c r="Z44" i="65"/>
  <c r="AA44" i="65" s="1"/>
  <c r="Z45" i="65"/>
  <c r="AA45" i="65" s="1"/>
  <c r="Z46" i="65"/>
  <c r="AA46" i="65" s="1"/>
  <c r="Z47" i="65"/>
  <c r="AA47" i="65" s="1"/>
  <c r="Z48" i="65"/>
  <c r="AA48" i="65" s="1"/>
  <c r="Z49" i="65"/>
  <c r="AA49" i="65" s="1"/>
  <c r="Z50" i="65"/>
  <c r="AA50" i="65" s="1"/>
  <c r="Z51" i="65"/>
  <c r="AA51" i="65" s="1"/>
  <c r="Z52" i="65"/>
  <c r="AA52" i="65"/>
  <c r="Z53" i="65"/>
  <c r="AA53" i="65" s="1"/>
  <c r="Z54" i="65"/>
  <c r="AA54" i="65" s="1"/>
  <c r="Z55" i="65"/>
  <c r="AA55" i="65" s="1"/>
  <c r="Z56" i="65"/>
  <c r="AA56" i="65" s="1"/>
  <c r="Z57" i="65"/>
  <c r="AA57" i="65" s="1"/>
  <c r="Z58" i="65"/>
  <c r="AA58" i="65" s="1"/>
  <c r="Z59" i="65"/>
  <c r="AA59" i="65" s="1"/>
  <c r="Z60" i="65"/>
  <c r="AA60" i="65" s="1"/>
  <c r="Z61" i="65"/>
  <c r="AA61" i="65" s="1"/>
  <c r="Z62" i="65"/>
  <c r="AA62" i="65" s="1"/>
  <c r="Z63" i="65"/>
  <c r="AA63" i="65" s="1"/>
  <c r="Z64" i="65"/>
  <c r="AA64" i="65" s="1"/>
  <c r="Z65" i="65"/>
  <c r="AA65" i="65" s="1"/>
  <c r="Z66" i="65"/>
  <c r="AA66" i="65" s="1"/>
  <c r="Z67" i="65"/>
  <c r="AA67" i="65" s="1"/>
  <c r="Z68" i="65"/>
  <c r="AA68" i="65"/>
  <c r="Z69" i="65"/>
  <c r="AA69" i="65" s="1"/>
  <c r="Z70" i="65"/>
  <c r="AA70" i="65" s="1"/>
  <c r="Z71" i="65"/>
  <c r="AA71" i="65" s="1"/>
  <c r="Z72" i="65"/>
  <c r="AA72" i="65" s="1"/>
  <c r="Z73" i="65"/>
  <c r="AA73" i="65" s="1"/>
  <c r="Z74" i="65"/>
  <c r="AA74" i="65" s="1"/>
  <c r="Z75" i="65"/>
  <c r="AA75" i="65" s="1"/>
  <c r="Z76" i="65"/>
  <c r="AA76" i="65" s="1"/>
  <c r="Z77" i="65"/>
  <c r="AA77" i="65" s="1"/>
  <c r="Z78" i="65"/>
  <c r="AA78" i="65" s="1"/>
  <c r="Z79" i="65"/>
  <c r="AA79" i="65" s="1"/>
  <c r="Z80" i="65"/>
  <c r="AA80" i="65" s="1"/>
  <c r="Z81" i="65"/>
  <c r="AA81" i="65" s="1"/>
  <c r="Z82" i="65"/>
  <c r="AA82" i="65" s="1"/>
  <c r="Z83" i="65"/>
  <c r="AA83" i="65" s="1"/>
  <c r="Z84" i="65"/>
  <c r="AA84" i="65"/>
  <c r="Z85" i="65"/>
  <c r="AA85" i="65" s="1"/>
  <c r="Z86" i="65"/>
  <c r="AA86" i="65"/>
  <c r="Z87" i="65"/>
  <c r="AA87" i="65" s="1"/>
  <c r="Z88" i="65"/>
  <c r="AA88" i="65" s="1"/>
  <c r="Z89" i="65"/>
  <c r="AA89" i="65" s="1"/>
  <c r="Z90" i="65"/>
  <c r="AA90" i="65" s="1"/>
  <c r="Z91" i="65"/>
  <c r="AA91" i="65" s="1"/>
  <c r="Z92" i="65"/>
  <c r="AA92" i="65"/>
  <c r="Z93" i="65"/>
  <c r="AA93" i="65" s="1"/>
  <c r="Z94" i="65"/>
  <c r="AA94" i="65" s="1"/>
  <c r="Z95" i="65"/>
  <c r="AA95" i="65" s="1"/>
  <c r="Z96" i="65"/>
  <c r="AA96" i="65" s="1"/>
  <c r="Z97" i="65"/>
  <c r="AA97" i="65" s="1"/>
  <c r="Z98" i="65"/>
  <c r="AA98" i="65" s="1"/>
  <c r="Z99" i="65"/>
  <c r="AA99" i="65" s="1"/>
  <c r="Z100" i="65"/>
  <c r="AA100" i="65"/>
  <c r="Z101" i="65"/>
  <c r="AA101" i="65" s="1"/>
  <c r="Z102" i="65"/>
  <c r="AA102" i="65" s="1"/>
  <c r="Z103" i="65"/>
  <c r="AA103" i="65" s="1"/>
  <c r="Z104" i="65"/>
  <c r="AA104" i="65" s="1"/>
  <c r="Z105" i="65"/>
  <c r="AA105" i="65" s="1"/>
  <c r="Z106" i="65"/>
  <c r="AA106" i="65" s="1"/>
  <c r="Z107" i="65"/>
  <c r="AA107" i="65" s="1"/>
  <c r="Z108" i="65"/>
  <c r="AA108" i="65"/>
  <c r="Z109" i="65"/>
  <c r="AA109" i="65" s="1"/>
  <c r="Z11" i="66"/>
  <c r="AA11" i="66" s="1"/>
  <c r="Z12" i="66"/>
  <c r="AA12" i="66" s="1"/>
  <c r="Z13" i="66"/>
  <c r="AA13" i="66" s="1"/>
  <c r="Z14" i="66"/>
  <c r="AA14" i="66" s="1"/>
  <c r="Z15" i="66"/>
  <c r="AA15" i="66" s="1"/>
  <c r="Z16" i="66"/>
  <c r="AA16" i="66" s="1"/>
  <c r="Z17" i="66"/>
  <c r="AA17" i="66"/>
  <c r="Z18" i="66"/>
  <c r="AA18" i="66" s="1"/>
  <c r="Z19" i="66"/>
  <c r="AA19" i="66" s="1"/>
  <c r="Z20" i="66"/>
  <c r="AA20" i="66" s="1"/>
  <c r="Z21" i="66"/>
  <c r="AA21" i="66" s="1"/>
  <c r="Z22" i="66"/>
  <c r="AA22" i="66" s="1"/>
  <c r="Z23" i="66"/>
  <c r="AA23" i="66" s="1"/>
  <c r="Z24" i="66"/>
  <c r="AA24" i="66" s="1"/>
  <c r="Z25" i="66"/>
  <c r="AA25" i="66" s="1"/>
  <c r="Z26" i="66"/>
  <c r="AA26" i="66" s="1"/>
  <c r="Z27" i="66"/>
  <c r="AA27" i="66" s="1"/>
  <c r="Z28" i="66"/>
  <c r="AA28" i="66" s="1"/>
  <c r="Z29" i="66"/>
  <c r="AA29" i="66" s="1"/>
  <c r="Z30" i="66"/>
  <c r="AA30" i="66" s="1"/>
  <c r="Z31" i="66"/>
  <c r="AA31" i="66" s="1"/>
  <c r="Z32" i="66"/>
  <c r="AA32" i="66" s="1"/>
  <c r="Z33" i="66"/>
  <c r="AA33" i="66"/>
  <c r="Z34" i="66"/>
  <c r="AA34" i="66" s="1"/>
  <c r="Z35" i="66"/>
  <c r="AA35" i="66" s="1"/>
  <c r="Z36" i="66"/>
  <c r="AA36" i="66" s="1"/>
  <c r="Z37" i="66"/>
  <c r="AA37" i="66" s="1"/>
  <c r="Z38" i="66"/>
  <c r="AA38" i="66" s="1"/>
  <c r="Z39" i="66"/>
  <c r="AA39" i="66" s="1"/>
  <c r="Z40" i="66"/>
  <c r="AA40" i="66" s="1"/>
  <c r="Z41" i="66"/>
  <c r="AA41" i="66" s="1"/>
  <c r="Z42" i="66"/>
  <c r="AA42" i="66" s="1"/>
  <c r="Z43" i="66"/>
  <c r="AA43" i="66" s="1"/>
  <c r="Z44" i="66"/>
  <c r="AA44" i="66" s="1"/>
  <c r="Z45" i="66"/>
  <c r="AA45" i="66" s="1"/>
  <c r="Z46" i="66"/>
  <c r="AA46" i="66" s="1"/>
  <c r="Z47" i="66"/>
  <c r="AA47" i="66" s="1"/>
  <c r="Z48" i="66"/>
  <c r="AA48" i="66" s="1"/>
  <c r="Z49" i="66"/>
  <c r="AA49" i="66"/>
  <c r="Z50" i="66"/>
  <c r="AA50" i="66" s="1"/>
  <c r="Z51" i="66"/>
  <c r="AA51" i="66" s="1"/>
  <c r="Z52" i="66"/>
  <c r="AA52" i="66" s="1"/>
  <c r="Z53" i="66"/>
  <c r="AA53" i="66" s="1"/>
  <c r="Z54" i="66"/>
  <c r="AA54" i="66" s="1"/>
  <c r="Z55" i="66"/>
  <c r="AA55" i="66" s="1"/>
  <c r="Z56" i="66"/>
  <c r="AA56" i="66" s="1"/>
  <c r="Z57" i="66"/>
  <c r="AA57" i="66" s="1"/>
  <c r="Z58" i="66"/>
  <c r="AA58" i="66" s="1"/>
  <c r="Z59" i="66"/>
  <c r="AA59" i="66" s="1"/>
  <c r="Z60" i="66"/>
  <c r="AA60" i="66" s="1"/>
  <c r="Z61" i="66"/>
  <c r="AA61" i="66" s="1"/>
  <c r="Z62" i="66"/>
  <c r="AA62" i="66" s="1"/>
  <c r="Z63" i="66"/>
  <c r="AA63" i="66" s="1"/>
  <c r="Z64" i="66"/>
  <c r="AA64" i="66" s="1"/>
  <c r="Z65" i="66"/>
  <c r="AA65" i="66" s="1"/>
  <c r="Z66" i="66"/>
  <c r="AA66" i="66" s="1"/>
  <c r="Z67" i="66"/>
  <c r="AA67" i="66" s="1"/>
  <c r="Z68" i="66"/>
  <c r="AA68" i="66" s="1"/>
  <c r="Z69" i="66"/>
  <c r="AA69" i="66" s="1"/>
  <c r="Z70" i="66"/>
  <c r="AA70" i="66" s="1"/>
  <c r="Z71" i="66"/>
  <c r="AA71" i="66" s="1"/>
  <c r="Z72" i="66"/>
  <c r="AA72" i="66" s="1"/>
  <c r="Z73" i="66"/>
  <c r="AA73" i="66"/>
  <c r="Z74" i="66"/>
  <c r="AA74" i="66" s="1"/>
  <c r="Z75" i="66"/>
  <c r="AA75" i="66"/>
  <c r="Z76" i="66"/>
  <c r="AA76" i="66" s="1"/>
  <c r="Z77" i="66"/>
  <c r="AA77" i="66" s="1"/>
  <c r="Z78" i="66"/>
  <c r="AA78" i="66" s="1"/>
  <c r="Z79" i="66"/>
  <c r="AA79" i="66" s="1"/>
  <c r="Z80" i="66"/>
  <c r="AA80" i="66" s="1"/>
  <c r="Z81" i="66"/>
  <c r="AA81" i="66" s="1"/>
  <c r="Z82" i="66"/>
  <c r="AA82" i="66" s="1"/>
  <c r="Z83" i="66"/>
  <c r="AA83" i="66" s="1"/>
  <c r="Z84" i="66"/>
  <c r="AA84" i="66" s="1"/>
  <c r="Z85" i="66"/>
  <c r="AA85" i="66" s="1"/>
  <c r="Z86" i="66"/>
  <c r="AA86" i="66" s="1"/>
  <c r="Z87" i="66"/>
  <c r="AA87" i="66" s="1"/>
  <c r="Z88" i="66"/>
  <c r="AA88" i="66" s="1"/>
  <c r="Z89" i="66"/>
  <c r="AA89" i="66" s="1"/>
  <c r="Z90" i="66"/>
  <c r="AA90" i="66" s="1"/>
  <c r="Z91" i="66"/>
  <c r="AA91" i="66" s="1"/>
  <c r="Z92" i="66"/>
  <c r="AA92" i="66" s="1"/>
  <c r="Z93" i="66"/>
  <c r="AA93" i="66" s="1"/>
  <c r="Z94" i="66"/>
  <c r="AA94" i="66" s="1"/>
  <c r="Z95" i="66"/>
  <c r="AA95" i="66" s="1"/>
  <c r="Z96" i="66"/>
  <c r="AA96" i="66" s="1"/>
  <c r="Z97" i="66"/>
  <c r="AA97" i="66" s="1"/>
  <c r="Z98" i="66"/>
  <c r="AA98" i="66" s="1"/>
  <c r="Z99" i="66"/>
  <c r="AA99" i="66" s="1"/>
  <c r="Z100" i="66"/>
  <c r="AA100" i="66" s="1"/>
  <c r="Z101" i="66"/>
  <c r="AA101" i="66" s="1"/>
  <c r="Z102" i="66"/>
  <c r="AA102" i="66" s="1"/>
  <c r="Z103" i="66"/>
  <c r="AA103" i="66" s="1"/>
  <c r="Z104" i="66"/>
  <c r="AA104" i="66" s="1"/>
  <c r="Z105" i="66"/>
  <c r="AA105" i="66" s="1"/>
  <c r="Z106" i="66"/>
  <c r="AA106" i="66" s="1"/>
  <c r="Z107" i="66"/>
  <c r="AA107" i="66" s="1"/>
  <c r="Z108" i="66"/>
  <c r="AA108" i="66" s="1"/>
  <c r="Z109" i="66"/>
  <c r="AA109" i="66" s="1"/>
  <c r="Z11" i="67"/>
  <c r="AA11" i="67" s="1"/>
  <c r="Z12" i="67"/>
  <c r="AA12" i="67" s="1"/>
  <c r="Z13" i="67"/>
  <c r="AA13" i="67" s="1"/>
  <c r="Z14" i="67"/>
  <c r="AA14" i="67"/>
  <c r="Z15" i="67"/>
  <c r="AA15" i="67" s="1"/>
  <c r="Z16" i="67"/>
  <c r="AA16" i="67" s="1"/>
  <c r="Z17" i="67"/>
  <c r="AA17" i="67" s="1"/>
  <c r="Z18" i="67"/>
  <c r="AA18" i="67" s="1"/>
  <c r="Z19" i="67"/>
  <c r="AA19" i="67" s="1"/>
  <c r="Z20" i="67"/>
  <c r="AA20" i="67" s="1"/>
  <c r="Z21" i="67"/>
  <c r="AA21" i="67" s="1"/>
  <c r="Z22" i="67"/>
  <c r="AA22" i="67"/>
  <c r="Z23" i="67"/>
  <c r="AA23" i="67" s="1"/>
  <c r="Z24" i="67"/>
  <c r="AA24" i="67" s="1"/>
  <c r="Z25" i="67"/>
  <c r="AA25" i="67" s="1"/>
  <c r="Z26" i="67"/>
  <c r="AA26" i="67" s="1"/>
  <c r="Z27" i="67"/>
  <c r="AA27" i="67" s="1"/>
  <c r="Z28" i="67"/>
  <c r="AA28" i="67" s="1"/>
  <c r="Z29" i="67"/>
  <c r="AA29" i="67" s="1"/>
  <c r="Z30" i="67"/>
  <c r="AA30" i="67" s="1"/>
  <c r="Z31" i="67"/>
  <c r="AA31" i="67" s="1"/>
  <c r="Z32" i="67"/>
  <c r="AA32" i="67" s="1"/>
  <c r="Z33" i="67"/>
  <c r="AA33" i="67" s="1"/>
  <c r="Z34" i="67"/>
  <c r="AA34" i="67" s="1"/>
  <c r="Z35" i="67"/>
  <c r="AA35" i="67" s="1"/>
  <c r="Z36" i="67"/>
  <c r="AA36" i="67" s="1"/>
  <c r="Z37" i="67"/>
  <c r="AA37" i="67" s="1"/>
  <c r="Z38" i="67"/>
  <c r="AA38" i="67" s="1"/>
  <c r="Z39" i="67"/>
  <c r="AA39" i="67" s="1"/>
  <c r="Z40" i="67"/>
  <c r="AA40" i="67"/>
  <c r="Z41" i="67"/>
  <c r="AA41" i="67" s="1"/>
  <c r="Z42" i="67"/>
  <c r="AA42" i="67" s="1"/>
  <c r="Z43" i="67"/>
  <c r="AA43" i="67" s="1"/>
  <c r="Z44" i="67"/>
  <c r="AA44" i="67" s="1"/>
  <c r="Z45" i="67"/>
  <c r="AA45" i="67" s="1"/>
  <c r="Z46" i="67"/>
  <c r="AA46" i="67"/>
  <c r="Z47" i="67"/>
  <c r="AA47" i="67" s="1"/>
  <c r="Z48" i="67"/>
  <c r="AA48" i="67" s="1"/>
  <c r="Z49" i="67"/>
  <c r="AA49" i="67" s="1"/>
  <c r="Z50" i="67"/>
  <c r="AA50" i="67" s="1"/>
  <c r="Z51" i="67"/>
  <c r="AA51" i="67" s="1"/>
  <c r="Z52" i="67"/>
  <c r="AA52" i="67" s="1"/>
  <c r="Z53" i="67"/>
  <c r="AA53" i="67" s="1"/>
  <c r="Z54" i="67"/>
  <c r="AA54" i="67" s="1"/>
  <c r="Z55" i="67"/>
  <c r="AA55" i="67" s="1"/>
  <c r="Z56" i="67"/>
  <c r="AA56" i="67" s="1"/>
  <c r="Z57" i="67"/>
  <c r="AA57" i="67" s="1"/>
  <c r="Z58" i="67"/>
  <c r="AA58" i="67" s="1"/>
  <c r="Z59" i="67"/>
  <c r="AA59" i="67" s="1"/>
  <c r="Z60" i="67"/>
  <c r="AA60" i="67" s="1"/>
  <c r="Z61" i="67"/>
  <c r="AA61" i="67" s="1"/>
  <c r="Z62" i="67"/>
  <c r="AA62" i="67"/>
  <c r="Z63" i="67"/>
  <c r="AA63" i="67" s="1"/>
  <c r="Z64" i="67"/>
  <c r="AA64" i="67" s="1"/>
  <c r="Z65" i="67"/>
  <c r="AA65" i="67" s="1"/>
  <c r="Z66" i="67"/>
  <c r="AA66" i="67" s="1"/>
  <c r="Z67" i="67"/>
  <c r="AA67" i="67" s="1"/>
  <c r="Z68" i="67"/>
  <c r="AA68" i="67" s="1"/>
  <c r="Z69" i="67"/>
  <c r="AA69" i="67" s="1"/>
  <c r="Z70" i="67"/>
  <c r="AA70" i="67" s="1"/>
  <c r="Z71" i="67"/>
  <c r="AA71" i="67" s="1"/>
  <c r="Z72" i="67"/>
  <c r="AA72" i="67" s="1"/>
  <c r="Z73" i="67"/>
  <c r="AA73" i="67" s="1"/>
  <c r="Z74" i="67"/>
  <c r="AA74" i="67" s="1"/>
  <c r="Z75" i="67"/>
  <c r="AA75" i="67" s="1"/>
  <c r="Z76" i="67"/>
  <c r="AA76" i="67" s="1"/>
  <c r="Z77" i="67"/>
  <c r="AA77" i="67" s="1"/>
  <c r="Z78" i="67"/>
  <c r="AA78" i="67"/>
  <c r="Z79" i="67"/>
  <c r="AA79" i="67" s="1"/>
  <c r="Z80" i="67"/>
  <c r="AA80" i="67" s="1"/>
  <c r="Z81" i="67"/>
  <c r="AA81" i="67" s="1"/>
  <c r="Z82" i="67"/>
  <c r="AA82" i="67" s="1"/>
  <c r="Z83" i="67"/>
  <c r="AA83" i="67" s="1"/>
  <c r="Z84" i="67"/>
  <c r="AA84" i="67" s="1"/>
  <c r="Z85" i="67"/>
  <c r="AA85" i="67" s="1"/>
  <c r="Z86" i="67"/>
  <c r="AA86" i="67"/>
  <c r="Z87" i="67"/>
  <c r="AA87" i="67" s="1"/>
  <c r="Z88" i="67"/>
  <c r="AA88" i="67" s="1"/>
  <c r="Z89" i="67"/>
  <c r="AA89" i="67" s="1"/>
  <c r="Z90" i="67"/>
  <c r="AA90" i="67" s="1"/>
  <c r="Z91" i="67"/>
  <c r="AA91" i="67" s="1"/>
  <c r="Z92" i="67"/>
  <c r="AA92" i="67" s="1"/>
  <c r="Z93" i="67"/>
  <c r="AA93" i="67" s="1"/>
  <c r="Z94" i="67"/>
  <c r="AA94" i="67" s="1"/>
  <c r="Z95" i="67"/>
  <c r="AA95" i="67" s="1"/>
  <c r="Z96" i="67"/>
  <c r="AA96" i="67" s="1"/>
  <c r="Z97" i="67"/>
  <c r="AA97" i="67" s="1"/>
  <c r="Z98" i="67"/>
  <c r="AA98" i="67" s="1"/>
  <c r="Z99" i="67"/>
  <c r="AA99" i="67" s="1"/>
  <c r="Z100" i="67"/>
  <c r="AA100" i="67" s="1"/>
  <c r="Z101" i="67"/>
  <c r="AA101" i="67" s="1"/>
  <c r="Z102" i="67"/>
  <c r="AA102" i="67"/>
  <c r="Z103" i="67"/>
  <c r="AA103" i="67" s="1"/>
  <c r="Z104" i="67"/>
  <c r="AA104" i="67" s="1"/>
  <c r="Z105" i="67"/>
  <c r="AA105" i="67" s="1"/>
  <c r="Z106" i="67"/>
  <c r="AA106" i="67" s="1"/>
  <c r="Z107" i="67"/>
  <c r="AA107" i="67" s="1"/>
  <c r="Z108" i="67"/>
  <c r="AA108" i="67" s="1"/>
  <c r="Z109" i="67"/>
  <c r="AA109" i="67" s="1"/>
  <c r="Z10" i="60"/>
  <c r="Z10" i="61"/>
  <c r="Z10" i="62"/>
  <c r="Z10" i="63"/>
  <c r="Z10" i="64"/>
  <c r="Z10" i="65"/>
  <c r="Z10" i="66"/>
  <c r="Z10" i="67"/>
  <c r="F118" i="50"/>
  <c r="F116" i="38"/>
  <c r="F111" i="73" s="1"/>
  <c r="F116" i="50"/>
  <c r="F116" i="51"/>
  <c r="F116" i="52"/>
  <c r="F116" i="53"/>
  <c r="F116" i="54"/>
  <c r="F116" i="56"/>
  <c r="F116" i="55"/>
  <c r="F116" i="57"/>
  <c r="F115" i="38"/>
  <c r="F110" i="73" s="1"/>
  <c r="F115" i="50"/>
  <c r="F115" i="51"/>
  <c r="F118" i="51" s="1"/>
  <c r="F115" i="52"/>
  <c r="F118" i="52" s="1"/>
  <c r="F115" i="53"/>
  <c r="F118" i="53" s="1"/>
  <c r="F115" i="54"/>
  <c r="F118" i="54" s="1"/>
  <c r="F115" i="56"/>
  <c r="F118" i="56" s="1"/>
  <c r="F115" i="55"/>
  <c r="F118" i="55" s="1"/>
  <c r="F115" i="57"/>
  <c r="F118" i="57" s="1"/>
  <c r="M112" i="38"/>
  <c r="M112" i="50"/>
  <c r="M112" i="51"/>
  <c r="M112" i="52"/>
  <c r="M112" i="53"/>
  <c r="M112" i="54"/>
  <c r="M112" i="56"/>
  <c r="M112" i="55"/>
  <c r="M112" i="57"/>
  <c r="G110" i="38"/>
  <c r="H110" i="38"/>
  <c r="I110" i="38"/>
  <c r="J110" i="38"/>
  <c r="K110" i="38"/>
  <c r="L110" i="38"/>
  <c r="M110" i="38"/>
  <c r="N110" i="38"/>
  <c r="O110" i="38"/>
  <c r="P110" i="38"/>
  <c r="Q110" i="38"/>
  <c r="R110" i="38"/>
  <c r="S110" i="38"/>
  <c r="T110" i="38"/>
  <c r="U110" i="38"/>
  <c r="V110" i="38"/>
  <c r="W110" i="38"/>
  <c r="X110" i="38"/>
  <c r="Y110" i="38"/>
  <c r="G111" i="38"/>
  <c r="H111" i="38"/>
  <c r="I111" i="38"/>
  <c r="J111" i="38"/>
  <c r="K111" i="38"/>
  <c r="L111" i="38"/>
  <c r="M111" i="38"/>
  <c r="N111" i="38"/>
  <c r="O111" i="38"/>
  <c r="P111" i="38"/>
  <c r="Q111" i="38"/>
  <c r="R111" i="38"/>
  <c r="S111" i="38"/>
  <c r="T111" i="38"/>
  <c r="U111" i="38"/>
  <c r="V111" i="38"/>
  <c r="W111" i="38"/>
  <c r="X111" i="38"/>
  <c r="Y111" i="38"/>
  <c r="G112" i="38"/>
  <c r="H112" i="38"/>
  <c r="I112" i="38"/>
  <c r="J112" i="38"/>
  <c r="K112" i="38"/>
  <c r="L112" i="38"/>
  <c r="N112" i="38"/>
  <c r="O112" i="38"/>
  <c r="P112" i="38"/>
  <c r="Q112" i="38"/>
  <c r="R112" i="38"/>
  <c r="S112" i="38"/>
  <c r="T112" i="38"/>
  <c r="U112" i="38"/>
  <c r="V112" i="38"/>
  <c r="W112" i="38"/>
  <c r="X112" i="38"/>
  <c r="Y112" i="38"/>
  <c r="G110" i="50"/>
  <c r="H110" i="50"/>
  <c r="I110" i="50"/>
  <c r="J110" i="50"/>
  <c r="K110" i="50"/>
  <c r="L110" i="50"/>
  <c r="M110" i="50"/>
  <c r="N110" i="50"/>
  <c r="O110" i="50"/>
  <c r="P110" i="50"/>
  <c r="Q110" i="50"/>
  <c r="R110" i="50"/>
  <c r="S110" i="50"/>
  <c r="T110" i="50"/>
  <c r="U110" i="50"/>
  <c r="V110" i="50"/>
  <c r="W110" i="50"/>
  <c r="X110" i="50"/>
  <c r="Y110" i="50"/>
  <c r="G111" i="50"/>
  <c r="H111" i="50"/>
  <c r="I111" i="50"/>
  <c r="J111" i="50"/>
  <c r="K111" i="50"/>
  <c r="L111" i="50"/>
  <c r="M111" i="50"/>
  <c r="N111" i="50"/>
  <c r="O111" i="50"/>
  <c r="P111" i="50"/>
  <c r="Q111" i="50"/>
  <c r="R111" i="50"/>
  <c r="S111" i="50"/>
  <c r="T111" i="50"/>
  <c r="U111" i="50"/>
  <c r="V111" i="50"/>
  <c r="W111" i="50"/>
  <c r="X111" i="50"/>
  <c r="Y111" i="50"/>
  <c r="G112" i="50"/>
  <c r="H112" i="50"/>
  <c r="I112" i="50"/>
  <c r="J112" i="50"/>
  <c r="K112" i="50"/>
  <c r="L112" i="50"/>
  <c r="N112" i="50"/>
  <c r="O112" i="50"/>
  <c r="P112" i="50"/>
  <c r="Q112" i="50"/>
  <c r="R112" i="50"/>
  <c r="S112" i="50"/>
  <c r="T112" i="50"/>
  <c r="U112" i="50"/>
  <c r="V112" i="50"/>
  <c r="W112" i="50"/>
  <c r="X112" i="50"/>
  <c r="Y112" i="50"/>
  <c r="G110" i="51"/>
  <c r="H110" i="51"/>
  <c r="I110" i="51"/>
  <c r="J110" i="51"/>
  <c r="K110" i="51"/>
  <c r="L110" i="51"/>
  <c r="M110" i="51"/>
  <c r="N110" i="51"/>
  <c r="O110" i="51"/>
  <c r="P110" i="51"/>
  <c r="Q110" i="51"/>
  <c r="R110" i="51"/>
  <c r="S110" i="51"/>
  <c r="T110" i="51"/>
  <c r="U110" i="51"/>
  <c r="V110" i="51"/>
  <c r="W110" i="51"/>
  <c r="X110" i="51"/>
  <c r="Y110" i="51"/>
  <c r="G111" i="51"/>
  <c r="H111" i="51"/>
  <c r="I111" i="51"/>
  <c r="J111" i="51"/>
  <c r="K111" i="51"/>
  <c r="L111" i="51"/>
  <c r="M111" i="51"/>
  <c r="N111" i="51"/>
  <c r="O111" i="51"/>
  <c r="P111" i="51"/>
  <c r="Q111" i="51"/>
  <c r="R111" i="51"/>
  <c r="S111" i="51"/>
  <c r="T111" i="51"/>
  <c r="U111" i="51"/>
  <c r="V111" i="51"/>
  <c r="W111" i="51"/>
  <c r="X111" i="51"/>
  <c r="Y111" i="51"/>
  <c r="G112" i="51"/>
  <c r="H112" i="51"/>
  <c r="I112" i="51"/>
  <c r="J112" i="51"/>
  <c r="K112" i="51"/>
  <c r="L112" i="51"/>
  <c r="N112" i="51"/>
  <c r="O112" i="51"/>
  <c r="P112" i="51"/>
  <c r="Q112" i="51"/>
  <c r="R112" i="51"/>
  <c r="S112" i="51"/>
  <c r="T112" i="51"/>
  <c r="U112" i="51"/>
  <c r="V112" i="51"/>
  <c r="W112" i="51"/>
  <c r="X112" i="51"/>
  <c r="Y112" i="51"/>
  <c r="G110" i="52"/>
  <c r="H110" i="52"/>
  <c r="I110" i="52"/>
  <c r="J110" i="52"/>
  <c r="K110" i="52"/>
  <c r="L110" i="52"/>
  <c r="M110" i="52"/>
  <c r="N110" i="52"/>
  <c r="O110" i="52"/>
  <c r="P110" i="52"/>
  <c r="Q110" i="52"/>
  <c r="R110" i="52"/>
  <c r="S110" i="52"/>
  <c r="T110" i="52"/>
  <c r="U110" i="52"/>
  <c r="V110" i="52"/>
  <c r="W110" i="52"/>
  <c r="X110" i="52"/>
  <c r="Y110" i="52"/>
  <c r="G111" i="52"/>
  <c r="H111" i="52"/>
  <c r="I111" i="52"/>
  <c r="J111" i="52"/>
  <c r="K111" i="52"/>
  <c r="L111" i="52"/>
  <c r="M111" i="52"/>
  <c r="N111" i="52"/>
  <c r="O111" i="52"/>
  <c r="P111" i="52"/>
  <c r="Q111" i="52"/>
  <c r="R111" i="52"/>
  <c r="S111" i="52"/>
  <c r="T111" i="52"/>
  <c r="U111" i="52"/>
  <c r="V111" i="52"/>
  <c r="W111" i="52"/>
  <c r="X111" i="52"/>
  <c r="Y111" i="52"/>
  <c r="G112" i="52"/>
  <c r="H112" i="52"/>
  <c r="I112" i="52"/>
  <c r="J112" i="52"/>
  <c r="K112" i="52"/>
  <c r="L112" i="52"/>
  <c r="N112" i="52"/>
  <c r="O112" i="52"/>
  <c r="P112" i="52"/>
  <c r="Q112" i="52"/>
  <c r="R112" i="52"/>
  <c r="S112" i="52"/>
  <c r="T112" i="52"/>
  <c r="U112" i="52"/>
  <c r="V112" i="52"/>
  <c r="W112" i="52"/>
  <c r="X112" i="52"/>
  <c r="Y112" i="52"/>
  <c r="G110" i="53"/>
  <c r="H110" i="53"/>
  <c r="I110" i="53"/>
  <c r="J110" i="53"/>
  <c r="K110" i="53"/>
  <c r="L110" i="53"/>
  <c r="M110" i="53"/>
  <c r="N110" i="53"/>
  <c r="O110" i="53"/>
  <c r="P110" i="53"/>
  <c r="Q110" i="53"/>
  <c r="R110" i="53"/>
  <c r="S110" i="53"/>
  <c r="T110" i="53"/>
  <c r="U110" i="53"/>
  <c r="V110" i="53"/>
  <c r="W110" i="53"/>
  <c r="X110" i="53"/>
  <c r="Y110" i="53"/>
  <c r="G111" i="53"/>
  <c r="H111" i="53"/>
  <c r="I111" i="53"/>
  <c r="J111" i="53"/>
  <c r="K111" i="53"/>
  <c r="L111" i="53"/>
  <c r="M111" i="53"/>
  <c r="N111" i="53"/>
  <c r="O111" i="53"/>
  <c r="P111" i="53"/>
  <c r="Q111" i="53"/>
  <c r="R111" i="53"/>
  <c r="S111" i="53"/>
  <c r="T111" i="53"/>
  <c r="U111" i="53"/>
  <c r="V111" i="53"/>
  <c r="W111" i="53"/>
  <c r="X111" i="53"/>
  <c r="Y111" i="53"/>
  <c r="G112" i="53"/>
  <c r="H112" i="53"/>
  <c r="I112" i="53"/>
  <c r="J112" i="53"/>
  <c r="K112" i="53"/>
  <c r="L112" i="53"/>
  <c r="N112" i="53"/>
  <c r="O112" i="53"/>
  <c r="P112" i="53"/>
  <c r="Q112" i="53"/>
  <c r="R112" i="53"/>
  <c r="S112" i="53"/>
  <c r="T112" i="53"/>
  <c r="U112" i="53"/>
  <c r="V112" i="53"/>
  <c r="W112" i="53"/>
  <c r="X112" i="53"/>
  <c r="Y112" i="53"/>
  <c r="G110" i="54"/>
  <c r="H110" i="54"/>
  <c r="I110" i="54"/>
  <c r="J110" i="54"/>
  <c r="K110" i="54"/>
  <c r="L110" i="54"/>
  <c r="M110" i="54"/>
  <c r="N110" i="54"/>
  <c r="O110" i="54"/>
  <c r="P110" i="54"/>
  <c r="Q110" i="54"/>
  <c r="R110" i="54"/>
  <c r="S110" i="54"/>
  <c r="T110" i="54"/>
  <c r="U110" i="54"/>
  <c r="V110" i="54"/>
  <c r="W110" i="54"/>
  <c r="X110" i="54"/>
  <c r="Y110" i="54"/>
  <c r="G111" i="54"/>
  <c r="H111" i="54"/>
  <c r="I111" i="54"/>
  <c r="J111" i="54"/>
  <c r="K111" i="54"/>
  <c r="L111" i="54"/>
  <c r="M111" i="54"/>
  <c r="N111" i="54"/>
  <c r="O111" i="54"/>
  <c r="P111" i="54"/>
  <c r="Q111" i="54"/>
  <c r="R111" i="54"/>
  <c r="S111" i="54"/>
  <c r="T111" i="54"/>
  <c r="U111" i="54"/>
  <c r="V111" i="54"/>
  <c r="W111" i="54"/>
  <c r="X111" i="54"/>
  <c r="Y111" i="54"/>
  <c r="G112" i="54"/>
  <c r="H112" i="54"/>
  <c r="I112" i="54"/>
  <c r="J112" i="54"/>
  <c r="K112" i="54"/>
  <c r="L112" i="54"/>
  <c r="N112" i="54"/>
  <c r="O112" i="54"/>
  <c r="P112" i="54"/>
  <c r="Q112" i="54"/>
  <c r="R112" i="54"/>
  <c r="S112" i="54"/>
  <c r="T112" i="54"/>
  <c r="U112" i="54"/>
  <c r="V112" i="54"/>
  <c r="W112" i="54"/>
  <c r="X112" i="54"/>
  <c r="Y112" i="54"/>
  <c r="G110" i="56"/>
  <c r="H110" i="56"/>
  <c r="I110" i="56"/>
  <c r="J110" i="56"/>
  <c r="K110" i="56"/>
  <c r="L110" i="56"/>
  <c r="M110" i="56"/>
  <c r="N110" i="56"/>
  <c r="O110" i="56"/>
  <c r="P110" i="56"/>
  <c r="Q110" i="56"/>
  <c r="R110" i="56"/>
  <c r="S110" i="56"/>
  <c r="T110" i="56"/>
  <c r="U110" i="56"/>
  <c r="V110" i="56"/>
  <c r="W110" i="56"/>
  <c r="X110" i="56"/>
  <c r="Y110" i="56"/>
  <c r="G111" i="56"/>
  <c r="H111" i="56"/>
  <c r="I111" i="56"/>
  <c r="J111" i="56"/>
  <c r="K111" i="56"/>
  <c r="L111" i="56"/>
  <c r="M111" i="56"/>
  <c r="N111" i="56"/>
  <c r="O111" i="56"/>
  <c r="P111" i="56"/>
  <c r="Q111" i="56"/>
  <c r="R111" i="56"/>
  <c r="S111" i="56"/>
  <c r="T111" i="56"/>
  <c r="U111" i="56"/>
  <c r="V111" i="56"/>
  <c r="W111" i="56"/>
  <c r="X111" i="56"/>
  <c r="Y111" i="56"/>
  <c r="G112" i="56"/>
  <c r="H112" i="56"/>
  <c r="I112" i="56"/>
  <c r="J112" i="56"/>
  <c r="K112" i="56"/>
  <c r="L112" i="56"/>
  <c r="N112" i="56"/>
  <c r="O112" i="56"/>
  <c r="P112" i="56"/>
  <c r="Q112" i="56"/>
  <c r="R112" i="56"/>
  <c r="S112" i="56"/>
  <c r="T112" i="56"/>
  <c r="U112" i="56"/>
  <c r="V112" i="56"/>
  <c r="W112" i="56"/>
  <c r="X112" i="56"/>
  <c r="Y112" i="56"/>
  <c r="G110" i="55"/>
  <c r="H110" i="55"/>
  <c r="I110" i="55"/>
  <c r="J110" i="55"/>
  <c r="K110" i="55"/>
  <c r="L110" i="55"/>
  <c r="M110" i="55"/>
  <c r="N110" i="55"/>
  <c r="O110" i="55"/>
  <c r="P110" i="55"/>
  <c r="Q110" i="55"/>
  <c r="R110" i="55"/>
  <c r="S110" i="55"/>
  <c r="T110" i="55"/>
  <c r="U110" i="55"/>
  <c r="V110" i="55"/>
  <c r="W110" i="55"/>
  <c r="X110" i="55"/>
  <c r="Y110" i="55"/>
  <c r="G111" i="55"/>
  <c r="H111" i="55"/>
  <c r="I111" i="55"/>
  <c r="J111" i="55"/>
  <c r="K111" i="55"/>
  <c r="L111" i="55"/>
  <c r="M111" i="55"/>
  <c r="N111" i="55"/>
  <c r="O111" i="55"/>
  <c r="P111" i="55"/>
  <c r="Q111" i="55"/>
  <c r="R111" i="55"/>
  <c r="S111" i="55"/>
  <c r="T111" i="55"/>
  <c r="U111" i="55"/>
  <c r="V111" i="55"/>
  <c r="W111" i="55"/>
  <c r="X111" i="55"/>
  <c r="Y111" i="55"/>
  <c r="G112" i="55"/>
  <c r="H112" i="55"/>
  <c r="I112" i="55"/>
  <c r="J112" i="55"/>
  <c r="K112" i="55"/>
  <c r="L112" i="55"/>
  <c r="N112" i="55"/>
  <c r="O112" i="55"/>
  <c r="P112" i="55"/>
  <c r="Q112" i="55"/>
  <c r="R112" i="55"/>
  <c r="S112" i="55"/>
  <c r="T112" i="55"/>
  <c r="U112" i="55"/>
  <c r="V112" i="55"/>
  <c r="W112" i="55"/>
  <c r="X112" i="55"/>
  <c r="Y112" i="55"/>
  <c r="G110" i="57"/>
  <c r="H110" i="57"/>
  <c r="I110" i="57"/>
  <c r="J110" i="57"/>
  <c r="K110" i="57"/>
  <c r="L110" i="57"/>
  <c r="M110" i="57"/>
  <c r="N110" i="57"/>
  <c r="O110" i="57"/>
  <c r="P110" i="57"/>
  <c r="Q110" i="57"/>
  <c r="R110" i="57"/>
  <c r="S110" i="57"/>
  <c r="T110" i="57"/>
  <c r="U110" i="57"/>
  <c r="V110" i="57"/>
  <c r="W110" i="57"/>
  <c r="X110" i="57"/>
  <c r="Y110" i="57"/>
  <c r="G111" i="57"/>
  <c r="H111" i="57"/>
  <c r="I111" i="57"/>
  <c r="J111" i="57"/>
  <c r="K111" i="57"/>
  <c r="L111" i="57"/>
  <c r="M111" i="57"/>
  <c r="N111" i="57"/>
  <c r="O111" i="57"/>
  <c r="P111" i="57"/>
  <c r="Q111" i="57"/>
  <c r="R111" i="57"/>
  <c r="S111" i="57"/>
  <c r="T111" i="57"/>
  <c r="U111" i="57"/>
  <c r="V111" i="57"/>
  <c r="W111" i="57"/>
  <c r="X111" i="57"/>
  <c r="Y111" i="57"/>
  <c r="G112" i="57"/>
  <c r="H112" i="57"/>
  <c r="I112" i="57"/>
  <c r="J112" i="57"/>
  <c r="K112" i="57"/>
  <c r="L112" i="57"/>
  <c r="N112" i="57"/>
  <c r="O112" i="57"/>
  <c r="P112" i="57"/>
  <c r="Q112" i="57"/>
  <c r="R112" i="57"/>
  <c r="S112" i="57"/>
  <c r="T112" i="57"/>
  <c r="U112" i="57"/>
  <c r="V112" i="57"/>
  <c r="W112" i="57"/>
  <c r="X112" i="57"/>
  <c r="Y112" i="57"/>
  <c r="F111" i="38"/>
  <c r="F111" i="50"/>
  <c r="F111" i="51"/>
  <c r="F111" i="52"/>
  <c r="F111" i="53"/>
  <c r="F111" i="54"/>
  <c r="F111" i="56"/>
  <c r="F111" i="55"/>
  <c r="F111" i="57"/>
  <c r="F110" i="38"/>
  <c r="F110" i="50"/>
  <c r="F110" i="51"/>
  <c r="F110" i="52"/>
  <c r="F110" i="53"/>
  <c r="F110" i="54"/>
  <c r="F110" i="56"/>
  <c r="F110" i="55"/>
  <c r="F110" i="57"/>
  <c r="F112" i="38"/>
  <c r="F112" i="50"/>
  <c r="F112" i="51"/>
  <c r="F112" i="52"/>
  <c r="F112" i="53"/>
  <c r="F112" i="54"/>
  <c r="F112" i="56"/>
  <c r="F112" i="55"/>
  <c r="F114" i="55" s="1"/>
  <c r="F112" i="57"/>
  <c r="F114" i="57" s="1"/>
  <c r="Z11" i="38"/>
  <c r="Z12" i="38"/>
  <c r="Z13" i="38"/>
  <c r="Z14" i="38"/>
  <c r="Z15" i="38"/>
  <c r="Z16" i="38"/>
  <c r="Z17" i="38"/>
  <c r="Z18" i="38"/>
  <c r="Z19" i="38"/>
  <c r="Z20" i="38"/>
  <c r="Z21" i="38"/>
  <c r="Z22" i="38"/>
  <c r="Z23" i="38"/>
  <c r="Z24" i="38"/>
  <c r="Z25" i="38"/>
  <c r="Z26" i="38"/>
  <c r="Z27" i="38"/>
  <c r="Z28" i="38"/>
  <c r="Z29" i="38"/>
  <c r="Z30" i="38"/>
  <c r="Z31" i="38"/>
  <c r="Z32" i="38"/>
  <c r="Z33" i="38"/>
  <c r="Z34" i="38"/>
  <c r="Z35" i="38"/>
  <c r="Z36" i="38"/>
  <c r="Z37" i="38"/>
  <c r="Z38" i="38"/>
  <c r="Z39" i="38"/>
  <c r="Z40" i="38"/>
  <c r="Z41" i="38"/>
  <c r="Z42" i="38"/>
  <c r="Z43" i="38"/>
  <c r="Z44" i="38"/>
  <c r="Z45" i="38"/>
  <c r="Z46" i="38"/>
  <c r="Z47" i="38"/>
  <c r="Z48" i="38"/>
  <c r="Z49" i="38"/>
  <c r="Z50" i="38"/>
  <c r="Z51" i="38"/>
  <c r="Z52" i="38"/>
  <c r="Z53" i="38"/>
  <c r="Z54" i="38"/>
  <c r="Z55" i="38"/>
  <c r="Z56" i="38"/>
  <c r="Z57" i="38"/>
  <c r="Z58" i="38"/>
  <c r="Z59" i="38"/>
  <c r="Z60" i="38"/>
  <c r="Z61" i="38"/>
  <c r="Z62" i="38"/>
  <c r="Z63" i="38"/>
  <c r="Z64" i="38"/>
  <c r="Z65" i="38"/>
  <c r="Z66" i="38"/>
  <c r="Z67" i="38"/>
  <c r="Z68" i="38"/>
  <c r="Z69" i="38"/>
  <c r="Z70" i="38"/>
  <c r="Z71" i="38"/>
  <c r="Z72" i="38"/>
  <c r="Z73" i="38"/>
  <c r="Z74" i="38"/>
  <c r="Z75" i="38"/>
  <c r="Z76" i="38"/>
  <c r="Z77" i="38"/>
  <c r="Z78" i="38"/>
  <c r="Z79" i="38"/>
  <c r="Z80" i="38"/>
  <c r="Z81" i="38"/>
  <c r="Z82" i="38"/>
  <c r="Z83" i="38"/>
  <c r="Z84" i="38"/>
  <c r="Z85" i="38"/>
  <c r="Z86" i="38"/>
  <c r="Z87" i="38"/>
  <c r="Z88" i="38"/>
  <c r="Z89" i="38"/>
  <c r="Z90" i="38"/>
  <c r="Z91" i="38"/>
  <c r="Z92" i="38"/>
  <c r="Z93" i="38"/>
  <c r="Z94" i="38"/>
  <c r="Z95" i="38"/>
  <c r="Z96" i="38"/>
  <c r="Z97" i="38"/>
  <c r="Z98" i="38"/>
  <c r="Z99" i="38"/>
  <c r="Z100" i="38"/>
  <c r="Z101" i="38"/>
  <c r="Z102" i="38"/>
  <c r="Z103" i="38"/>
  <c r="Z104" i="38"/>
  <c r="Z105" i="38"/>
  <c r="Z106" i="38"/>
  <c r="Z107" i="38"/>
  <c r="Z108" i="38"/>
  <c r="Z109" i="38"/>
  <c r="Z11" i="50"/>
  <c r="Z12" i="50"/>
  <c r="Z13" i="50"/>
  <c r="Z14" i="50"/>
  <c r="Z15" i="50"/>
  <c r="Z16" i="50"/>
  <c r="Z17" i="50"/>
  <c r="Z18" i="50"/>
  <c r="Z19" i="50"/>
  <c r="Z20" i="50"/>
  <c r="Z21" i="50"/>
  <c r="Z22" i="50"/>
  <c r="Z23" i="50"/>
  <c r="Z24" i="50"/>
  <c r="Z25" i="50"/>
  <c r="Z26" i="50"/>
  <c r="Z27" i="50"/>
  <c r="Z28" i="50"/>
  <c r="Z29" i="50"/>
  <c r="Z30" i="50"/>
  <c r="Z31" i="50"/>
  <c r="Z32" i="50"/>
  <c r="Z33" i="50"/>
  <c r="Z34" i="50"/>
  <c r="Z35" i="50"/>
  <c r="Z36" i="50"/>
  <c r="Z37" i="50"/>
  <c r="Z38" i="50"/>
  <c r="Z39" i="50"/>
  <c r="Z40" i="50"/>
  <c r="Z41" i="50"/>
  <c r="Z42" i="50"/>
  <c r="Z43" i="50"/>
  <c r="Z44" i="50"/>
  <c r="Z45" i="50"/>
  <c r="Z46" i="50"/>
  <c r="Z47" i="50"/>
  <c r="Z48" i="50"/>
  <c r="Z49" i="50"/>
  <c r="Z50" i="50"/>
  <c r="Z51" i="50"/>
  <c r="Z52" i="50"/>
  <c r="Z53" i="50"/>
  <c r="Z54" i="50"/>
  <c r="Z55" i="50"/>
  <c r="Z56" i="50"/>
  <c r="Z57" i="50"/>
  <c r="Z58" i="50"/>
  <c r="Z59" i="50"/>
  <c r="Z60" i="50"/>
  <c r="Z61" i="50"/>
  <c r="Z62" i="50"/>
  <c r="Z63" i="50"/>
  <c r="Z64" i="50"/>
  <c r="Z65" i="50"/>
  <c r="Z66" i="50"/>
  <c r="Z67" i="50"/>
  <c r="Z68" i="50"/>
  <c r="Z69" i="50"/>
  <c r="Z70" i="50"/>
  <c r="Z71" i="50"/>
  <c r="Z72" i="50"/>
  <c r="Z73" i="50"/>
  <c r="Z74" i="50"/>
  <c r="Z75" i="50"/>
  <c r="Z76" i="50"/>
  <c r="Z77" i="50"/>
  <c r="Z78" i="50"/>
  <c r="Z79" i="50"/>
  <c r="Z80" i="50"/>
  <c r="Z81" i="50"/>
  <c r="Z82" i="50"/>
  <c r="Z83" i="50"/>
  <c r="Z84" i="50"/>
  <c r="Z85" i="50"/>
  <c r="Z86" i="50"/>
  <c r="Z87" i="50"/>
  <c r="Z88" i="50"/>
  <c r="Z89" i="50"/>
  <c r="Z90" i="50"/>
  <c r="Z91" i="50"/>
  <c r="Z92" i="50"/>
  <c r="Z93" i="50"/>
  <c r="Z94" i="50"/>
  <c r="Z95" i="50"/>
  <c r="Z96" i="50"/>
  <c r="Z97" i="50"/>
  <c r="Z98" i="50"/>
  <c r="Z99" i="50"/>
  <c r="Z100" i="50"/>
  <c r="Z101" i="50"/>
  <c r="Z102" i="50"/>
  <c r="Z103" i="50"/>
  <c r="Z104" i="50"/>
  <c r="Z105" i="50"/>
  <c r="Z106" i="50"/>
  <c r="Z107" i="50"/>
  <c r="Z108" i="50"/>
  <c r="Z109" i="50"/>
  <c r="Z11" i="51"/>
  <c r="Z12" i="51"/>
  <c r="Z13" i="51"/>
  <c r="Z14" i="51"/>
  <c r="Z15" i="51"/>
  <c r="Z16" i="51"/>
  <c r="Z17" i="51"/>
  <c r="Z18" i="51"/>
  <c r="Z19" i="51"/>
  <c r="Z20" i="51"/>
  <c r="Z21" i="51"/>
  <c r="Z22" i="51"/>
  <c r="Z23" i="51"/>
  <c r="Z24" i="51"/>
  <c r="Z25" i="51"/>
  <c r="Z26" i="51"/>
  <c r="Z27" i="51"/>
  <c r="Z28" i="51"/>
  <c r="Z29" i="51"/>
  <c r="Z30" i="51"/>
  <c r="Z31" i="51"/>
  <c r="Z32" i="51"/>
  <c r="Z33" i="51"/>
  <c r="Z34" i="51"/>
  <c r="Z35" i="51"/>
  <c r="Z36" i="51"/>
  <c r="Z37" i="51"/>
  <c r="Z38" i="51"/>
  <c r="Z39" i="51"/>
  <c r="Z40" i="51"/>
  <c r="Z41" i="51"/>
  <c r="Z42" i="51"/>
  <c r="Z43" i="51"/>
  <c r="Z44" i="51"/>
  <c r="Z45" i="51"/>
  <c r="Z46" i="51"/>
  <c r="Z47" i="51"/>
  <c r="Z48" i="51"/>
  <c r="Z49" i="51"/>
  <c r="Z50" i="51"/>
  <c r="Z51" i="51"/>
  <c r="Z52" i="51"/>
  <c r="Z53" i="51"/>
  <c r="Z54" i="51"/>
  <c r="Z55" i="51"/>
  <c r="Z56" i="51"/>
  <c r="Z57" i="51"/>
  <c r="Z58" i="51"/>
  <c r="Z59" i="51"/>
  <c r="Z60" i="51"/>
  <c r="Z61" i="51"/>
  <c r="Z62" i="51"/>
  <c r="Z63" i="51"/>
  <c r="Z64" i="51"/>
  <c r="Z65" i="51"/>
  <c r="Z66" i="51"/>
  <c r="Z67" i="51"/>
  <c r="Z68" i="51"/>
  <c r="Z69" i="51"/>
  <c r="Z70" i="51"/>
  <c r="Z71" i="51"/>
  <c r="Z72" i="51"/>
  <c r="Z73" i="51"/>
  <c r="Z74" i="51"/>
  <c r="Z75" i="51"/>
  <c r="Z76" i="51"/>
  <c r="Z77" i="51"/>
  <c r="Z78" i="51"/>
  <c r="Z79" i="51"/>
  <c r="Z80" i="51"/>
  <c r="Z81" i="51"/>
  <c r="Z82" i="51"/>
  <c r="Z83" i="51"/>
  <c r="Z84" i="51"/>
  <c r="Z85" i="51"/>
  <c r="Z86" i="51"/>
  <c r="Z87" i="51"/>
  <c r="Z88" i="51"/>
  <c r="Z89" i="51"/>
  <c r="Z90" i="51"/>
  <c r="Z91" i="51"/>
  <c r="Z92" i="51"/>
  <c r="Z93" i="51"/>
  <c r="Z94" i="51"/>
  <c r="Z95" i="51"/>
  <c r="Z96" i="51"/>
  <c r="Z97" i="51"/>
  <c r="Z98" i="51"/>
  <c r="Z99" i="51"/>
  <c r="Z100" i="51"/>
  <c r="Z101" i="51"/>
  <c r="Z102" i="51"/>
  <c r="Z103" i="51"/>
  <c r="Z104" i="51"/>
  <c r="Z105" i="51"/>
  <c r="Z106" i="51"/>
  <c r="Z107" i="51"/>
  <c r="Z108" i="51"/>
  <c r="Z109" i="51"/>
  <c r="Z11" i="52"/>
  <c r="Z12" i="52"/>
  <c r="Z13" i="52"/>
  <c r="Z14" i="52"/>
  <c r="Z15" i="52"/>
  <c r="Z16" i="52"/>
  <c r="Z17" i="52"/>
  <c r="Z18" i="52"/>
  <c r="Z19" i="52"/>
  <c r="Z20" i="52"/>
  <c r="Z21" i="52"/>
  <c r="Z22" i="52"/>
  <c r="Z23" i="52"/>
  <c r="Z24" i="52"/>
  <c r="Z25" i="52"/>
  <c r="Z26" i="52"/>
  <c r="Z27" i="52"/>
  <c r="Z28" i="52"/>
  <c r="Z29" i="52"/>
  <c r="Z30" i="52"/>
  <c r="Z31" i="52"/>
  <c r="Z32" i="52"/>
  <c r="Z33" i="52"/>
  <c r="Z34" i="52"/>
  <c r="Z35" i="52"/>
  <c r="Z36" i="52"/>
  <c r="Z37" i="52"/>
  <c r="Z38" i="52"/>
  <c r="Z39" i="52"/>
  <c r="Z40" i="52"/>
  <c r="Z41" i="52"/>
  <c r="Z42" i="52"/>
  <c r="Z43" i="52"/>
  <c r="Z44" i="52"/>
  <c r="Z45" i="52"/>
  <c r="Z46" i="52"/>
  <c r="Z47" i="52"/>
  <c r="Z48" i="52"/>
  <c r="Z49" i="52"/>
  <c r="Z50" i="52"/>
  <c r="Z51" i="52"/>
  <c r="Z52" i="52"/>
  <c r="Z53" i="52"/>
  <c r="Z54" i="52"/>
  <c r="Z55" i="52"/>
  <c r="Z56" i="52"/>
  <c r="Z57" i="52"/>
  <c r="Z58" i="52"/>
  <c r="Z59" i="52"/>
  <c r="Z60" i="52"/>
  <c r="Z61" i="52"/>
  <c r="Z62" i="52"/>
  <c r="Z63" i="52"/>
  <c r="Z64" i="52"/>
  <c r="Z65" i="52"/>
  <c r="Z66" i="52"/>
  <c r="Z67" i="52"/>
  <c r="Z68" i="52"/>
  <c r="Z69" i="52"/>
  <c r="Z70" i="52"/>
  <c r="Z71" i="52"/>
  <c r="Z72" i="52"/>
  <c r="Z73" i="52"/>
  <c r="Z74" i="52"/>
  <c r="Z75" i="52"/>
  <c r="Z76" i="52"/>
  <c r="Z77" i="52"/>
  <c r="Z78" i="52"/>
  <c r="Z79" i="52"/>
  <c r="Z80" i="52"/>
  <c r="Z81" i="52"/>
  <c r="Z82" i="52"/>
  <c r="Z83" i="52"/>
  <c r="Z84" i="52"/>
  <c r="Z85" i="52"/>
  <c r="Z86" i="52"/>
  <c r="Z87" i="52"/>
  <c r="Z88" i="52"/>
  <c r="Z89" i="52"/>
  <c r="Z90" i="52"/>
  <c r="Z91" i="52"/>
  <c r="Z92" i="52"/>
  <c r="Z93" i="52"/>
  <c r="Z94" i="52"/>
  <c r="Z95" i="52"/>
  <c r="Z96" i="52"/>
  <c r="Z97" i="52"/>
  <c r="Z98" i="52"/>
  <c r="Z99" i="52"/>
  <c r="Z100" i="52"/>
  <c r="Z101" i="52"/>
  <c r="Z102" i="52"/>
  <c r="Z103" i="52"/>
  <c r="Z104" i="52"/>
  <c r="Z105" i="52"/>
  <c r="Z106" i="52"/>
  <c r="Z107" i="52"/>
  <c r="Z108" i="52"/>
  <c r="Z109" i="52"/>
  <c r="Z11" i="53"/>
  <c r="Z12" i="53"/>
  <c r="Z13" i="53"/>
  <c r="Z14" i="53"/>
  <c r="Z15" i="53"/>
  <c r="Z16" i="53"/>
  <c r="Z17" i="53"/>
  <c r="Z18" i="53"/>
  <c r="Z19" i="53"/>
  <c r="Z20" i="53"/>
  <c r="Z21" i="53"/>
  <c r="Z22" i="53"/>
  <c r="Z23" i="53"/>
  <c r="Z24" i="53"/>
  <c r="Z25" i="53"/>
  <c r="Z26" i="53"/>
  <c r="Z27" i="53"/>
  <c r="Z28" i="53"/>
  <c r="Z29" i="53"/>
  <c r="Z30" i="53"/>
  <c r="Z31" i="53"/>
  <c r="Z32" i="53"/>
  <c r="Z33" i="53"/>
  <c r="Z34" i="53"/>
  <c r="Z35" i="53"/>
  <c r="Z36" i="53"/>
  <c r="Z37" i="53"/>
  <c r="Z38" i="53"/>
  <c r="Z39" i="53"/>
  <c r="Z40" i="53"/>
  <c r="Z41" i="53"/>
  <c r="Z42" i="53"/>
  <c r="Z43" i="53"/>
  <c r="Z44" i="53"/>
  <c r="Z45" i="53"/>
  <c r="Z46" i="53"/>
  <c r="Z47" i="53"/>
  <c r="Z48" i="53"/>
  <c r="Z49" i="53"/>
  <c r="Z50" i="53"/>
  <c r="Z51" i="53"/>
  <c r="Z52" i="53"/>
  <c r="Z53" i="53"/>
  <c r="Z54" i="53"/>
  <c r="Z55" i="53"/>
  <c r="Z56" i="53"/>
  <c r="Z57" i="53"/>
  <c r="Z58" i="53"/>
  <c r="Z59" i="53"/>
  <c r="Z60" i="53"/>
  <c r="Z61" i="53"/>
  <c r="Z62" i="53"/>
  <c r="Z63" i="53"/>
  <c r="Z64" i="53"/>
  <c r="Z65" i="53"/>
  <c r="Z66" i="53"/>
  <c r="Z67" i="53"/>
  <c r="Z68" i="53"/>
  <c r="Z69" i="53"/>
  <c r="Z70" i="53"/>
  <c r="Z71" i="53"/>
  <c r="Z72" i="53"/>
  <c r="Z73" i="53"/>
  <c r="Z74" i="53"/>
  <c r="Z75" i="53"/>
  <c r="Z76" i="53"/>
  <c r="Z77" i="53"/>
  <c r="Z78" i="53"/>
  <c r="Z79" i="53"/>
  <c r="Z80" i="53"/>
  <c r="Z81" i="53"/>
  <c r="Z82" i="53"/>
  <c r="Z83" i="53"/>
  <c r="Z84" i="53"/>
  <c r="Z85" i="53"/>
  <c r="Z86" i="53"/>
  <c r="Z87" i="53"/>
  <c r="Z88" i="53"/>
  <c r="Z89" i="53"/>
  <c r="Z90" i="53"/>
  <c r="Z91" i="53"/>
  <c r="Z92" i="53"/>
  <c r="Z93" i="53"/>
  <c r="Z94" i="53"/>
  <c r="Z95" i="53"/>
  <c r="Z96" i="53"/>
  <c r="Z97" i="53"/>
  <c r="Z98" i="53"/>
  <c r="Z99" i="53"/>
  <c r="Z100" i="53"/>
  <c r="Z101" i="53"/>
  <c r="Z102" i="53"/>
  <c r="Z103" i="53"/>
  <c r="Z104" i="53"/>
  <c r="Z105" i="53"/>
  <c r="Z106" i="53"/>
  <c r="Z107" i="53"/>
  <c r="Z108" i="53"/>
  <c r="Z109" i="53"/>
  <c r="Z11" i="54"/>
  <c r="Z12" i="54"/>
  <c r="Z13" i="54"/>
  <c r="Z14" i="54"/>
  <c r="Z15" i="54"/>
  <c r="Z16" i="54"/>
  <c r="Z17" i="54"/>
  <c r="Z18" i="54"/>
  <c r="Z19" i="54"/>
  <c r="Z20" i="54"/>
  <c r="Z21" i="54"/>
  <c r="Z22" i="54"/>
  <c r="Z23" i="54"/>
  <c r="Z24" i="54"/>
  <c r="Z25" i="54"/>
  <c r="Z26" i="54"/>
  <c r="Z27" i="54"/>
  <c r="Z28" i="54"/>
  <c r="Z29" i="54"/>
  <c r="Z30" i="54"/>
  <c r="Z31" i="54"/>
  <c r="Z32" i="54"/>
  <c r="Z33" i="54"/>
  <c r="Z34" i="54"/>
  <c r="Z35" i="54"/>
  <c r="Z36" i="54"/>
  <c r="Z37" i="54"/>
  <c r="Z38" i="54"/>
  <c r="Z39" i="54"/>
  <c r="Z40" i="54"/>
  <c r="Z41" i="54"/>
  <c r="Z42" i="54"/>
  <c r="Z43" i="54"/>
  <c r="Z44" i="54"/>
  <c r="Z45" i="54"/>
  <c r="Z46" i="54"/>
  <c r="Z47" i="54"/>
  <c r="Z48" i="54"/>
  <c r="Z49" i="54"/>
  <c r="Z50" i="54"/>
  <c r="Z51" i="54"/>
  <c r="Z52" i="54"/>
  <c r="Z53" i="54"/>
  <c r="Z54" i="54"/>
  <c r="Z55" i="54"/>
  <c r="Z56" i="54"/>
  <c r="Z57" i="54"/>
  <c r="Z58" i="54"/>
  <c r="Z59" i="54"/>
  <c r="Z60" i="54"/>
  <c r="Z61" i="54"/>
  <c r="Z62" i="54"/>
  <c r="Z63" i="54"/>
  <c r="Z64" i="54"/>
  <c r="Z65" i="54"/>
  <c r="Z66" i="54"/>
  <c r="Z67" i="54"/>
  <c r="Z68" i="54"/>
  <c r="Z69" i="54"/>
  <c r="Z70" i="54"/>
  <c r="Z71" i="54"/>
  <c r="Z72" i="54"/>
  <c r="Z73" i="54"/>
  <c r="Z74" i="54"/>
  <c r="Z75" i="54"/>
  <c r="Z76" i="54"/>
  <c r="Z77" i="54"/>
  <c r="Z78" i="54"/>
  <c r="Z79" i="54"/>
  <c r="Z80" i="54"/>
  <c r="Z81" i="54"/>
  <c r="Z82" i="54"/>
  <c r="Z83" i="54"/>
  <c r="Z84" i="54"/>
  <c r="Z85" i="54"/>
  <c r="Z86" i="54"/>
  <c r="Z87" i="54"/>
  <c r="Z88" i="54"/>
  <c r="Z89" i="54"/>
  <c r="Z90" i="54"/>
  <c r="Z91" i="54"/>
  <c r="Z92" i="54"/>
  <c r="Z93" i="54"/>
  <c r="Z94" i="54"/>
  <c r="Z95" i="54"/>
  <c r="Z96" i="54"/>
  <c r="Z97" i="54"/>
  <c r="Z98" i="54"/>
  <c r="Z99" i="54"/>
  <c r="Z100" i="54"/>
  <c r="Z101" i="54"/>
  <c r="Z102" i="54"/>
  <c r="Z103" i="54"/>
  <c r="Z104" i="54"/>
  <c r="Z105" i="54"/>
  <c r="Z106" i="54"/>
  <c r="Z107" i="54"/>
  <c r="Z108" i="54"/>
  <c r="Z109" i="54"/>
  <c r="Z11" i="56"/>
  <c r="Z12" i="56"/>
  <c r="Z13" i="56"/>
  <c r="Z14" i="56"/>
  <c r="Z15" i="56"/>
  <c r="Z16" i="56"/>
  <c r="Z17" i="56"/>
  <c r="Z18" i="56"/>
  <c r="Z19" i="56"/>
  <c r="Z20" i="56"/>
  <c r="Z21" i="56"/>
  <c r="Z22" i="56"/>
  <c r="Z23" i="56"/>
  <c r="Z24" i="56"/>
  <c r="Z25" i="56"/>
  <c r="Z26" i="56"/>
  <c r="Z27" i="56"/>
  <c r="Z28" i="56"/>
  <c r="Z29" i="56"/>
  <c r="Z30" i="56"/>
  <c r="Z31" i="56"/>
  <c r="Z32" i="56"/>
  <c r="Z33" i="56"/>
  <c r="Z34" i="56"/>
  <c r="Z35" i="56"/>
  <c r="Z36" i="56"/>
  <c r="Z37" i="56"/>
  <c r="Z38" i="56"/>
  <c r="Z39" i="56"/>
  <c r="Z40" i="56"/>
  <c r="Z41" i="56"/>
  <c r="Z42" i="56"/>
  <c r="Z43" i="56"/>
  <c r="Z44" i="56"/>
  <c r="Z45" i="56"/>
  <c r="Z46" i="56"/>
  <c r="Z47" i="56"/>
  <c r="Z48" i="56"/>
  <c r="Z49" i="56"/>
  <c r="Z50" i="56"/>
  <c r="Z51" i="56"/>
  <c r="Z52" i="56"/>
  <c r="Z53" i="56"/>
  <c r="Z54" i="56"/>
  <c r="Z55" i="56"/>
  <c r="Z56" i="56"/>
  <c r="Z57" i="56"/>
  <c r="Z58" i="56"/>
  <c r="Z59" i="56"/>
  <c r="Z60" i="56"/>
  <c r="Z61" i="56"/>
  <c r="Z62" i="56"/>
  <c r="Z63" i="56"/>
  <c r="Z64" i="56"/>
  <c r="Z65" i="56"/>
  <c r="Z66" i="56"/>
  <c r="Z67" i="56"/>
  <c r="Z68" i="56"/>
  <c r="Z69" i="56"/>
  <c r="Z70" i="56"/>
  <c r="Z71" i="56"/>
  <c r="Z72" i="56"/>
  <c r="Z73" i="56"/>
  <c r="Z74" i="56"/>
  <c r="Z75" i="56"/>
  <c r="Z76" i="56"/>
  <c r="Z77" i="56"/>
  <c r="Z78" i="56"/>
  <c r="Z79" i="56"/>
  <c r="Z80" i="56"/>
  <c r="Z81" i="56"/>
  <c r="Z82" i="56"/>
  <c r="Z83" i="56"/>
  <c r="Z84" i="56"/>
  <c r="Z85" i="56"/>
  <c r="Z86" i="56"/>
  <c r="Z87" i="56"/>
  <c r="Z88" i="56"/>
  <c r="Z89" i="56"/>
  <c r="Z90" i="56"/>
  <c r="Z91" i="56"/>
  <c r="Z92" i="56"/>
  <c r="Z93" i="56"/>
  <c r="Z94" i="56"/>
  <c r="Z95" i="56"/>
  <c r="Z96" i="56"/>
  <c r="Z97" i="56"/>
  <c r="Z98" i="56"/>
  <c r="Z99" i="56"/>
  <c r="Z100" i="56"/>
  <c r="Z101" i="56"/>
  <c r="Z102" i="56"/>
  <c r="Z103" i="56"/>
  <c r="Z104" i="56"/>
  <c r="Z105" i="56"/>
  <c r="Z106" i="56"/>
  <c r="Z107" i="56"/>
  <c r="Z108" i="56"/>
  <c r="Z109" i="56"/>
  <c r="Z11" i="55"/>
  <c r="Z12" i="55"/>
  <c r="Z13" i="55"/>
  <c r="Z14" i="55"/>
  <c r="Z15" i="55"/>
  <c r="Z16" i="55"/>
  <c r="Z17" i="55"/>
  <c r="Z18" i="55"/>
  <c r="Z19" i="55"/>
  <c r="Z20" i="55"/>
  <c r="Z21" i="55"/>
  <c r="Z22" i="55"/>
  <c r="Z23" i="55"/>
  <c r="Z24" i="55"/>
  <c r="Z25" i="55"/>
  <c r="Z26" i="55"/>
  <c r="Z27" i="55"/>
  <c r="Z28" i="55"/>
  <c r="Z29" i="55"/>
  <c r="Z30" i="55"/>
  <c r="Z31" i="55"/>
  <c r="Z32" i="55"/>
  <c r="Z33" i="55"/>
  <c r="Z34" i="55"/>
  <c r="Z35" i="55"/>
  <c r="Z36" i="55"/>
  <c r="Z37" i="55"/>
  <c r="Z38" i="55"/>
  <c r="Z39" i="55"/>
  <c r="Z40" i="55"/>
  <c r="Z41" i="55"/>
  <c r="Z42" i="55"/>
  <c r="Z43" i="55"/>
  <c r="Z44" i="55"/>
  <c r="Z45" i="55"/>
  <c r="Z46" i="55"/>
  <c r="Z47" i="55"/>
  <c r="Z48" i="55"/>
  <c r="Z49" i="55"/>
  <c r="Z50" i="55"/>
  <c r="Z51" i="55"/>
  <c r="Z52" i="55"/>
  <c r="Z53" i="55"/>
  <c r="Z54" i="55"/>
  <c r="Z55" i="55"/>
  <c r="Z56" i="55"/>
  <c r="Z57" i="55"/>
  <c r="Z58" i="55"/>
  <c r="Z59" i="55"/>
  <c r="Z60" i="55"/>
  <c r="Z61" i="55"/>
  <c r="Z62" i="55"/>
  <c r="Z63" i="55"/>
  <c r="Z64" i="55"/>
  <c r="Z65" i="55"/>
  <c r="Z66" i="55"/>
  <c r="Z67" i="55"/>
  <c r="Z68" i="55"/>
  <c r="Z69" i="55"/>
  <c r="Z70" i="55"/>
  <c r="Z71" i="55"/>
  <c r="Z72" i="55"/>
  <c r="Z73" i="55"/>
  <c r="Z74" i="55"/>
  <c r="Z75" i="55"/>
  <c r="Z76" i="55"/>
  <c r="Z77" i="55"/>
  <c r="Z78" i="55"/>
  <c r="Z79" i="55"/>
  <c r="Z80" i="55"/>
  <c r="Z81" i="55"/>
  <c r="Z82" i="55"/>
  <c r="Z83" i="55"/>
  <c r="Z84" i="55"/>
  <c r="Z85" i="55"/>
  <c r="Z86" i="55"/>
  <c r="Z87" i="55"/>
  <c r="Z88" i="55"/>
  <c r="Z89" i="55"/>
  <c r="Z90" i="55"/>
  <c r="Z91" i="55"/>
  <c r="Z92" i="55"/>
  <c r="Z93" i="55"/>
  <c r="Z94" i="55"/>
  <c r="Z95" i="55"/>
  <c r="Z96" i="55"/>
  <c r="Z97" i="55"/>
  <c r="Z98" i="55"/>
  <c r="Z99" i="55"/>
  <c r="Z100" i="55"/>
  <c r="Z101" i="55"/>
  <c r="Z102" i="55"/>
  <c r="Z103" i="55"/>
  <c r="Z104" i="55"/>
  <c r="Z105" i="55"/>
  <c r="Z106" i="55"/>
  <c r="Z107" i="55"/>
  <c r="Z108" i="55"/>
  <c r="Z109" i="55"/>
  <c r="Z11" i="57"/>
  <c r="Z12" i="57"/>
  <c r="Z13" i="57"/>
  <c r="Z14" i="57"/>
  <c r="Z15" i="57"/>
  <c r="Z16" i="57"/>
  <c r="Z17" i="57"/>
  <c r="Z18" i="57"/>
  <c r="Z19" i="57"/>
  <c r="Z20" i="57"/>
  <c r="Z21" i="57"/>
  <c r="Z22" i="57"/>
  <c r="Z23" i="57"/>
  <c r="Z24" i="57"/>
  <c r="Z25" i="57"/>
  <c r="Z26" i="57"/>
  <c r="Z27" i="57"/>
  <c r="Z28" i="57"/>
  <c r="Z29" i="57"/>
  <c r="Z30" i="57"/>
  <c r="Z31" i="57"/>
  <c r="Z32" i="57"/>
  <c r="Z33" i="57"/>
  <c r="Z34" i="57"/>
  <c r="Z35" i="57"/>
  <c r="Z36" i="57"/>
  <c r="Z37" i="57"/>
  <c r="Z38" i="57"/>
  <c r="Z39" i="57"/>
  <c r="Z40" i="57"/>
  <c r="Z41" i="57"/>
  <c r="Z42" i="57"/>
  <c r="Z43" i="57"/>
  <c r="Z44" i="57"/>
  <c r="Z45" i="57"/>
  <c r="Z46" i="57"/>
  <c r="Z47" i="57"/>
  <c r="Z48" i="57"/>
  <c r="Z49" i="57"/>
  <c r="Z50" i="57"/>
  <c r="Z51" i="57"/>
  <c r="Z52" i="57"/>
  <c r="Z53" i="57"/>
  <c r="Z54" i="57"/>
  <c r="Z55" i="57"/>
  <c r="Z56" i="57"/>
  <c r="Z57" i="57"/>
  <c r="Z58" i="57"/>
  <c r="Z59" i="57"/>
  <c r="Z60" i="57"/>
  <c r="Z61" i="57"/>
  <c r="Z62" i="57"/>
  <c r="Z63" i="57"/>
  <c r="Z64" i="57"/>
  <c r="Z65" i="57"/>
  <c r="Z66" i="57"/>
  <c r="Z67" i="57"/>
  <c r="Z68" i="57"/>
  <c r="Z69" i="57"/>
  <c r="Z70" i="57"/>
  <c r="Z71" i="57"/>
  <c r="Z72" i="57"/>
  <c r="Z73" i="57"/>
  <c r="Z74" i="57"/>
  <c r="Z75" i="57"/>
  <c r="Z76" i="57"/>
  <c r="Z77" i="57"/>
  <c r="Z78" i="57"/>
  <c r="Z79" i="57"/>
  <c r="Z80" i="57"/>
  <c r="Z81" i="57"/>
  <c r="Z82" i="57"/>
  <c r="Z83" i="57"/>
  <c r="Z84" i="57"/>
  <c r="Z85" i="57"/>
  <c r="Z86" i="57"/>
  <c r="Z87" i="57"/>
  <c r="Z88" i="57"/>
  <c r="Z89" i="57"/>
  <c r="Z90" i="57"/>
  <c r="Z91" i="57"/>
  <c r="Z92" i="57"/>
  <c r="Z93" i="57"/>
  <c r="Z94" i="57"/>
  <c r="Z95" i="57"/>
  <c r="Z96" i="57"/>
  <c r="Z97" i="57"/>
  <c r="Z98" i="57"/>
  <c r="Z99" i="57"/>
  <c r="Z100" i="57"/>
  <c r="Z101" i="57"/>
  <c r="Z102" i="57"/>
  <c r="Z103" i="57"/>
  <c r="Z104" i="57"/>
  <c r="Z105" i="57"/>
  <c r="Z106" i="57"/>
  <c r="Z107" i="57"/>
  <c r="Z108" i="57"/>
  <c r="Z109" i="57"/>
  <c r="Z10" i="38"/>
  <c r="Z10" i="50"/>
  <c r="Z10" i="51"/>
  <c r="Z10" i="52"/>
  <c r="Z10" i="53"/>
  <c r="Z10" i="54"/>
  <c r="Z10" i="56"/>
  <c r="Z10" i="55"/>
  <c r="Z10" i="57"/>
  <c r="F118" i="38" l="1"/>
  <c r="F113" i="73" s="1"/>
  <c r="F114" i="56"/>
  <c r="F113" i="57"/>
  <c r="F113" i="55"/>
  <c r="F114" i="53"/>
  <c r="F113" i="56"/>
  <c r="F114" i="52"/>
  <c r="F113" i="54"/>
  <c r="F113" i="50"/>
  <c r="F114" i="51"/>
  <c r="F113" i="53"/>
  <c r="F114" i="50"/>
  <c r="F113" i="52"/>
  <c r="F114" i="38"/>
  <c r="F113" i="51"/>
  <c r="F113" i="38"/>
  <c r="F114" i="54"/>
  <c r="U28" i="68"/>
  <c r="AA10" i="60" l="1"/>
  <c r="F112" i="67"/>
  <c r="F112" i="66"/>
  <c r="F112" i="65"/>
  <c r="F112" i="64"/>
  <c r="F112" i="63"/>
  <c r="F112" i="62"/>
  <c r="F112" i="61"/>
  <c r="F112" i="60"/>
  <c r="AA10" i="61"/>
  <c r="AA10" i="62"/>
  <c r="AA10" i="63"/>
  <c r="AA10" i="64"/>
  <c r="AA10" i="65"/>
  <c r="AA10" i="66"/>
  <c r="AA10" i="67"/>
  <c r="F111" i="60" l="1"/>
  <c r="F111" i="61"/>
  <c r="F111" i="62"/>
  <c r="F111" i="63"/>
  <c r="F111" i="64"/>
  <c r="F111" i="65"/>
  <c r="F111" i="66"/>
  <c r="F111" i="67"/>
  <c r="Z110" i="38"/>
  <c r="F113" i="67" l="1"/>
  <c r="F110" i="67"/>
  <c r="F113" i="66"/>
  <c r="F110" i="66"/>
  <c r="F113" i="65"/>
  <c r="F110" i="65"/>
  <c r="F113" i="64"/>
  <c r="F110" i="64"/>
  <c r="F113" i="63"/>
  <c r="F110" i="63"/>
  <c r="F113" i="62"/>
  <c r="F110" i="62"/>
  <c r="F113" i="61"/>
  <c r="F110" i="61"/>
  <c r="F113" i="60"/>
  <c r="F110" i="60"/>
  <c r="Z110" i="56"/>
  <c r="Z110" i="55"/>
  <c r="Z110" i="53" l="1"/>
  <c r="Z110" i="52"/>
  <c r="Z110" i="51"/>
  <c r="Z110" i="54"/>
  <c r="Z110" i="50"/>
  <c r="Z110" i="57"/>
</calcChain>
</file>

<file path=xl/sharedStrings.xml><?xml version="1.0" encoding="utf-8"?>
<sst xmlns="http://schemas.openxmlformats.org/spreadsheetml/2006/main" count="446" uniqueCount="67">
  <si>
    <t>Б/К</t>
  </si>
  <si>
    <t>№
п/п</t>
  </si>
  <si>
    <t>Прізвище, ім’я, по батькові</t>
  </si>
  <si>
    <t>Середній бал</t>
  </si>
  <si>
    <t>Середній бал успішності з дисципліни</t>
  </si>
  <si>
    <t>Абсолютна успішність</t>
  </si>
  <si>
    <t>Якісна успішність</t>
  </si>
  <si>
    <t>Абсолютна успішність по групі</t>
  </si>
  <si>
    <t>Якісна успішність по групі</t>
  </si>
  <si>
    <t>Кількість бюджетників</t>
  </si>
  <si>
    <t>Кількість контрактників</t>
  </si>
  <si>
    <t>Класний керівник</t>
  </si>
  <si>
    <t>Кількість соціального контингенту</t>
  </si>
  <si>
    <t>Вийшли на стипендію</t>
  </si>
  <si>
    <t>Завідувач відділення ПЗСО</t>
  </si>
  <si>
    <t>Маргарита БРІТІКОВА</t>
  </si>
  <si>
    <t>ЗВЕДЕНА ВІДОМІСТЬ</t>
  </si>
  <si>
    <t>Підсумкові оцінки дисциплін</t>
  </si>
  <si>
    <t>S</t>
  </si>
  <si>
    <t>ВІДОКРЕМЛЕНИЙ СТРУКТУРНИЙ ПІДРОЗДІЛ «ФАХОВИЙ КОЛЕДЖ НАФТОГАЗОВИХ ТЕХНОЛОГІЙ,
ІНЖЕНЕРІЇ ТА ІНФРАСТРУКТУРИ СЕРВІСУ
ОДЕСЬКОГО НАЦІОНАЛЬНОГО ТЕХНОЛОГІЧНОГО УНІВЕРСИТЕТУ»</t>
  </si>
  <si>
    <t>Успішності студентів спеціальності XXX «XXXXX»</t>
  </si>
  <si>
    <t>Група XXXX курс X</t>
  </si>
  <si>
    <t>За X семестр XXXX-XXXX н.р.</t>
  </si>
  <si>
    <t>РЕЙТИНГОВА ВІДОМІСТЬ</t>
  </si>
  <si>
    <t>Рейтинговий бал</t>
  </si>
  <si>
    <t>Успішності студентів спеціальності D5 «Маркетинг»</t>
  </si>
  <si>
    <t>За ІІ семестр 2025-2026 н.р.</t>
  </si>
  <si>
    <t>Група 26-1 курс І</t>
  </si>
  <si>
    <t>Астрономія
Наговська Т.С.</t>
  </si>
  <si>
    <t>Біологія
Богданенко О.В.</t>
  </si>
  <si>
    <t>Всесвітня історія
Мельничук С.А.</t>
  </si>
  <si>
    <t>Географія
Наговська Т.С.</t>
  </si>
  <si>
    <t>Зарубіжна література
Сербулова Ю.А.</t>
  </si>
  <si>
    <t>Захист України
Лазар В.І.</t>
  </si>
  <si>
    <t>Іноземна мова
Сербулова Ю.А.</t>
  </si>
  <si>
    <t>Інформатика
Бєльдюгіна С.С.</t>
  </si>
  <si>
    <t>Історія України
Левчук Т.Г.</t>
  </si>
  <si>
    <t>Математика
Бондаренко О.С.</t>
  </si>
  <si>
    <t>Українська література
Антропова Л.І.</t>
  </si>
  <si>
    <t>Українська мова
Антропова Л.І.</t>
  </si>
  <si>
    <t>Фізика
Калюта Н.М.</t>
  </si>
  <si>
    <t>Фізична культура
Возіян О.Г.</t>
  </si>
  <si>
    <t>Хімія
Сахно Н.О.</t>
  </si>
  <si>
    <t>Б</t>
  </si>
  <si>
    <t>Бондаренко Андрій Миколайович</t>
  </si>
  <si>
    <t>н/а</t>
  </si>
  <si>
    <t>Гриценко Світлана Анатоліївна</t>
  </si>
  <si>
    <t>К</t>
  </si>
  <si>
    <t>Карєва Анастасія Сергіївна</t>
  </si>
  <si>
    <t>Ковальчук Наталія Петрівна</t>
  </si>
  <si>
    <t>Кравченко Денис Юрійович</t>
  </si>
  <si>
    <t>Лєрманова Олена Євгенівна</t>
  </si>
  <si>
    <t>Лисенко Олена Володимирівна</t>
  </si>
  <si>
    <t>Мельниченко Софія Ігорівна</t>
  </si>
  <si>
    <t>Мороз Віктор Васильович</t>
  </si>
  <si>
    <t>Поліщук Артем Валерійович</t>
  </si>
  <si>
    <t>Присяжнюк Аміна Михайлівна</t>
  </si>
  <si>
    <t>Савельєв Олександр Вячеславович</t>
  </si>
  <si>
    <t>Савченко Марія Олегівна</t>
  </si>
  <si>
    <t>Самойлова Яна Вячеславівна</t>
  </si>
  <si>
    <t>Стегарь Евеліна Сергіївна</t>
  </si>
  <si>
    <t>Ткаченко Ірина Сергіївна</t>
  </si>
  <si>
    <t>Цвєтков Андрій Геннадійович</t>
  </si>
  <si>
    <t>Шевченко Олександр Іванович</t>
  </si>
  <si>
    <t>Ірина ДОПІРА</t>
  </si>
  <si>
    <r>
      <t xml:space="preserve">Для роботи програми </t>
    </r>
    <r>
      <rPr>
        <b/>
        <sz val="12"/>
        <color rgb="FFFF0000"/>
        <rFont val="Times New Roman"/>
        <family val="1"/>
        <charset val="204"/>
      </rPr>
      <t>S</t>
    </r>
    <r>
      <rPr>
        <b/>
        <sz val="12"/>
        <color rgb="FF000000"/>
        <rFont val="Times New Roman"/>
        <family val="1"/>
        <charset val="204"/>
      </rPr>
      <t xml:space="preserve">onata
У цьому документі повинні бути </t>
    </r>
    <r>
      <rPr>
        <b/>
        <u/>
        <sz val="12"/>
        <color rgb="FF000000"/>
        <rFont val="Times New Roman"/>
        <family val="1"/>
        <charset val="204"/>
      </rPr>
      <t xml:space="preserve"> ТІЛЬКИ </t>
    </r>
    <r>
      <rPr>
        <b/>
        <sz val="12"/>
        <color rgb="FF000000"/>
        <rFont val="Times New Roman"/>
        <family val="1"/>
        <charset val="204"/>
      </rPr>
      <t xml:space="preserve"> </t>
    </r>
    <r>
      <rPr>
        <b/>
        <sz val="12"/>
        <color rgb="FFFF0000"/>
        <rFont val="Times New Roman"/>
        <family val="1"/>
        <charset val="204"/>
      </rPr>
      <t>зведені відомості</t>
    </r>
    <r>
      <rPr>
        <b/>
        <sz val="12"/>
        <color rgb="FF000000"/>
        <rFont val="Times New Roman"/>
        <family val="1"/>
        <charset val="204"/>
      </rPr>
      <t xml:space="preserve"> усіх спеціальностей в межах однієї групи
Назви листів повинні бути "Зведена ХХХ", де ХХХ - шифр спеціальності (075 або D5 та інші)
Порядок предметів повинен бути однаковим на всіх листах (окрім листа "Приклад")
Значення, де записано ікси (Х) потрібно заповнювати
Формули не чипати. Текст "Очікую" говорить про те, що формула очікує значення для рахунку
Лист "Приклад" можна не видаляти але йому неможна змінювати назву</t>
    </r>
  </si>
  <si>
    <r>
      <rPr>
        <b/>
        <u/>
        <sz val="14"/>
        <rFont val="Times New Roman"/>
        <family val="1"/>
        <charset val="204"/>
      </rPr>
      <t>ЗАГАЛЬНА ВІДОМІСТЬ З УСІМА СПЕЦІАЛЬНОСТЯМИ</t>
    </r>
    <r>
      <rPr>
        <b/>
        <sz val="14"/>
        <rFont val="Times New Roman"/>
        <family val="1"/>
        <charset val="204"/>
      </rPr>
      <t xml:space="preserve">. НЕ ДЛЯ ДРУКУ. ЗВІДСИ ОЦІНКИ </t>
    </r>
    <r>
      <rPr>
        <b/>
        <u/>
        <sz val="14"/>
        <rFont val="Times New Roman"/>
        <family val="1"/>
        <charset val="204"/>
      </rPr>
      <t>АВТОМАТИЧНО</t>
    </r>
    <r>
      <rPr>
        <b/>
        <sz val="14"/>
        <rFont val="Times New Roman"/>
        <family val="1"/>
        <charset val="204"/>
      </rPr>
      <t xml:space="preserve"> ПЕРЕНОСЯТЬСЯ ДО ВІДОМОСТЕЙ.
</t>
    </r>
    <r>
      <rPr>
        <b/>
        <u/>
        <sz val="14"/>
        <rFont val="Times New Roman"/>
        <family val="1"/>
        <charset val="204"/>
      </rPr>
      <t>СТВОРЕНО ДЛЯ ЛЕГШОГО ЗАПОВНЕННЯ ОЦІНОК</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</si>
</sst>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4" x14ac:knownFonts="1">
    <font>
      <sz val="11"/>
      <color rgb="FF000000"/>
      <name val="Calibri"/>
    </font>
    <font>
      <sz val="11"/>
      <color rgb="FF000000"/>
      <name val="Calibri"/>
      <family val="2"/>
      <charset val="204"/>
    </font>
    <font>
      <sz val="11"/>
      <color theme="1"/>
      <name val="Calibri"/>
      <family val="2"/>
      <scheme val="minor"/>
    </font>
    <font>
      <sz val="12"/>
      <name val="Times New Roman"/>
      <family val="1"/>
      <charset val="204"/>
    </font>
    <font>
      <b/>
      <sz val="12"/>
      <name val="Times New Roman"/>
      <family val="1"/>
      <charset val="204"/>
    </font>
    <font>
      <sz val="14"/>
      <name val="Times New Roman"/>
      <family val="1"/>
      <charset val="204"/>
    </font>
    <font>
      <b/>
      <sz val="14"/>
      <name val="Times New Roman"/>
      <family val="1"/>
      <charset val="204"/>
    </font>
    <font>
      <sz val="11"/>
      <color theme="1"/>
      <name val="Calibri"/>
      <family val="2"/>
      <charset val="204"/>
      <scheme val="minor"/>
    </font>
    <font>
      <b/>
      <sz val="11"/>
      <color rgb="FFFF0000"/>
      <name val="Times New Roman"/>
      <family val="1"/>
      <charset val="204"/>
    </font>
    <font>
      <sz val="12"/>
      <color theme="1"/>
      <name val="Times New Roman"/>
      <family val="1"/>
      <charset val="204"/>
    </font>
    <font>
      <b/>
      <sz val="12"/>
      <color rgb="FF000000"/>
      <name val="Times New Roman"/>
      <family val="1"/>
      <charset val="204"/>
    </font>
    <font>
      <b/>
      <sz val="12"/>
      <color rgb="FFFF0000"/>
      <name val="Times New Roman"/>
      <family val="1"/>
      <charset val="204"/>
    </font>
    <font>
      <b/>
      <u/>
      <sz val="12"/>
      <color rgb="FF000000"/>
      <name val="Times New Roman"/>
      <family val="1"/>
      <charset val="204"/>
    </font>
    <font>
      <b/>
      <u/>
      <sz val="14"/>
      <name val="Times New Roman"/>
      <family val="1"/>
      <charset val="204"/>
    </font>
  </fonts>
  <fills count="8">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theme="0" tint="-0.249977111117893"/>
        <bgColor indexed="64"/>
      </patternFill>
    </fill>
    <fill>
      <patternFill patternType="solid">
        <fgColor theme="0"/>
        <bgColor indexed="64"/>
      </patternFill>
    </fill>
    <fill>
      <patternFill patternType="solid">
        <fgColor rgb="FFFFFFFF"/>
        <bgColor indexed="64"/>
      </patternFill>
    </fill>
    <fill>
      <patternFill patternType="solid">
        <fgColor rgb="FFBFBFBF"/>
        <bgColor indexed="64"/>
      </patternFill>
    </fill>
  </fills>
  <borders count="17">
    <border>
      <left/>
      <right/>
      <top/>
      <bottom/>
      <diagonal/>
    </border>
    <border>
      <left/>
      <right/>
      <top/>
      <bottom/>
      <diagonal/>
    </border>
    <border>
      <left style="thin">
        <color indexed="64"/>
      </left>
      <right style="thin">
        <color indexed="64"/>
      </right>
      <top style="thin">
        <color indexed="64"/>
      </top>
      <bottom style="thin">
        <color indexed="64"/>
      </bottom>
      <diagonal/>
    </border>
    <border>
      <left/>
      <right/>
      <top/>
      <bottom style="mediumDashed">
        <color auto="1"/>
      </bottom>
      <diagonal/>
    </border>
    <border>
      <left/>
      <right style="mediumDashed">
        <color auto="1"/>
      </right>
      <top/>
      <bottom/>
      <diagonal/>
    </border>
    <border>
      <left style="mediumDashed">
        <color auto="1"/>
      </left>
      <right/>
      <top/>
      <bottom/>
      <diagonal/>
    </border>
    <border>
      <left/>
      <right/>
      <top style="mediumDashed">
        <color auto="1"/>
      </top>
      <bottom/>
      <diagonal/>
    </border>
    <border>
      <left/>
      <right/>
      <top/>
      <bottom style="thin">
        <color indexed="64"/>
      </bottom>
      <diagonal/>
    </border>
    <border>
      <left style="mediumDashed">
        <color auto="1"/>
      </left>
      <right/>
      <top style="mediumDashed">
        <color auto="1"/>
      </top>
      <bottom/>
      <diagonal/>
    </border>
    <border>
      <left/>
      <right style="mediumDashed">
        <color auto="1"/>
      </right>
      <top style="mediumDashed">
        <color auto="1"/>
      </top>
      <bottom/>
      <diagonal/>
    </border>
    <border>
      <left/>
      <right style="mediumDashed">
        <color auto="1"/>
      </right>
      <top/>
      <bottom style="mediumDashed">
        <color auto="1"/>
      </bottom>
      <diagonal/>
    </border>
    <border>
      <left style="mediumDashed">
        <color auto="1"/>
      </left>
      <right/>
      <top/>
      <bottom style="mediumDashed">
        <color auto="1"/>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s>
  <cellStyleXfs count="28">
    <xf numFmtId="0" fontId="0" fillId="0" borderId="0"/>
    <xf numFmtId="0" fontId="1" fillId="0" borderId="1"/>
    <xf numFmtId="0" fontId="1" fillId="0" borderId="1"/>
    <xf numFmtId="0" fontId="1" fillId="0" borderId="1"/>
    <xf numFmtId="0" fontId="1" fillId="0" borderId="1"/>
    <xf numFmtId="0" fontId="1" fillId="0" borderId="1"/>
    <xf numFmtId="0" fontId="1" fillId="0" borderId="1"/>
    <xf numFmtId="0" fontId="1" fillId="0" borderId="1"/>
    <xf numFmtId="0" fontId="1" fillId="0" borderId="1"/>
    <xf numFmtId="0" fontId="1" fillId="0" borderId="1"/>
    <xf numFmtId="0" fontId="1" fillId="0" borderId="1"/>
    <xf numFmtId="0" fontId="1" fillId="0" borderId="1"/>
    <xf numFmtId="0" fontId="2" fillId="0" borderId="1"/>
    <xf numFmtId="0" fontId="1" fillId="0" borderId="1"/>
    <xf numFmtId="0" fontId="2" fillId="0" borderId="1"/>
    <xf numFmtId="0" fontId="1" fillId="0" borderId="1"/>
    <xf numFmtId="0" fontId="1" fillId="0" borderId="1"/>
    <xf numFmtId="0" fontId="1" fillId="0" borderId="1"/>
    <xf numFmtId="0" fontId="1" fillId="0" borderId="1"/>
    <xf numFmtId="0" fontId="1" fillId="0" borderId="1"/>
    <xf numFmtId="0" fontId="1" fillId="0" borderId="1"/>
    <xf numFmtId="0" fontId="1" fillId="0" borderId="1"/>
    <xf numFmtId="0" fontId="1" fillId="0" borderId="1"/>
    <xf numFmtId="0" fontId="7" fillId="0" borderId="1"/>
    <xf numFmtId="0" fontId="7" fillId="0" borderId="1"/>
    <xf numFmtId="0" fontId="7" fillId="0" borderId="1"/>
    <xf numFmtId="0" fontId="1" fillId="0" borderId="1"/>
    <xf numFmtId="0" fontId="2" fillId="0" borderId="1"/>
  </cellStyleXfs>
  <cellXfs count="96">
    <xf numFmtId="0" fontId="0" fillId="0" borderId="0" xfId="0"/>
    <xf numFmtId="0" fontId="3" fillId="4" borderId="1" xfId="5" applyFont="1" applyFill="1" applyAlignment="1">
      <alignment horizontal="center" vertical="center"/>
    </xf>
    <xf numFmtId="0" fontId="5" fillId="4" borderId="1" xfId="5" applyFont="1" applyFill="1" applyAlignment="1">
      <alignment horizontal="center" vertical="center"/>
    </xf>
    <xf numFmtId="0" fontId="6" fillId="4" borderId="1" xfId="5" applyFont="1" applyFill="1" applyAlignment="1">
      <alignment horizontal="center" vertical="center"/>
    </xf>
    <xf numFmtId="0" fontId="3" fillId="5" borderId="2" xfId="5" applyFont="1" applyFill="1" applyBorder="1" applyAlignment="1" applyProtection="1">
      <alignment horizontal="center" vertical="center"/>
      <protection locked="0"/>
    </xf>
    <xf numFmtId="0" fontId="3" fillId="5" borderId="2" xfId="5" applyFont="1" applyFill="1" applyBorder="1" applyAlignment="1" applyProtection="1">
      <alignment horizontal="center" vertical="center"/>
      <protection hidden="1"/>
    </xf>
    <xf numFmtId="0" fontId="3" fillId="5" borderId="1" xfId="5" applyFont="1" applyFill="1" applyAlignment="1" applyProtection="1">
      <alignment horizontal="center" vertical="center"/>
      <protection hidden="1"/>
    </xf>
    <xf numFmtId="0" fontId="3" fillId="5" borderId="2" xfId="5" applyFont="1" applyFill="1" applyBorder="1" applyAlignment="1" applyProtection="1">
      <alignment horizontal="left" vertical="center" wrapText="1"/>
      <protection hidden="1"/>
    </xf>
    <xf numFmtId="164" fontId="3" fillId="2" borderId="2" xfId="5" applyNumberFormat="1" applyFont="1" applyFill="1" applyBorder="1" applyAlignment="1" applyProtection="1">
      <alignment horizontal="center" vertical="center"/>
      <protection hidden="1"/>
    </xf>
    <xf numFmtId="2" fontId="3" fillId="2" borderId="2" xfId="5" applyNumberFormat="1" applyFont="1" applyFill="1" applyBorder="1" applyAlignment="1" applyProtection="1">
      <alignment horizontal="center" vertical="center"/>
      <protection hidden="1"/>
    </xf>
    <xf numFmtId="0" fontId="5" fillId="5" borderId="1" xfId="5" applyFont="1" applyFill="1" applyAlignment="1" applyProtection="1">
      <alignment horizontal="left" vertical="center"/>
      <protection hidden="1"/>
    </xf>
    <xf numFmtId="0" fontId="3" fillId="4" borderId="1" xfId="5" applyFont="1" applyFill="1" applyAlignment="1" applyProtection="1">
      <alignment horizontal="center" vertical="center"/>
      <protection locked="0" hidden="1"/>
    </xf>
    <xf numFmtId="0" fontId="5" fillId="5" borderId="5" xfId="5" applyFont="1" applyFill="1" applyBorder="1" applyAlignment="1" applyProtection="1">
      <alignment vertical="center"/>
      <protection locked="0" hidden="1"/>
    </xf>
    <xf numFmtId="0" fontId="3" fillId="0" borderId="2" xfId="5" applyFont="1" applyBorder="1" applyAlignment="1" applyProtection="1">
      <alignment horizontal="center" textRotation="90" wrapText="1"/>
      <protection locked="0"/>
    </xf>
    <xf numFmtId="0" fontId="3" fillId="5" borderId="3" xfId="5" applyFont="1" applyFill="1" applyBorder="1" applyAlignment="1" applyProtection="1">
      <alignment vertical="center"/>
      <protection hidden="1"/>
    </xf>
    <xf numFmtId="0" fontId="3" fillId="5" borderId="10" xfId="5" applyFont="1" applyFill="1" applyBorder="1" applyAlignment="1" applyProtection="1">
      <alignment vertical="center"/>
      <protection hidden="1"/>
    </xf>
    <xf numFmtId="0" fontId="3" fillId="4" borderId="1" xfId="5" applyFont="1" applyFill="1" applyAlignment="1" applyProtection="1">
      <alignment vertical="center"/>
      <protection hidden="1"/>
    </xf>
    <xf numFmtId="0" fontId="3" fillId="5" borderId="8" xfId="5" applyFont="1" applyFill="1" applyBorder="1" applyAlignment="1" applyProtection="1">
      <alignment vertical="center"/>
      <protection hidden="1"/>
    </xf>
    <xf numFmtId="0" fontId="3" fillId="5" borderId="6" xfId="5" applyFont="1" applyFill="1" applyBorder="1" applyAlignment="1" applyProtection="1">
      <alignment vertical="center"/>
      <protection hidden="1"/>
    </xf>
    <xf numFmtId="0" fontId="3" fillId="5" borderId="9" xfId="5" applyFont="1" applyFill="1" applyBorder="1" applyAlignment="1" applyProtection="1">
      <alignment vertical="center"/>
      <protection hidden="1"/>
    </xf>
    <xf numFmtId="0" fontId="3" fillId="5" borderId="4" xfId="5" applyFont="1" applyFill="1" applyBorder="1" applyAlignment="1" applyProtection="1">
      <alignment vertical="center"/>
      <protection hidden="1"/>
    </xf>
    <xf numFmtId="0" fontId="5" fillId="5" borderId="11" xfId="5" applyFont="1" applyFill="1" applyBorder="1" applyAlignment="1" applyProtection="1">
      <alignment vertical="center"/>
      <protection locked="0" hidden="1"/>
    </xf>
    <xf numFmtId="0" fontId="3" fillId="5" borderId="4" xfId="5" applyFont="1" applyFill="1" applyBorder="1" applyAlignment="1" applyProtection="1">
      <alignment vertical="center"/>
      <protection locked="0" hidden="1"/>
    </xf>
    <xf numFmtId="0" fontId="5" fillId="5" borderId="1" xfId="5" applyFont="1" applyFill="1" applyAlignment="1" applyProtection="1">
      <alignment horizontal="left" vertical="center"/>
      <protection locked="0"/>
    </xf>
    <xf numFmtId="0" fontId="3" fillId="6" borderId="2" xfId="5" applyFont="1" applyFill="1" applyBorder="1" applyAlignment="1" applyProtection="1">
      <alignment horizontal="center" textRotation="90" wrapText="1"/>
      <protection locked="0"/>
    </xf>
    <xf numFmtId="0" fontId="3" fillId="6" borderId="1" xfId="5" applyFont="1" applyFill="1" applyAlignment="1" applyProtection="1">
      <alignment horizontal="center" vertical="center"/>
      <protection hidden="1"/>
    </xf>
    <xf numFmtId="0" fontId="3" fillId="6" borderId="2" xfId="5" applyFont="1" applyFill="1" applyBorder="1" applyAlignment="1" applyProtection="1">
      <alignment horizontal="left" vertical="center" wrapText="1"/>
      <protection hidden="1"/>
    </xf>
    <xf numFmtId="0" fontId="5" fillId="6" borderId="1" xfId="5" applyFont="1" applyFill="1" applyAlignment="1" applyProtection="1">
      <alignment horizontal="left" vertical="center"/>
      <protection hidden="1"/>
    </xf>
    <xf numFmtId="0" fontId="5" fillId="6" borderId="1" xfId="5" applyFont="1" applyFill="1" applyAlignment="1" applyProtection="1">
      <alignment horizontal="left" vertical="center"/>
      <protection locked="0"/>
    </xf>
    <xf numFmtId="0" fontId="3" fillId="6" borderId="8" xfId="5" applyFont="1" applyFill="1" applyBorder="1" applyAlignment="1" applyProtection="1">
      <alignment vertical="center"/>
      <protection hidden="1"/>
    </xf>
    <xf numFmtId="0" fontId="3" fillId="6" borderId="6" xfId="5" applyFont="1" applyFill="1" applyBorder="1" applyAlignment="1" applyProtection="1">
      <alignment vertical="center"/>
      <protection hidden="1"/>
    </xf>
    <xf numFmtId="0" fontId="3" fillId="6" borderId="9" xfId="5" applyFont="1" applyFill="1" applyBorder="1" applyAlignment="1" applyProtection="1">
      <alignment vertical="center"/>
      <protection hidden="1"/>
    </xf>
    <xf numFmtId="0" fontId="5" fillId="6" borderId="5" xfId="5" applyFont="1" applyFill="1" applyBorder="1" applyAlignment="1" applyProtection="1">
      <alignment vertical="center"/>
      <protection locked="0" hidden="1"/>
    </xf>
    <xf numFmtId="0" fontId="3" fillId="6" borderId="4" xfId="5" applyFont="1" applyFill="1" applyBorder="1" applyAlignment="1" applyProtection="1">
      <alignment vertical="center"/>
      <protection hidden="1"/>
    </xf>
    <xf numFmtId="0" fontId="3" fillId="6" borderId="4" xfId="5" applyFont="1" applyFill="1" applyBorder="1" applyAlignment="1" applyProtection="1">
      <alignment vertical="center"/>
      <protection locked="0" hidden="1"/>
    </xf>
    <xf numFmtId="0" fontId="5" fillId="6" borderId="11" xfId="5" applyFont="1" applyFill="1" applyBorder="1" applyAlignment="1" applyProtection="1">
      <alignment vertical="center"/>
      <protection locked="0" hidden="1"/>
    </xf>
    <xf numFmtId="0" fontId="3" fillId="6" borderId="3" xfId="5" applyFont="1" applyFill="1" applyBorder="1" applyAlignment="1" applyProtection="1">
      <alignment vertical="center"/>
      <protection hidden="1"/>
    </xf>
    <xf numFmtId="0" fontId="3" fillId="6" borderId="10" xfId="5" applyFont="1" applyFill="1" applyBorder="1" applyAlignment="1" applyProtection="1">
      <alignment vertical="center"/>
      <protection hidden="1"/>
    </xf>
    <xf numFmtId="0" fontId="8" fillId="7" borderId="1" xfId="5" applyFont="1" applyFill="1" applyAlignment="1" applyProtection="1">
      <alignment horizontal="center" vertical="center"/>
      <protection hidden="1"/>
    </xf>
    <xf numFmtId="0" fontId="3" fillId="7" borderId="1" xfId="5" applyFont="1" applyFill="1" applyAlignment="1" applyProtection="1">
      <alignment vertical="center"/>
      <protection hidden="1"/>
    </xf>
    <xf numFmtId="0" fontId="3" fillId="7" borderId="1" xfId="5" applyFont="1" applyFill="1" applyAlignment="1" applyProtection="1">
      <alignment vertical="center"/>
      <protection locked="0" hidden="1"/>
    </xf>
    <xf numFmtId="0" fontId="3" fillId="7" borderId="4" xfId="5" applyFont="1" applyFill="1" applyBorder="1" applyAlignment="1" applyProtection="1">
      <alignment vertical="center"/>
      <protection locked="0" hidden="1"/>
    </xf>
    <xf numFmtId="0" fontId="3" fillId="7" borderId="1" xfId="5" applyFont="1" applyFill="1" applyAlignment="1">
      <alignment horizontal="center" vertical="center"/>
    </xf>
    <xf numFmtId="2" fontId="9" fillId="2" borderId="2" xfId="5" applyNumberFormat="1" applyFont="1" applyFill="1" applyBorder="1" applyAlignment="1">
      <alignment horizontal="center" vertical="center"/>
    </xf>
    <xf numFmtId="164" fontId="3" fillId="3" borderId="2" xfId="5" applyNumberFormat="1" applyFont="1" applyFill="1" applyBorder="1" applyAlignment="1" applyProtection="1">
      <alignment horizontal="center" vertical="center"/>
      <protection hidden="1"/>
    </xf>
    <xf numFmtId="0" fontId="3" fillId="6" borderId="2" xfId="5" applyFont="1" applyFill="1" applyBorder="1" applyAlignment="1">
      <alignment horizontal="center" vertical="center" wrapText="1"/>
    </xf>
    <xf numFmtId="0" fontId="3" fillId="6" borderId="2" xfId="5" applyFont="1" applyFill="1" applyBorder="1" applyAlignment="1">
      <alignment horizontal="left" vertical="center" wrapText="1"/>
    </xf>
    <xf numFmtId="2" fontId="3" fillId="6" borderId="2" xfId="5" applyNumberFormat="1" applyFont="1" applyFill="1" applyBorder="1" applyAlignment="1">
      <alignment horizontal="center" vertical="center"/>
    </xf>
    <xf numFmtId="0" fontId="3" fillId="5" borderId="2" xfId="5" applyFont="1" applyFill="1" applyBorder="1" applyAlignment="1">
      <alignment horizontal="center" vertical="center" wrapText="1"/>
    </xf>
    <xf numFmtId="0" fontId="3" fillId="5" borderId="2" xfId="5" applyFont="1" applyFill="1" applyBorder="1" applyAlignment="1">
      <alignment horizontal="left" vertical="center" wrapText="1"/>
    </xf>
    <xf numFmtId="0" fontId="3" fillId="5" borderId="2" xfId="5" applyFont="1" applyFill="1" applyBorder="1" applyAlignment="1">
      <alignment horizontal="center" vertical="center"/>
    </xf>
    <xf numFmtId="0" fontId="3" fillId="5" borderId="2" xfId="5" applyFont="1" applyFill="1" applyBorder="1" applyAlignment="1" applyProtection="1">
      <alignment horizontal="center" textRotation="90" wrapText="1"/>
      <protection locked="0"/>
    </xf>
    <xf numFmtId="2" fontId="3" fillId="5" borderId="2" xfId="5" applyNumberFormat="1" applyFont="1" applyFill="1" applyBorder="1" applyAlignment="1">
      <alignment horizontal="center" vertical="center"/>
    </xf>
    <xf numFmtId="0" fontId="8" fillId="4" borderId="1" xfId="5" applyFont="1" applyFill="1" applyAlignment="1" applyProtection="1">
      <alignment horizontal="center" vertical="center"/>
      <protection hidden="1"/>
    </xf>
    <xf numFmtId="0" fontId="3" fillId="4" borderId="4" xfId="5" applyFont="1" applyFill="1" applyBorder="1" applyAlignment="1" applyProtection="1">
      <alignment vertical="center"/>
      <protection locked="0" hidden="1"/>
    </xf>
    <xf numFmtId="0" fontId="3" fillId="4" borderId="1" xfId="5" applyFont="1" applyFill="1" applyAlignment="1" applyProtection="1">
      <alignment vertical="center"/>
      <protection locked="0" hidden="1"/>
    </xf>
    <xf numFmtId="0" fontId="3" fillId="5" borderId="12" xfId="5" applyFont="1" applyFill="1" applyBorder="1" applyAlignment="1" applyProtection="1">
      <alignment horizontal="left" vertical="center" wrapText="1"/>
      <protection hidden="1"/>
    </xf>
    <xf numFmtId="164" fontId="3" fillId="2" borderId="12" xfId="5" applyNumberFormat="1" applyFont="1" applyFill="1" applyBorder="1" applyAlignment="1" applyProtection="1">
      <alignment horizontal="center" vertical="center"/>
      <protection hidden="1"/>
    </xf>
    <xf numFmtId="164" fontId="3" fillId="3" borderId="13" xfId="5" applyNumberFormat="1" applyFont="1" applyFill="1" applyBorder="1" applyAlignment="1" applyProtection="1">
      <alignment horizontal="center" vertical="center"/>
      <protection hidden="1"/>
    </xf>
    <xf numFmtId="0" fontId="10" fillId="7" borderId="1" xfId="5" applyFont="1" applyFill="1" applyAlignment="1" applyProtection="1">
      <alignment vertical="top" wrapText="1"/>
      <protection hidden="1"/>
    </xf>
    <xf numFmtId="0" fontId="5" fillId="5" borderId="1" xfId="5" applyFont="1" applyFill="1" applyAlignment="1" applyProtection="1">
      <alignment vertical="top"/>
      <protection locked="0"/>
    </xf>
    <xf numFmtId="0" fontId="5" fillId="5" borderId="1" xfId="5" applyFont="1" applyFill="1" applyAlignment="1" applyProtection="1">
      <alignment vertical="top"/>
      <protection hidden="1"/>
    </xf>
    <xf numFmtId="0" fontId="5" fillId="5" borderId="1" xfId="5" applyFont="1" applyFill="1" applyProtection="1">
      <protection locked="0"/>
    </xf>
    <xf numFmtId="0" fontId="5" fillId="5" borderId="1" xfId="5" applyFont="1" applyFill="1" applyAlignment="1" applyProtection="1">
      <alignment vertical="center"/>
      <protection hidden="1"/>
    </xf>
    <xf numFmtId="0" fontId="5" fillId="5" borderId="1" xfId="5" applyFont="1" applyFill="1" applyAlignment="1" applyProtection="1">
      <alignment vertical="center"/>
      <protection locked="0"/>
    </xf>
    <xf numFmtId="2" fontId="9" fillId="5" borderId="2" xfId="5" applyNumberFormat="1" applyFont="1" applyFill="1" applyBorder="1" applyAlignment="1">
      <alignment horizontal="center" vertical="center"/>
    </xf>
    <xf numFmtId="0" fontId="5" fillId="5" borderId="1" xfId="5" applyFont="1" applyFill="1" applyProtection="1">
      <protection hidden="1"/>
    </xf>
    <xf numFmtId="0" fontId="5" fillId="5" borderId="1" xfId="5" applyFont="1" applyFill="1" applyAlignment="1" applyProtection="1">
      <alignment horizontal="left"/>
      <protection hidden="1"/>
    </xf>
    <xf numFmtId="0" fontId="5" fillId="5" borderId="1" xfId="5" applyFont="1" applyFill="1" applyAlignment="1" applyProtection="1">
      <alignment horizontal="left"/>
      <protection locked="0"/>
    </xf>
    <xf numFmtId="0" fontId="10" fillId="7" borderId="3" xfId="5" applyFont="1" applyFill="1" applyBorder="1" applyAlignment="1" applyProtection="1">
      <alignment horizontal="left" vertical="top" wrapText="1"/>
      <protection hidden="1"/>
    </xf>
    <xf numFmtId="0" fontId="5" fillId="5" borderId="1" xfId="5" applyFont="1" applyFill="1" applyAlignment="1" applyProtection="1">
      <alignment horizontal="center" wrapText="1"/>
      <protection hidden="1"/>
    </xf>
    <xf numFmtId="0" fontId="6" fillId="5" borderId="1" xfId="5" applyFont="1" applyFill="1" applyAlignment="1" applyProtection="1">
      <alignment horizontal="center" vertical="center"/>
      <protection hidden="1"/>
    </xf>
    <xf numFmtId="0" fontId="5" fillId="5" borderId="1" xfId="5" applyFont="1" applyFill="1" applyAlignment="1" applyProtection="1">
      <alignment horizontal="center" vertical="center"/>
      <protection locked="0"/>
    </xf>
    <xf numFmtId="0" fontId="5" fillId="5" borderId="7" xfId="5" applyFont="1" applyFill="1" applyBorder="1" applyAlignment="1" applyProtection="1">
      <alignment horizontal="center" vertical="center"/>
      <protection locked="0"/>
    </xf>
    <xf numFmtId="0" fontId="3" fillId="5" borderId="2" xfId="5" quotePrefix="1" applyFont="1" applyFill="1" applyBorder="1" applyAlignment="1" applyProtection="1">
      <alignment horizontal="center" vertical="center"/>
      <protection hidden="1"/>
    </xf>
    <xf numFmtId="0" fontId="3" fillId="5" borderId="2" xfId="5" applyFont="1" applyFill="1" applyBorder="1" applyAlignment="1" applyProtection="1">
      <alignment horizontal="center" vertical="center"/>
      <protection hidden="1"/>
    </xf>
    <xf numFmtId="0" fontId="3" fillId="5" borderId="2" xfId="5" applyFont="1" applyFill="1" applyBorder="1" applyAlignment="1" applyProtection="1">
      <alignment horizontal="center" vertical="center" wrapText="1"/>
      <protection hidden="1"/>
    </xf>
    <xf numFmtId="0" fontId="3" fillId="5" borderId="14" xfId="5" applyFont="1" applyFill="1" applyBorder="1" applyAlignment="1" applyProtection="1">
      <alignment horizontal="center" vertical="center"/>
      <protection hidden="1"/>
    </xf>
    <xf numFmtId="0" fontId="3" fillId="5" borderId="15" xfId="5" applyFont="1" applyFill="1" applyBorder="1" applyAlignment="1" applyProtection="1">
      <alignment horizontal="center" vertical="center"/>
      <protection hidden="1"/>
    </xf>
    <xf numFmtId="0" fontId="3" fillId="5" borderId="13" xfId="5" applyFont="1" applyFill="1" applyBorder="1" applyAlignment="1" applyProtection="1">
      <alignment horizontal="center" vertical="center"/>
      <protection hidden="1"/>
    </xf>
    <xf numFmtId="0" fontId="4" fillId="5" borderId="16" xfId="5" applyFont="1" applyFill="1" applyBorder="1" applyAlignment="1" applyProtection="1">
      <alignment horizontal="center" vertical="center" textRotation="90" wrapText="1"/>
      <protection hidden="1"/>
    </xf>
    <xf numFmtId="0" fontId="4" fillId="5" borderId="12" xfId="5" applyFont="1" applyFill="1" applyBorder="1" applyAlignment="1" applyProtection="1">
      <alignment horizontal="center" vertical="center" textRotation="90" wrapText="1"/>
      <protection hidden="1"/>
    </xf>
    <xf numFmtId="0" fontId="6" fillId="5" borderId="1" xfId="5" applyFont="1" applyFill="1" applyAlignment="1" applyProtection="1">
      <alignment horizontal="center" vertical="center" wrapText="1"/>
      <protection hidden="1"/>
    </xf>
    <xf numFmtId="0" fontId="6" fillId="5" borderId="7" xfId="5" applyFont="1" applyFill="1" applyBorder="1" applyAlignment="1" applyProtection="1">
      <alignment horizontal="center" vertical="center" wrapText="1"/>
      <protection hidden="1"/>
    </xf>
    <xf numFmtId="0" fontId="6" fillId="6" borderId="1" xfId="5" applyFont="1" applyFill="1" applyAlignment="1" applyProtection="1">
      <alignment horizontal="center" vertical="center"/>
      <protection hidden="1"/>
    </xf>
    <xf numFmtId="0" fontId="5" fillId="6" borderId="1" xfId="5" applyFont="1" applyFill="1" applyAlignment="1" applyProtection="1">
      <alignment horizontal="center" wrapText="1"/>
      <protection hidden="1"/>
    </xf>
    <xf numFmtId="0" fontId="5" fillId="6" borderId="1" xfId="5" applyFont="1" applyFill="1" applyAlignment="1" applyProtection="1">
      <alignment horizontal="center" vertical="center"/>
      <protection locked="0"/>
    </xf>
    <xf numFmtId="0" fontId="5" fillId="6" borderId="7" xfId="5" applyFont="1" applyFill="1" applyBorder="1" applyAlignment="1" applyProtection="1">
      <alignment horizontal="center" vertical="center"/>
      <protection locked="0"/>
    </xf>
    <xf numFmtId="0" fontId="3" fillId="6" borderId="2" xfId="5" quotePrefix="1" applyFont="1" applyFill="1" applyBorder="1" applyAlignment="1" applyProtection="1">
      <alignment horizontal="center" vertical="center"/>
      <protection hidden="1"/>
    </xf>
    <xf numFmtId="0" fontId="3" fillId="6" borderId="2" xfId="5" applyFont="1" applyFill="1" applyBorder="1" applyAlignment="1" applyProtection="1">
      <alignment horizontal="center" vertical="center"/>
      <protection hidden="1"/>
    </xf>
    <xf numFmtId="0" fontId="3" fillId="6" borderId="2" xfId="5" applyFont="1" applyFill="1" applyBorder="1" applyAlignment="1" applyProtection="1">
      <alignment horizontal="center" vertical="center" wrapText="1"/>
      <protection hidden="1"/>
    </xf>
    <xf numFmtId="0" fontId="3" fillId="6" borderId="14" xfId="5" applyFont="1" applyFill="1" applyBorder="1" applyAlignment="1" applyProtection="1">
      <alignment horizontal="center" vertical="center"/>
      <protection hidden="1"/>
    </xf>
    <xf numFmtId="0" fontId="3" fillId="6" borderId="15" xfId="5" applyFont="1" applyFill="1" applyBorder="1" applyAlignment="1" applyProtection="1">
      <alignment horizontal="center" vertical="center"/>
      <protection hidden="1"/>
    </xf>
    <xf numFmtId="0" fontId="3" fillId="6" borderId="13" xfId="5" applyFont="1" applyFill="1" applyBorder="1" applyAlignment="1" applyProtection="1">
      <alignment horizontal="center" vertical="center"/>
      <protection hidden="1"/>
    </xf>
    <xf numFmtId="0" fontId="4" fillId="6" borderId="16" xfId="5" applyFont="1" applyFill="1" applyBorder="1" applyAlignment="1" applyProtection="1">
      <alignment horizontal="center" vertical="center" textRotation="90" wrapText="1"/>
      <protection hidden="1"/>
    </xf>
    <xf numFmtId="0" fontId="4" fillId="6" borderId="12" xfId="5" applyFont="1" applyFill="1" applyBorder="1" applyAlignment="1" applyProtection="1">
      <alignment horizontal="center" vertical="center" textRotation="90" wrapText="1"/>
      <protection hidden="1"/>
    </xf>
  </cellXfs>
  <cellStyles count="28">
    <cellStyle name="Обычный" xfId="0" builtinId="0"/>
    <cellStyle name="Обычный 10" xfId="3" xr:uid="{00000000-0005-0000-0000-000001000000}"/>
    <cellStyle name="Обычный 10 2" xfId="4" xr:uid="{00000000-0005-0000-0000-000002000000}"/>
    <cellStyle name="Обычный 11" xfId="1" xr:uid="{00000000-0005-0000-0000-000003000000}"/>
    <cellStyle name="Обычный 11 2" xfId="5" xr:uid="{00000000-0005-0000-0000-000004000000}"/>
    <cellStyle name="Обычный 12" xfId="22" xr:uid="{00000000-0005-0000-0000-000005000000}"/>
    <cellStyle name="Обычный 13" xfId="23" xr:uid="{00000000-0005-0000-0000-000006000000}"/>
    <cellStyle name="Обычный 14" xfId="24" xr:uid="{00000000-0005-0000-0000-000007000000}"/>
    <cellStyle name="Обычный 15" xfId="25" xr:uid="{00000000-0005-0000-0000-000008000000}"/>
    <cellStyle name="Обычный 2" xfId="2" xr:uid="{00000000-0005-0000-0000-000009000000}"/>
    <cellStyle name="Обычный 2 2" xfId="6" xr:uid="{00000000-0005-0000-0000-00000A000000}"/>
    <cellStyle name="Обычный 2 3" xfId="7" xr:uid="{00000000-0005-0000-0000-00000B000000}"/>
    <cellStyle name="Обычный 2 3 2" xfId="8" xr:uid="{00000000-0005-0000-0000-00000C000000}"/>
    <cellStyle name="Обычный 2 4" xfId="9" xr:uid="{00000000-0005-0000-0000-00000D000000}"/>
    <cellStyle name="Обычный 2 4 2" xfId="10" xr:uid="{00000000-0005-0000-0000-00000E000000}"/>
    <cellStyle name="Обычный 2 5" xfId="26" xr:uid="{00000000-0005-0000-0000-00000F000000}"/>
    <cellStyle name="Обычный 2 6" xfId="27" xr:uid="{00000000-0005-0000-0000-000010000000}"/>
    <cellStyle name="Обычный 3" xfId="11" xr:uid="{00000000-0005-0000-0000-000011000000}"/>
    <cellStyle name="Обычный 3 2" xfId="12" xr:uid="{00000000-0005-0000-0000-000012000000}"/>
    <cellStyle name="Обычный 4" xfId="13" xr:uid="{00000000-0005-0000-0000-000013000000}"/>
    <cellStyle name="Обычный 4 2" xfId="14" xr:uid="{00000000-0005-0000-0000-000014000000}"/>
    <cellStyle name="Обычный 5" xfId="15" xr:uid="{00000000-0005-0000-0000-000015000000}"/>
    <cellStyle name="Обычный 6" xfId="16" xr:uid="{00000000-0005-0000-0000-000016000000}"/>
    <cellStyle name="Обычный 7" xfId="17" xr:uid="{00000000-0005-0000-0000-000017000000}"/>
    <cellStyle name="Обычный 8" xfId="18" xr:uid="{00000000-0005-0000-0000-000018000000}"/>
    <cellStyle name="Обычный 8 2" xfId="19" xr:uid="{00000000-0005-0000-0000-000019000000}"/>
    <cellStyle name="Обычный 9" xfId="20" xr:uid="{00000000-0005-0000-0000-00001A000000}"/>
    <cellStyle name="Обычный 9 2" xfId="21" xr:uid="{00000000-0005-0000-0000-00001B000000}"/>
  </cellStyles>
  <dxfs count="0"/>
  <tableStyles count="1" defaultTableStyle="TableStyleMedium9" defaultPivotStyle="PivotStyleLight16">
    <tableStyle name="Стиль сводной таблицы 1" table="0" count="0" xr9:uid="{00000000-0011-0000-FFFF-FFFF00000000}"/>
  </tableStyles>
  <colors>
    <mruColors>
      <color rgb="FFE26B0A"/>
      <color rgb="FFFEFFFF"/>
      <color rgb="FFFFFF00"/>
      <color rgb="FFFFFFFF"/>
      <color rgb="FFBFBFBF"/>
      <color rgb="FFFF0000"/>
      <color rgb="FF000000"/>
      <color rgb="FFD9D9D9"/>
      <color rgb="FF7030A0"/>
      <color rgb="FF0070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Тема">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7030A0"/>
    <pageSetUpPr fitToPage="1"/>
  </sheetPr>
  <dimension ref="A1:BH38"/>
  <sheetViews>
    <sheetView zoomScaleNormal="100" workbookViewId="0"/>
  </sheetViews>
  <sheetFormatPr defaultColWidth="0" defaultRowHeight="0" customHeight="1" zeroHeight="1" x14ac:dyDescent="0.25"/>
  <cols>
    <col min="1" max="2" width="2.7109375" style="1" customWidth="1"/>
    <col min="3" max="3" width="4" style="1" customWidth="1"/>
    <col min="4" max="4" width="6.5703125" style="1" customWidth="1"/>
    <col min="5" max="5" width="40.42578125" style="1" customWidth="1"/>
    <col min="6" max="20" width="6.7109375" style="1" customWidth="1"/>
    <col min="21" max="21" width="11.28515625" style="1" customWidth="1"/>
    <col min="22" max="23" width="2.7109375" style="1" customWidth="1"/>
    <col min="24" max="29" width="14.42578125" style="1" hidden="1" customWidth="1"/>
    <col min="30" max="30" width="14.85546875" style="1" hidden="1" customWidth="1"/>
    <col min="31" max="44" width="3.7109375" style="1" hidden="1" customWidth="1"/>
    <col min="45" max="60" width="5.7109375" style="1" hidden="1" customWidth="1"/>
    <col min="61" max="16384" width="14.42578125" style="1" hidden="1"/>
  </cols>
  <sheetData>
    <row r="1" spans="1:23" ht="129.94999999999999" customHeight="1" thickBot="1" x14ac:dyDescent="0.3">
      <c r="A1" s="53" t="s">
        <v>18</v>
      </c>
      <c r="B1" s="69" t="s">
        <v>65</v>
      </c>
      <c r="C1" s="69"/>
      <c r="D1" s="69"/>
      <c r="E1" s="69"/>
      <c r="F1" s="69"/>
      <c r="G1" s="69"/>
      <c r="H1" s="69"/>
      <c r="I1" s="69"/>
      <c r="J1" s="69"/>
      <c r="K1" s="69"/>
      <c r="L1" s="69"/>
      <c r="M1" s="69"/>
      <c r="N1" s="69"/>
      <c r="O1" s="69"/>
      <c r="P1" s="69"/>
      <c r="Q1" s="69"/>
      <c r="R1" s="69"/>
      <c r="S1" s="69"/>
      <c r="T1" s="69"/>
      <c r="U1" s="69"/>
      <c r="V1" s="69"/>
      <c r="W1" s="59"/>
    </row>
    <row r="2" spans="1:23" ht="12" customHeight="1" x14ac:dyDescent="0.25">
      <c r="A2" s="54"/>
      <c r="B2" s="17"/>
      <c r="C2" s="18"/>
      <c r="D2" s="18"/>
      <c r="E2" s="18"/>
      <c r="F2" s="18"/>
      <c r="G2" s="18"/>
      <c r="H2" s="18"/>
      <c r="I2" s="18"/>
      <c r="J2" s="18"/>
      <c r="K2" s="18"/>
      <c r="L2" s="18"/>
      <c r="M2" s="18"/>
      <c r="N2" s="18"/>
      <c r="O2" s="18"/>
      <c r="P2" s="18"/>
      <c r="Q2" s="18"/>
      <c r="R2" s="18"/>
      <c r="S2" s="18"/>
      <c r="T2" s="18"/>
      <c r="U2" s="18"/>
      <c r="V2" s="19"/>
      <c r="W2" s="55"/>
    </row>
    <row r="3" spans="1:23" s="2" customFormat="1" ht="54.95" customHeight="1" x14ac:dyDescent="0.3">
      <c r="A3" s="54"/>
      <c r="B3" s="12"/>
      <c r="C3" s="70" t="s">
        <v>19</v>
      </c>
      <c r="D3" s="70"/>
      <c r="E3" s="70"/>
      <c r="F3" s="70"/>
      <c r="G3" s="70"/>
      <c r="H3" s="70"/>
      <c r="I3" s="70"/>
      <c r="J3" s="70"/>
      <c r="K3" s="70"/>
      <c r="L3" s="70"/>
      <c r="M3" s="70"/>
      <c r="N3" s="70"/>
      <c r="O3" s="70"/>
      <c r="P3" s="70"/>
      <c r="Q3" s="70"/>
      <c r="R3" s="70"/>
      <c r="S3" s="70"/>
      <c r="T3" s="70"/>
      <c r="U3" s="70"/>
      <c r="V3" s="20"/>
      <c r="W3" s="55"/>
    </row>
    <row r="4" spans="1:23" s="3" customFormat="1" ht="15" customHeight="1" x14ac:dyDescent="0.25">
      <c r="A4" s="54"/>
      <c r="B4" s="12"/>
      <c r="C4" s="71" t="s">
        <v>16</v>
      </c>
      <c r="D4" s="71"/>
      <c r="E4" s="71"/>
      <c r="F4" s="71"/>
      <c r="G4" s="71"/>
      <c r="H4" s="71"/>
      <c r="I4" s="71"/>
      <c r="J4" s="71"/>
      <c r="K4" s="71"/>
      <c r="L4" s="71"/>
      <c r="M4" s="71"/>
      <c r="N4" s="71"/>
      <c r="O4" s="71"/>
      <c r="P4" s="71"/>
      <c r="Q4" s="71"/>
      <c r="R4" s="71"/>
      <c r="S4" s="71"/>
      <c r="T4" s="71"/>
      <c r="U4" s="71"/>
      <c r="V4" s="20"/>
      <c r="W4" s="55"/>
    </row>
    <row r="5" spans="1:23" s="2" customFormat="1" ht="15" customHeight="1" x14ac:dyDescent="0.25">
      <c r="A5" s="54"/>
      <c r="B5" s="12"/>
      <c r="C5" s="72" t="s">
        <v>25</v>
      </c>
      <c r="D5" s="72"/>
      <c r="E5" s="72"/>
      <c r="F5" s="72"/>
      <c r="G5" s="72"/>
      <c r="H5" s="72"/>
      <c r="I5" s="72"/>
      <c r="J5" s="72"/>
      <c r="K5" s="72"/>
      <c r="L5" s="72"/>
      <c r="M5" s="72"/>
      <c r="N5" s="72"/>
      <c r="O5" s="72"/>
      <c r="P5" s="72"/>
      <c r="Q5" s="72"/>
      <c r="R5" s="72"/>
      <c r="S5" s="72"/>
      <c r="T5" s="72"/>
      <c r="U5" s="72"/>
      <c r="V5" s="20"/>
      <c r="W5" s="55"/>
    </row>
    <row r="6" spans="1:23" s="2" customFormat="1" ht="15" customHeight="1" x14ac:dyDescent="0.25">
      <c r="A6" s="54"/>
      <c r="B6" s="12"/>
      <c r="C6" s="72" t="s">
        <v>26</v>
      </c>
      <c r="D6" s="72"/>
      <c r="E6" s="72"/>
      <c r="F6" s="72"/>
      <c r="G6" s="72"/>
      <c r="H6" s="72"/>
      <c r="I6" s="72"/>
      <c r="J6" s="72"/>
      <c r="K6" s="72"/>
      <c r="L6" s="72"/>
      <c r="M6" s="72"/>
      <c r="N6" s="72"/>
      <c r="O6" s="72"/>
      <c r="P6" s="72"/>
      <c r="Q6" s="72"/>
      <c r="R6" s="72"/>
      <c r="S6" s="72"/>
      <c r="T6" s="72"/>
      <c r="U6" s="72"/>
      <c r="V6" s="20"/>
      <c r="W6" s="55"/>
    </row>
    <row r="7" spans="1:23" s="2" customFormat="1" ht="15" customHeight="1" x14ac:dyDescent="0.25">
      <c r="A7" s="54"/>
      <c r="B7" s="12"/>
      <c r="C7" s="73" t="s">
        <v>27</v>
      </c>
      <c r="D7" s="73"/>
      <c r="E7" s="73"/>
      <c r="F7" s="73"/>
      <c r="G7" s="73"/>
      <c r="H7" s="73"/>
      <c r="I7" s="73"/>
      <c r="J7" s="73"/>
      <c r="K7" s="73"/>
      <c r="L7" s="73"/>
      <c r="M7" s="73"/>
      <c r="N7" s="73"/>
      <c r="O7" s="73"/>
      <c r="P7" s="73"/>
      <c r="Q7" s="73"/>
      <c r="R7" s="73"/>
      <c r="S7" s="73"/>
      <c r="T7" s="73"/>
      <c r="U7" s="73"/>
      <c r="V7" s="20"/>
      <c r="W7" s="55"/>
    </row>
    <row r="8" spans="1:23" ht="15" customHeight="1" x14ac:dyDescent="0.25">
      <c r="A8" s="54"/>
      <c r="B8" s="12"/>
      <c r="C8" s="74" t="s">
        <v>0</v>
      </c>
      <c r="D8" s="76" t="s">
        <v>1</v>
      </c>
      <c r="E8" s="76" t="s">
        <v>2</v>
      </c>
      <c r="F8" s="77" t="s">
        <v>17</v>
      </c>
      <c r="G8" s="78"/>
      <c r="H8" s="78"/>
      <c r="I8" s="78"/>
      <c r="J8" s="78"/>
      <c r="K8" s="78"/>
      <c r="L8" s="78"/>
      <c r="M8" s="78"/>
      <c r="N8" s="78"/>
      <c r="O8" s="78"/>
      <c r="P8" s="78"/>
      <c r="Q8" s="78"/>
      <c r="R8" s="78"/>
      <c r="S8" s="78"/>
      <c r="T8" s="79"/>
      <c r="U8" s="80" t="s">
        <v>3</v>
      </c>
      <c r="V8" s="20"/>
      <c r="W8" s="55"/>
    </row>
    <row r="9" spans="1:23" ht="125.1" customHeight="1" x14ac:dyDescent="0.25">
      <c r="A9" s="54"/>
      <c r="B9" s="12"/>
      <c r="C9" s="75"/>
      <c r="D9" s="75"/>
      <c r="E9" s="75"/>
      <c r="F9" s="13" t="s">
        <v>28</v>
      </c>
      <c r="G9" s="13" t="s">
        <v>29</v>
      </c>
      <c r="H9" s="13" t="s">
        <v>30</v>
      </c>
      <c r="I9" s="13" t="s">
        <v>31</v>
      </c>
      <c r="J9" s="13" t="s">
        <v>32</v>
      </c>
      <c r="K9" s="13" t="s">
        <v>33</v>
      </c>
      <c r="L9" s="13" t="s">
        <v>34</v>
      </c>
      <c r="M9" s="13" t="s">
        <v>35</v>
      </c>
      <c r="N9" s="13" t="s">
        <v>36</v>
      </c>
      <c r="O9" s="13" t="s">
        <v>37</v>
      </c>
      <c r="P9" s="13" t="s">
        <v>38</v>
      </c>
      <c r="Q9" s="13" t="s">
        <v>39</v>
      </c>
      <c r="R9" s="13" t="s">
        <v>40</v>
      </c>
      <c r="S9" s="13" t="s">
        <v>41</v>
      </c>
      <c r="T9" s="13" t="s">
        <v>42</v>
      </c>
      <c r="U9" s="81"/>
      <c r="V9" s="20"/>
      <c r="W9" s="55"/>
    </row>
    <row r="10" spans="1:23" s="11" customFormat="1" ht="15" customHeight="1" x14ac:dyDescent="0.25">
      <c r="A10" s="54"/>
      <c r="B10" s="12"/>
      <c r="C10" s="48" t="s">
        <v>43</v>
      </c>
      <c r="D10" s="48">
        <v>1</v>
      </c>
      <c r="E10" s="49" t="s">
        <v>44</v>
      </c>
      <c r="F10" s="50">
        <v>6</v>
      </c>
      <c r="G10" s="50">
        <v>4</v>
      </c>
      <c r="H10" s="50">
        <v>5</v>
      </c>
      <c r="I10" s="50">
        <v>9</v>
      </c>
      <c r="J10" s="50">
        <v>4</v>
      </c>
      <c r="K10" s="50">
        <v>5</v>
      </c>
      <c r="L10" s="50">
        <v>7</v>
      </c>
      <c r="M10" s="50">
        <v>8</v>
      </c>
      <c r="N10" s="50" t="s">
        <v>45</v>
      </c>
      <c r="O10" s="50">
        <v>10</v>
      </c>
      <c r="P10" s="50">
        <v>8</v>
      </c>
      <c r="Q10" s="50">
        <v>7</v>
      </c>
      <c r="R10" s="50">
        <v>8</v>
      </c>
      <c r="S10" s="50">
        <v>9</v>
      </c>
      <c r="T10" s="50">
        <v>5</v>
      </c>
      <c r="U10" s="43" t="str">
        <f>IF(COUNTIF(F10:T10,"=*")&gt;0,IF($C10="К","-"," - "),IF(COUNTIF(F10:T10,"&lt;4")&gt;0,IF(C10="К","-"," - "),(IFERROR(AVERAGE(F10:T10),"Очікую"))))</f>
        <v xml:space="preserve"> - </v>
      </c>
      <c r="V10" s="22"/>
      <c r="W10" s="55"/>
    </row>
    <row r="11" spans="1:23" s="11" customFormat="1" ht="15" customHeight="1" x14ac:dyDescent="0.25">
      <c r="A11" s="54"/>
      <c r="B11" s="12"/>
      <c r="C11" s="48" t="s">
        <v>43</v>
      </c>
      <c r="D11" s="48">
        <v>2</v>
      </c>
      <c r="E11" s="49" t="s">
        <v>46</v>
      </c>
      <c r="F11" s="50">
        <v>7</v>
      </c>
      <c r="G11" s="50">
        <v>8</v>
      </c>
      <c r="H11" s="50">
        <v>5</v>
      </c>
      <c r="I11" s="50">
        <v>7</v>
      </c>
      <c r="J11" s="50">
        <v>9</v>
      </c>
      <c r="K11" s="50">
        <v>6</v>
      </c>
      <c r="L11" s="50">
        <v>9</v>
      </c>
      <c r="M11" s="50">
        <v>11</v>
      </c>
      <c r="N11" s="50" t="s">
        <v>45</v>
      </c>
      <c r="O11" s="50">
        <v>8</v>
      </c>
      <c r="P11" s="50">
        <v>7</v>
      </c>
      <c r="Q11" s="50">
        <v>7</v>
      </c>
      <c r="R11" s="50">
        <v>11</v>
      </c>
      <c r="S11" s="50">
        <v>4</v>
      </c>
      <c r="T11" s="50">
        <v>5</v>
      </c>
      <c r="U11" s="43" t="str">
        <f t="shared" ref="U11:U27" si="0">IF(COUNTIF(F11:T11,"=*")&gt;0,IF($C11="К","-"," - "),IF(COUNTIF(F11:T11,"&lt;4")&gt;0,IF(C11="К","-"," - "),(IFERROR(AVERAGE(F11:T11),"Очікую"))))</f>
        <v xml:space="preserve"> - </v>
      </c>
      <c r="V11" s="22"/>
      <c r="W11" s="55"/>
    </row>
    <row r="12" spans="1:23" s="11" customFormat="1" ht="15" customHeight="1" x14ac:dyDescent="0.25">
      <c r="A12" s="54"/>
      <c r="B12" s="12"/>
      <c r="C12" s="48" t="s">
        <v>47</v>
      </c>
      <c r="D12" s="48">
        <v>3</v>
      </c>
      <c r="E12" s="49" t="s">
        <v>48</v>
      </c>
      <c r="F12" s="50">
        <v>4</v>
      </c>
      <c r="G12" s="50">
        <v>11</v>
      </c>
      <c r="H12" s="50">
        <v>5</v>
      </c>
      <c r="I12" s="50">
        <v>4</v>
      </c>
      <c r="J12" s="50" t="s">
        <v>45</v>
      </c>
      <c r="K12" s="50">
        <v>4</v>
      </c>
      <c r="L12" s="50">
        <v>10</v>
      </c>
      <c r="M12" s="50">
        <v>11</v>
      </c>
      <c r="N12" s="50">
        <v>6</v>
      </c>
      <c r="O12" s="50">
        <v>8</v>
      </c>
      <c r="P12" s="50">
        <v>9</v>
      </c>
      <c r="Q12" s="50">
        <v>10</v>
      </c>
      <c r="R12" s="50">
        <v>10</v>
      </c>
      <c r="S12" s="50" t="s">
        <v>45</v>
      </c>
      <c r="T12" s="50">
        <v>9</v>
      </c>
      <c r="U12" s="43" t="str">
        <f t="shared" si="0"/>
        <v>-</v>
      </c>
      <c r="V12" s="22"/>
      <c r="W12" s="55"/>
    </row>
    <row r="13" spans="1:23" s="11" customFormat="1" ht="15" customHeight="1" x14ac:dyDescent="0.25">
      <c r="A13" s="54"/>
      <c r="B13" s="12"/>
      <c r="C13" s="48" t="s">
        <v>47</v>
      </c>
      <c r="D13" s="48">
        <v>4</v>
      </c>
      <c r="E13" s="49" t="s">
        <v>49</v>
      </c>
      <c r="F13" s="50">
        <v>8</v>
      </c>
      <c r="G13" s="50">
        <v>5</v>
      </c>
      <c r="H13" s="50">
        <v>6</v>
      </c>
      <c r="I13" s="50">
        <v>6</v>
      </c>
      <c r="J13" s="50">
        <v>10</v>
      </c>
      <c r="K13" s="50">
        <v>7</v>
      </c>
      <c r="L13" s="50">
        <v>9</v>
      </c>
      <c r="M13" s="50">
        <v>5</v>
      </c>
      <c r="N13" s="50">
        <v>8</v>
      </c>
      <c r="O13" s="50">
        <v>10</v>
      </c>
      <c r="P13" s="50">
        <v>5</v>
      </c>
      <c r="Q13" s="50">
        <v>8</v>
      </c>
      <c r="R13" s="50">
        <v>6</v>
      </c>
      <c r="S13" s="50">
        <v>11</v>
      </c>
      <c r="T13" s="50">
        <v>11</v>
      </c>
      <c r="U13" s="43">
        <f t="shared" si="0"/>
        <v>7.666666666666667</v>
      </c>
      <c r="V13" s="22"/>
      <c r="W13" s="55"/>
    </row>
    <row r="14" spans="1:23" s="11" customFormat="1" ht="15" customHeight="1" x14ac:dyDescent="0.25">
      <c r="A14" s="54"/>
      <c r="B14" s="12"/>
      <c r="C14" s="48" t="s">
        <v>43</v>
      </c>
      <c r="D14" s="48">
        <v>5</v>
      </c>
      <c r="E14" s="49" t="s">
        <v>50</v>
      </c>
      <c r="F14" s="50">
        <v>9</v>
      </c>
      <c r="G14" s="50">
        <v>6</v>
      </c>
      <c r="H14" s="50">
        <v>7</v>
      </c>
      <c r="I14" s="50">
        <v>4</v>
      </c>
      <c r="J14" s="50">
        <v>6</v>
      </c>
      <c r="K14" s="50">
        <v>7</v>
      </c>
      <c r="L14" s="50" t="s">
        <v>45</v>
      </c>
      <c r="M14" s="50">
        <v>6</v>
      </c>
      <c r="N14" s="50">
        <v>11</v>
      </c>
      <c r="O14" s="50">
        <v>10</v>
      </c>
      <c r="P14" s="50" t="s">
        <v>45</v>
      </c>
      <c r="Q14" s="50">
        <v>5</v>
      </c>
      <c r="R14" s="50">
        <v>10</v>
      </c>
      <c r="S14" s="50">
        <v>10</v>
      </c>
      <c r="T14" s="50">
        <v>5</v>
      </c>
      <c r="U14" s="43" t="str">
        <f t="shared" si="0"/>
        <v xml:space="preserve"> - </v>
      </c>
      <c r="V14" s="22"/>
      <c r="W14" s="55"/>
    </row>
    <row r="15" spans="1:23" s="11" customFormat="1" ht="15" customHeight="1" x14ac:dyDescent="0.25">
      <c r="A15" s="54"/>
      <c r="B15" s="12"/>
      <c r="C15" s="48" t="s">
        <v>47</v>
      </c>
      <c r="D15" s="48">
        <v>6</v>
      </c>
      <c r="E15" s="49" t="s">
        <v>51</v>
      </c>
      <c r="F15" s="50">
        <v>4</v>
      </c>
      <c r="G15" s="50">
        <v>8</v>
      </c>
      <c r="H15" s="50">
        <v>4</v>
      </c>
      <c r="I15" s="50">
        <v>5</v>
      </c>
      <c r="J15" s="50">
        <v>11</v>
      </c>
      <c r="K15" s="50">
        <v>6</v>
      </c>
      <c r="L15" s="50">
        <v>8</v>
      </c>
      <c r="M15" s="50">
        <v>8</v>
      </c>
      <c r="N15" s="50">
        <v>10</v>
      </c>
      <c r="O15" s="50">
        <v>7</v>
      </c>
      <c r="P15" s="50" t="s">
        <v>45</v>
      </c>
      <c r="Q15" s="50">
        <v>5</v>
      </c>
      <c r="R15" s="50" t="s">
        <v>45</v>
      </c>
      <c r="S15" s="50">
        <v>11</v>
      </c>
      <c r="T15" s="50" t="s">
        <v>45</v>
      </c>
      <c r="U15" s="43" t="str">
        <f t="shared" si="0"/>
        <v>-</v>
      </c>
      <c r="V15" s="22"/>
      <c r="W15" s="55"/>
    </row>
    <row r="16" spans="1:23" s="11" customFormat="1" ht="15" customHeight="1" x14ac:dyDescent="0.25">
      <c r="A16" s="54"/>
      <c r="B16" s="12"/>
      <c r="C16" s="48" t="s">
        <v>43</v>
      </c>
      <c r="D16" s="48">
        <v>7</v>
      </c>
      <c r="E16" s="49" t="s">
        <v>52</v>
      </c>
      <c r="F16" s="50">
        <v>8</v>
      </c>
      <c r="G16" s="50">
        <v>8</v>
      </c>
      <c r="H16" s="50">
        <v>8</v>
      </c>
      <c r="I16" s="50" t="s">
        <v>45</v>
      </c>
      <c r="J16" s="50">
        <v>10</v>
      </c>
      <c r="K16" s="50">
        <v>8</v>
      </c>
      <c r="L16" s="50">
        <v>8</v>
      </c>
      <c r="M16" s="50">
        <v>4</v>
      </c>
      <c r="N16" s="50">
        <v>8</v>
      </c>
      <c r="O16" s="50">
        <v>8</v>
      </c>
      <c r="P16" s="50" t="s">
        <v>45</v>
      </c>
      <c r="Q16" s="50" t="s">
        <v>45</v>
      </c>
      <c r="R16" s="50">
        <v>5</v>
      </c>
      <c r="S16" s="50">
        <v>10</v>
      </c>
      <c r="T16" s="50">
        <v>10</v>
      </c>
      <c r="U16" s="43" t="str">
        <f t="shared" si="0"/>
        <v xml:space="preserve"> - </v>
      </c>
      <c r="V16" s="22"/>
      <c r="W16" s="55"/>
    </row>
    <row r="17" spans="1:23" s="11" customFormat="1" ht="15" customHeight="1" x14ac:dyDescent="0.25">
      <c r="A17" s="54"/>
      <c r="B17" s="12"/>
      <c r="C17" s="48" t="s">
        <v>47</v>
      </c>
      <c r="D17" s="48">
        <v>8</v>
      </c>
      <c r="E17" s="49" t="s">
        <v>53</v>
      </c>
      <c r="F17" s="50">
        <v>10</v>
      </c>
      <c r="G17" s="50">
        <v>8</v>
      </c>
      <c r="H17" s="50">
        <v>7</v>
      </c>
      <c r="I17" s="50">
        <v>8</v>
      </c>
      <c r="J17" s="50">
        <v>11</v>
      </c>
      <c r="K17" s="50">
        <v>9</v>
      </c>
      <c r="L17" s="50">
        <v>10</v>
      </c>
      <c r="M17" s="50">
        <v>10</v>
      </c>
      <c r="N17" s="50">
        <v>9</v>
      </c>
      <c r="O17" s="50">
        <v>6</v>
      </c>
      <c r="P17" s="50">
        <v>5</v>
      </c>
      <c r="Q17" s="50">
        <v>7</v>
      </c>
      <c r="R17" s="50">
        <v>8</v>
      </c>
      <c r="S17" s="50">
        <v>10</v>
      </c>
      <c r="T17" s="50">
        <v>4</v>
      </c>
      <c r="U17" s="43">
        <f t="shared" si="0"/>
        <v>8.1333333333333329</v>
      </c>
      <c r="V17" s="22"/>
      <c r="W17" s="55"/>
    </row>
    <row r="18" spans="1:23" s="11" customFormat="1" ht="15" customHeight="1" x14ac:dyDescent="0.25">
      <c r="A18" s="54"/>
      <c r="B18" s="12"/>
      <c r="C18" s="48" t="s">
        <v>47</v>
      </c>
      <c r="D18" s="48">
        <v>9</v>
      </c>
      <c r="E18" s="49" t="s">
        <v>54</v>
      </c>
      <c r="F18" s="50">
        <v>4</v>
      </c>
      <c r="G18" s="50">
        <v>9</v>
      </c>
      <c r="H18" s="50">
        <v>4</v>
      </c>
      <c r="I18" s="50" t="s">
        <v>45</v>
      </c>
      <c r="J18" s="50">
        <v>9</v>
      </c>
      <c r="K18" s="50">
        <v>6</v>
      </c>
      <c r="L18" s="50" t="s">
        <v>45</v>
      </c>
      <c r="M18" s="50">
        <v>11</v>
      </c>
      <c r="N18" s="50">
        <v>11</v>
      </c>
      <c r="O18" s="50">
        <v>10</v>
      </c>
      <c r="P18" s="50">
        <v>8</v>
      </c>
      <c r="Q18" s="50">
        <v>11</v>
      </c>
      <c r="R18" s="50">
        <v>9</v>
      </c>
      <c r="S18" s="50">
        <v>7</v>
      </c>
      <c r="T18" s="50">
        <v>11</v>
      </c>
      <c r="U18" s="43" t="str">
        <f t="shared" si="0"/>
        <v>-</v>
      </c>
      <c r="V18" s="22"/>
      <c r="W18" s="55"/>
    </row>
    <row r="19" spans="1:23" s="11" customFormat="1" ht="15" customHeight="1" x14ac:dyDescent="0.25">
      <c r="A19" s="54"/>
      <c r="B19" s="12"/>
      <c r="C19" s="48" t="s">
        <v>43</v>
      </c>
      <c r="D19" s="48">
        <v>10</v>
      </c>
      <c r="E19" s="49" t="s">
        <v>55</v>
      </c>
      <c r="F19" s="50">
        <v>4</v>
      </c>
      <c r="G19" s="50">
        <v>4</v>
      </c>
      <c r="H19" s="50">
        <v>7</v>
      </c>
      <c r="I19" s="50">
        <v>9</v>
      </c>
      <c r="J19" s="50">
        <v>9</v>
      </c>
      <c r="K19" s="50">
        <v>6</v>
      </c>
      <c r="L19" s="50">
        <v>8</v>
      </c>
      <c r="M19" s="50">
        <v>8</v>
      </c>
      <c r="N19" s="50">
        <v>10</v>
      </c>
      <c r="O19" s="50">
        <v>4</v>
      </c>
      <c r="P19" s="50">
        <v>11</v>
      </c>
      <c r="Q19" s="50">
        <v>7</v>
      </c>
      <c r="R19" s="50">
        <v>8</v>
      </c>
      <c r="S19" s="50">
        <v>10</v>
      </c>
      <c r="T19" s="50">
        <v>8</v>
      </c>
      <c r="U19" s="43">
        <f t="shared" si="0"/>
        <v>7.5333333333333332</v>
      </c>
      <c r="V19" s="22"/>
      <c r="W19" s="55"/>
    </row>
    <row r="20" spans="1:23" s="11" customFormat="1" ht="15" customHeight="1" x14ac:dyDescent="0.25">
      <c r="A20" s="54"/>
      <c r="B20" s="12"/>
      <c r="C20" s="48" t="s">
        <v>43</v>
      </c>
      <c r="D20" s="48">
        <v>11</v>
      </c>
      <c r="E20" s="49" t="s">
        <v>56</v>
      </c>
      <c r="F20" s="50">
        <v>8</v>
      </c>
      <c r="G20" s="50">
        <v>11</v>
      </c>
      <c r="H20" s="50">
        <v>4</v>
      </c>
      <c r="I20" s="50">
        <v>10</v>
      </c>
      <c r="J20" s="50">
        <v>5</v>
      </c>
      <c r="K20" s="50">
        <v>8</v>
      </c>
      <c r="L20" s="50">
        <v>11</v>
      </c>
      <c r="M20" s="50">
        <v>9</v>
      </c>
      <c r="N20" s="50">
        <v>5</v>
      </c>
      <c r="O20" s="50">
        <v>8</v>
      </c>
      <c r="P20" s="50">
        <v>4</v>
      </c>
      <c r="Q20" s="50">
        <v>7</v>
      </c>
      <c r="R20" s="50">
        <v>11</v>
      </c>
      <c r="S20" s="50">
        <v>8</v>
      </c>
      <c r="T20" s="50">
        <v>5</v>
      </c>
      <c r="U20" s="43">
        <f t="shared" si="0"/>
        <v>7.6</v>
      </c>
      <c r="V20" s="22"/>
      <c r="W20" s="55"/>
    </row>
    <row r="21" spans="1:23" s="11" customFormat="1" ht="15" customHeight="1" x14ac:dyDescent="0.25">
      <c r="A21" s="54"/>
      <c r="B21" s="12"/>
      <c r="C21" s="48" t="s">
        <v>47</v>
      </c>
      <c r="D21" s="48">
        <v>12</v>
      </c>
      <c r="E21" s="49" t="s">
        <v>57</v>
      </c>
      <c r="F21" s="50">
        <v>9</v>
      </c>
      <c r="G21" s="50">
        <v>8</v>
      </c>
      <c r="H21" s="50">
        <v>11</v>
      </c>
      <c r="I21" s="50">
        <v>5</v>
      </c>
      <c r="J21" s="50">
        <v>8</v>
      </c>
      <c r="K21" s="50">
        <v>5</v>
      </c>
      <c r="L21" s="50">
        <v>5</v>
      </c>
      <c r="M21" s="50">
        <v>8</v>
      </c>
      <c r="N21" s="50">
        <v>6</v>
      </c>
      <c r="O21" s="50">
        <v>11</v>
      </c>
      <c r="P21" s="50">
        <v>9</v>
      </c>
      <c r="Q21" s="50">
        <v>8</v>
      </c>
      <c r="R21" s="50">
        <v>8</v>
      </c>
      <c r="S21" s="50">
        <v>8</v>
      </c>
      <c r="T21" s="50">
        <v>8</v>
      </c>
      <c r="U21" s="43">
        <f t="shared" si="0"/>
        <v>7.8</v>
      </c>
      <c r="V21" s="22"/>
      <c r="W21" s="55"/>
    </row>
    <row r="22" spans="1:23" s="11" customFormat="1" ht="15" customHeight="1" x14ac:dyDescent="0.25">
      <c r="A22" s="54"/>
      <c r="B22" s="12"/>
      <c r="C22" s="48" t="s">
        <v>47</v>
      </c>
      <c r="D22" s="48">
        <v>13</v>
      </c>
      <c r="E22" s="49" t="s">
        <v>58</v>
      </c>
      <c r="F22" s="50">
        <v>11</v>
      </c>
      <c r="G22" s="50">
        <v>6</v>
      </c>
      <c r="H22" s="50" t="s">
        <v>45</v>
      </c>
      <c r="I22" s="50">
        <v>9</v>
      </c>
      <c r="J22" s="50">
        <v>9</v>
      </c>
      <c r="K22" s="50" t="s">
        <v>45</v>
      </c>
      <c r="L22" s="50">
        <v>8</v>
      </c>
      <c r="M22" s="50">
        <v>11</v>
      </c>
      <c r="N22" s="50">
        <v>5</v>
      </c>
      <c r="O22" s="50">
        <v>6</v>
      </c>
      <c r="P22" s="50">
        <v>4</v>
      </c>
      <c r="Q22" s="50">
        <v>11</v>
      </c>
      <c r="R22" s="50">
        <v>9</v>
      </c>
      <c r="S22" s="50">
        <v>6</v>
      </c>
      <c r="T22" s="50">
        <v>8</v>
      </c>
      <c r="U22" s="43" t="str">
        <f t="shared" si="0"/>
        <v>-</v>
      </c>
      <c r="V22" s="22"/>
      <c r="W22" s="55"/>
    </row>
    <row r="23" spans="1:23" s="11" customFormat="1" ht="15" customHeight="1" x14ac:dyDescent="0.25">
      <c r="A23" s="54"/>
      <c r="B23" s="12"/>
      <c r="C23" s="48" t="s">
        <v>43</v>
      </c>
      <c r="D23" s="48">
        <v>14</v>
      </c>
      <c r="E23" s="49" t="s">
        <v>59</v>
      </c>
      <c r="F23" s="50">
        <v>11</v>
      </c>
      <c r="G23" s="50">
        <v>8</v>
      </c>
      <c r="H23" s="50">
        <v>4</v>
      </c>
      <c r="I23" s="50">
        <v>9</v>
      </c>
      <c r="J23" s="50">
        <v>7</v>
      </c>
      <c r="K23" s="50">
        <v>5</v>
      </c>
      <c r="L23" s="50">
        <v>8</v>
      </c>
      <c r="M23" s="50">
        <v>5</v>
      </c>
      <c r="N23" s="50">
        <v>9</v>
      </c>
      <c r="O23" s="50">
        <v>4</v>
      </c>
      <c r="P23" s="50">
        <v>8</v>
      </c>
      <c r="Q23" s="50">
        <v>8</v>
      </c>
      <c r="R23" s="50">
        <v>6</v>
      </c>
      <c r="S23" s="50">
        <v>9</v>
      </c>
      <c r="T23" s="50">
        <v>9</v>
      </c>
      <c r="U23" s="43">
        <f t="shared" si="0"/>
        <v>7.333333333333333</v>
      </c>
      <c r="V23" s="22"/>
      <c r="W23" s="55"/>
    </row>
    <row r="24" spans="1:23" s="11" customFormat="1" ht="15" customHeight="1" x14ac:dyDescent="0.25">
      <c r="A24" s="54"/>
      <c r="B24" s="12"/>
      <c r="C24" s="48" t="s">
        <v>43</v>
      </c>
      <c r="D24" s="48">
        <v>15</v>
      </c>
      <c r="E24" s="49" t="s">
        <v>60</v>
      </c>
      <c r="F24" s="50">
        <v>11</v>
      </c>
      <c r="G24" s="50">
        <v>5</v>
      </c>
      <c r="H24" s="50">
        <v>6</v>
      </c>
      <c r="I24" s="50">
        <v>6</v>
      </c>
      <c r="J24" s="50" t="s">
        <v>45</v>
      </c>
      <c r="K24" s="50">
        <v>10</v>
      </c>
      <c r="L24" s="50">
        <v>9</v>
      </c>
      <c r="M24" s="50">
        <v>11</v>
      </c>
      <c r="N24" s="50">
        <v>11</v>
      </c>
      <c r="O24" s="50">
        <v>11</v>
      </c>
      <c r="P24" s="50">
        <v>10</v>
      </c>
      <c r="Q24" s="50">
        <v>11</v>
      </c>
      <c r="R24" s="50">
        <v>10</v>
      </c>
      <c r="S24" s="50">
        <v>11</v>
      </c>
      <c r="T24" s="50">
        <v>8</v>
      </c>
      <c r="U24" s="43" t="str">
        <f t="shared" si="0"/>
        <v xml:space="preserve"> - </v>
      </c>
      <c r="V24" s="22"/>
      <c r="W24" s="55"/>
    </row>
    <row r="25" spans="1:23" s="11" customFormat="1" ht="15" customHeight="1" x14ac:dyDescent="0.25">
      <c r="A25" s="54"/>
      <c r="B25" s="12"/>
      <c r="C25" s="48" t="s">
        <v>47</v>
      </c>
      <c r="D25" s="48">
        <v>16</v>
      </c>
      <c r="E25" s="49" t="s">
        <v>61</v>
      </c>
      <c r="F25" s="50">
        <v>5</v>
      </c>
      <c r="G25" s="50">
        <v>10</v>
      </c>
      <c r="H25" s="50">
        <v>10</v>
      </c>
      <c r="I25" s="50">
        <v>8</v>
      </c>
      <c r="J25" s="50">
        <v>9</v>
      </c>
      <c r="K25" s="50">
        <v>9</v>
      </c>
      <c r="L25" s="50">
        <v>9</v>
      </c>
      <c r="M25" s="50">
        <v>4</v>
      </c>
      <c r="N25" s="50">
        <v>9</v>
      </c>
      <c r="O25" s="50">
        <v>8</v>
      </c>
      <c r="P25" s="50">
        <v>10</v>
      </c>
      <c r="Q25" s="50">
        <v>8</v>
      </c>
      <c r="R25" s="50">
        <v>11</v>
      </c>
      <c r="S25" s="50">
        <v>8</v>
      </c>
      <c r="T25" s="50">
        <v>8</v>
      </c>
      <c r="U25" s="43">
        <f t="shared" si="0"/>
        <v>8.4</v>
      </c>
      <c r="V25" s="22"/>
      <c r="W25" s="55"/>
    </row>
    <row r="26" spans="1:23" s="11" customFormat="1" ht="15" customHeight="1" x14ac:dyDescent="0.25">
      <c r="A26" s="54"/>
      <c r="B26" s="12"/>
      <c r="C26" s="48" t="s">
        <v>43</v>
      </c>
      <c r="D26" s="48">
        <v>17</v>
      </c>
      <c r="E26" s="49" t="s">
        <v>62</v>
      </c>
      <c r="F26" s="50">
        <v>8</v>
      </c>
      <c r="G26" s="50">
        <v>7</v>
      </c>
      <c r="H26" s="50" t="s">
        <v>45</v>
      </c>
      <c r="I26" s="50">
        <v>4</v>
      </c>
      <c r="J26" s="50">
        <v>7</v>
      </c>
      <c r="K26" s="50">
        <v>8</v>
      </c>
      <c r="L26" s="50">
        <v>5</v>
      </c>
      <c r="M26" s="50">
        <v>10</v>
      </c>
      <c r="N26" s="50">
        <v>4</v>
      </c>
      <c r="O26" s="50">
        <v>8</v>
      </c>
      <c r="P26" s="50">
        <v>8</v>
      </c>
      <c r="Q26" s="50">
        <v>6</v>
      </c>
      <c r="R26" s="50">
        <v>4</v>
      </c>
      <c r="S26" s="50">
        <v>7</v>
      </c>
      <c r="T26" s="50">
        <v>10</v>
      </c>
      <c r="U26" s="43" t="str">
        <f t="shared" si="0"/>
        <v xml:space="preserve"> - </v>
      </c>
      <c r="V26" s="22"/>
      <c r="W26" s="55"/>
    </row>
    <row r="27" spans="1:23" s="11" customFormat="1" ht="15" customHeight="1" x14ac:dyDescent="0.25">
      <c r="A27" s="54"/>
      <c r="B27" s="12"/>
      <c r="C27" s="48" t="s">
        <v>43</v>
      </c>
      <c r="D27" s="48">
        <v>18</v>
      </c>
      <c r="E27" s="49" t="s">
        <v>63</v>
      </c>
      <c r="F27" s="50">
        <v>9</v>
      </c>
      <c r="G27" s="50">
        <v>9</v>
      </c>
      <c r="H27" s="50">
        <v>7</v>
      </c>
      <c r="I27" s="50">
        <v>11</v>
      </c>
      <c r="J27" s="50" t="s">
        <v>45</v>
      </c>
      <c r="K27" s="50">
        <v>10</v>
      </c>
      <c r="L27" s="50">
        <v>8</v>
      </c>
      <c r="M27" s="50">
        <v>8</v>
      </c>
      <c r="N27" s="50">
        <v>5</v>
      </c>
      <c r="O27" s="50">
        <v>7</v>
      </c>
      <c r="P27" s="50">
        <v>7</v>
      </c>
      <c r="Q27" s="50">
        <v>4</v>
      </c>
      <c r="R27" s="50">
        <v>8</v>
      </c>
      <c r="S27" s="50">
        <v>4</v>
      </c>
      <c r="T27" s="50">
        <v>8</v>
      </c>
      <c r="U27" s="43" t="str">
        <f t="shared" si="0"/>
        <v xml:space="preserve"> - </v>
      </c>
      <c r="V27" s="22"/>
      <c r="W27" s="55"/>
    </row>
    <row r="28" spans="1:23" ht="15" customHeight="1" x14ac:dyDescent="0.25">
      <c r="A28" s="54"/>
      <c r="B28" s="12"/>
      <c r="C28" s="6"/>
      <c r="D28" s="6"/>
      <c r="E28" s="56" t="s">
        <v>4</v>
      </c>
      <c r="F28" s="57">
        <f>IF(SUM(F10:F27)=0,IF(COUNTA(F10:F27)=0,"Очікую",0),SUM(F10:F27)/$D27)</f>
        <v>7.5555555555555554</v>
      </c>
      <c r="G28" s="57">
        <f t="shared" ref="G28:T28" si="1">IF(SUM(G10:G27)=0,IF(COUNTA(G10:G27)=0,"Очікую",0),SUM(G10:G27)/$D27)</f>
        <v>7.5</v>
      </c>
      <c r="H28" s="57">
        <f t="shared" si="1"/>
        <v>5.5555555555555554</v>
      </c>
      <c r="I28" s="57">
        <f t="shared" si="1"/>
        <v>6.333333333333333</v>
      </c>
      <c r="J28" s="57">
        <f t="shared" si="1"/>
        <v>6.8888888888888893</v>
      </c>
      <c r="K28" s="57">
        <f t="shared" si="1"/>
        <v>6.6111111111111107</v>
      </c>
      <c r="L28" s="57">
        <f t="shared" si="1"/>
        <v>7.333333333333333</v>
      </c>
      <c r="M28" s="57">
        <f t="shared" si="1"/>
        <v>8.2222222222222214</v>
      </c>
      <c r="N28" s="57">
        <f t="shared" si="1"/>
        <v>7.0555555555555554</v>
      </c>
      <c r="O28" s="57">
        <f t="shared" si="1"/>
        <v>8</v>
      </c>
      <c r="P28" s="57">
        <f t="shared" si="1"/>
        <v>6.2777777777777777</v>
      </c>
      <c r="Q28" s="57">
        <f t="shared" si="1"/>
        <v>7.2222222222222223</v>
      </c>
      <c r="R28" s="57">
        <f t="shared" si="1"/>
        <v>7.8888888888888893</v>
      </c>
      <c r="S28" s="57">
        <f t="shared" si="1"/>
        <v>7.9444444444444446</v>
      </c>
      <c r="T28" s="57">
        <f t="shared" si="1"/>
        <v>7.333333333333333</v>
      </c>
      <c r="U28" s="9">
        <f>IFERROR(AVERAGE(F28:T28),"Очікую")</f>
        <v>7.1814814814814811</v>
      </c>
      <c r="V28" s="20"/>
      <c r="W28" s="55"/>
    </row>
    <row r="29" spans="1:23" ht="15" customHeight="1" x14ac:dyDescent="0.25">
      <c r="A29" s="54"/>
      <c r="B29" s="12"/>
      <c r="C29" s="6"/>
      <c r="D29" s="6"/>
      <c r="E29" s="7" t="s">
        <v>5</v>
      </c>
      <c r="F29" s="58">
        <f>IF(SUM(F10:F27)=0,IF(COUNTA(F10:F27)=0,"Очікую",0),IF(COUNTIF(F10:F27,"&gt;=4")=0,0,COUNTIF(F10:F27,"&gt;=4")/$D27*100))</f>
        <v>100</v>
      </c>
      <c r="G29" s="58">
        <f t="shared" ref="G29:T29" si="2">IF(SUM(G10:G27)=0,IF(COUNTA(G10:G27)=0,"Очікую",0),IF(COUNTIF(G10:G27,"&gt;=4")=0,0,COUNTIF(G10:G27,"&gt;=4")/$D27*100))</f>
        <v>100</v>
      </c>
      <c r="H29" s="58">
        <f t="shared" si="2"/>
        <v>88.888888888888886</v>
      </c>
      <c r="I29" s="58">
        <f t="shared" si="2"/>
        <v>88.888888888888886</v>
      </c>
      <c r="J29" s="58">
        <f t="shared" si="2"/>
        <v>83.333333333333343</v>
      </c>
      <c r="K29" s="58">
        <f t="shared" si="2"/>
        <v>94.444444444444443</v>
      </c>
      <c r="L29" s="58">
        <f t="shared" si="2"/>
        <v>88.888888888888886</v>
      </c>
      <c r="M29" s="58">
        <f t="shared" si="2"/>
        <v>100</v>
      </c>
      <c r="N29" s="58">
        <f t="shared" si="2"/>
        <v>88.888888888888886</v>
      </c>
      <c r="O29" s="58">
        <f t="shared" si="2"/>
        <v>100</v>
      </c>
      <c r="P29" s="58">
        <f t="shared" si="2"/>
        <v>83.333333333333343</v>
      </c>
      <c r="Q29" s="58">
        <f t="shared" si="2"/>
        <v>94.444444444444443</v>
      </c>
      <c r="R29" s="58">
        <f t="shared" si="2"/>
        <v>94.444444444444443</v>
      </c>
      <c r="S29" s="58">
        <f t="shared" si="2"/>
        <v>94.444444444444443</v>
      </c>
      <c r="T29" s="58">
        <f t="shared" si="2"/>
        <v>94.444444444444443</v>
      </c>
      <c r="U29" s="6"/>
      <c r="V29" s="20"/>
      <c r="W29" s="55"/>
    </row>
    <row r="30" spans="1:23" ht="15" customHeight="1" x14ac:dyDescent="0.25">
      <c r="A30" s="54"/>
      <c r="B30" s="12"/>
      <c r="C30" s="6"/>
      <c r="D30" s="6"/>
      <c r="E30" s="7" t="s">
        <v>6</v>
      </c>
      <c r="F30" s="58">
        <f>IF(SUM(F10:F27)=0,IF(COUNTA(F10:F27)=0,"Очікую",0),IF(COUNTIF(F10:F27,"&gt;=7")=0,0,COUNTIF(F10:F27,"&gt;=7")/$D27*100))</f>
        <v>66.666666666666657</v>
      </c>
      <c r="G30" s="58">
        <f t="shared" ref="G30:T30" si="3">IF(SUM(G10:G27)=0,IF(COUNTA(G10:G27)=0,"Очікую",0),IF(COUNTIF(G10:G27,"&gt;=7")=0,0,COUNTIF(G10:G27,"&gt;=7")/$D27*100))</f>
        <v>66.666666666666657</v>
      </c>
      <c r="H30" s="58">
        <f t="shared" si="3"/>
        <v>38.888888888888893</v>
      </c>
      <c r="I30" s="58">
        <f t="shared" si="3"/>
        <v>50</v>
      </c>
      <c r="J30" s="58">
        <f t="shared" si="3"/>
        <v>66.666666666666657</v>
      </c>
      <c r="K30" s="58">
        <f t="shared" si="3"/>
        <v>50</v>
      </c>
      <c r="L30" s="58">
        <f t="shared" si="3"/>
        <v>77.777777777777786</v>
      </c>
      <c r="M30" s="58">
        <f t="shared" si="3"/>
        <v>72.222222222222214</v>
      </c>
      <c r="N30" s="58">
        <f t="shared" si="3"/>
        <v>55.555555555555557</v>
      </c>
      <c r="O30" s="58">
        <f t="shared" si="3"/>
        <v>77.777777777777786</v>
      </c>
      <c r="P30" s="58">
        <f t="shared" si="3"/>
        <v>61.111111111111114</v>
      </c>
      <c r="Q30" s="58">
        <f t="shared" si="3"/>
        <v>72.222222222222214</v>
      </c>
      <c r="R30" s="58">
        <f t="shared" si="3"/>
        <v>72.222222222222214</v>
      </c>
      <c r="S30" s="58">
        <f t="shared" si="3"/>
        <v>77.777777777777786</v>
      </c>
      <c r="T30" s="58">
        <f t="shared" si="3"/>
        <v>66.666666666666657</v>
      </c>
      <c r="U30" s="6"/>
      <c r="V30" s="20"/>
      <c r="W30" s="55"/>
    </row>
    <row r="31" spans="1:23" ht="15" customHeight="1" x14ac:dyDescent="0.25">
      <c r="A31" s="54"/>
      <c r="B31" s="12"/>
      <c r="C31" s="6"/>
      <c r="D31" s="6"/>
      <c r="E31" s="7" t="s">
        <v>7</v>
      </c>
      <c r="F31" s="8">
        <f>IFERROR(AVERAGE(F29:T29),"Очікую")</f>
        <v>92.962962962962962</v>
      </c>
      <c r="G31" s="6"/>
      <c r="H31" s="6"/>
      <c r="I31" s="6"/>
      <c r="J31" s="6"/>
      <c r="K31" s="6"/>
      <c r="L31" s="6"/>
      <c r="M31" s="6"/>
      <c r="N31" s="6"/>
      <c r="O31" s="6"/>
      <c r="P31" s="6"/>
      <c r="Q31" s="6"/>
      <c r="R31" s="6"/>
      <c r="S31" s="6"/>
      <c r="T31" s="6"/>
      <c r="U31" s="6"/>
      <c r="V31" s="20"/>
      <c r="W31" s="55"/>
    </row>
    <row r="32" spans="1:23" ht="15" customHeight="1" x14ac:dyDescent="0.25">
      <c r="A32" s="54"/>
      <c r="B32" s="12"/>
      <c r="C32" s="6"/>
      <c r="D32" s="6"/>
      <c r="E32" s="7" t="s">
        <v>8</v>
      </c>
      <c r="F32" s="8">
        <f>IFERROR(AVERAGE(F30:T30),"Очікую")</f>
        <v>64.81481481481481</v>
      </c>
      <c r="G32" s="6"/>
      <c r="H32" s="6"/>
      <c r="I32" s="6"/>
      <c r="J32" s="6"/>
      <c r="K32" s="6"/>
      <c r="L32" s="6"/>
      <c r="M32" s="6"/>
      <c r="N32" s="6"/>
      <c r="O32" s="6"/>
      <c r="P32" s="6"/>
      <c r="Q32" s="6"/>
      <c r="R32" s="6"/>
      <c r="S32" s="6"/>
      <c r="T32" s="6"/>
      <c r="U32" s="6"/>
      <c r="V32" s="20"/>
      <c r="W32" s="55"/>
    </row>
    <row r="33" spans="1:23" ht="15" customHeight="1" x14ac:dyDescent="0.25">
      <c r="A33" s="54"/>
      <c r="B33" s="12"/>
      <c r="C33" s="6"/>
      <c r="D33" s="6"/>
      <c r="E33" s="7" t="s">
        <v>9</v>
      </c>
      <c r="F33" s="5">
        <f>IF(COUNTIF(C10:C27,"=Б")=0,IF(COUNTIF(C10:C27,"=К")=0,"Очікую",0),COUNTIF(C10:C27,"=Б"))</f>
        <v>10</v>
      </c>
      <c r="G33" s="6"/>
      <c r="H33" s="10"/>
      <c r="I33" s="6"/>
      <c r="J33" s="6"/>
      <c r="K33" s="6"/>
      <c r="L33" s="6"/>
      <c r="M33" s="6"/>
      <c r="N33" s="6"/>
      <c r="O33" s="6"/>
      <c r="P33" s="23"/>
      <c r="Q33" s="10"/>
      <c r="R33" s="6"/>
      <c r="S33" s="6"/>
      <c r="T33" s="6"/>
      <c r="U33" s="6"/>
      <c r="V33" s="20"/>
      <c r="W33" s="55"/>
    </row>
    <row r="34" spans="1:23" ht="15" customHeight="1" x14ac:dyDescent="0.3">
      <c r="A34" s="54"/>
      <c r="B34" s="12"/>
      <c r="C34" s="6"/>
      <c r="D34" s="6"/>
      <c r="E34" s="7" t="s">
        <v>10</v>
      </c>
      <c r="F34" s="5">
        <f>IF(COUNTIF(C10:C27,"=К")=0,IF(COUNTIF(C10:C27,"=Б")=0,"Очікую",0),COUNTIF(C10:C27,"=К"))</f>
        <v>8</v>
      </c>
      <c r="G34" s="6"/>
      <c r="H34" s="67" t="s">
        <v>11</v>
      </c>
      <c r="I34" s="67"/>
      <c r="J34" s="67"/>
      <c r="K34" s="67"/>
      <c r="L34" s="67"/>
      <c r="M34" s="6"/>
      <c r="N34" s="6"/>
      <c r="O34" s="6"/>
      <c r="P34" s="68" t="s">
        <v>64</v>
      </c>
      <c r="Q34" s="68"/>
      <c r="R34" s="68"/>
      <c r="S34" s="68"/>
      <c r="T34" s="68"/>
      <c r="U34" s="68"/>
      <c r="V34" s="20"/>
      <c r="W34" s="55"/>
    </row>
    <row r="35" spans="1:23" ht="15" customHeight="1" x14ac:dyDescent="0.25">
      <c r="A35" s="54"/>
      <c r="B35" s="12"/>
      <c r="C35" s="6"/>
      <c r="D35" s="6"/>
      <c r="E35" s="7" t="s">
        <v>12</v>
      </c>
      <c r="F35" s="4"/>
      <c r="G35" s="6"/>
      <c r="H35" s="10"/>
      <c r="I35" s="6"/>
      <c r="J35" s="6"/>
      <c r="K35" s="6"/>
      <c r="L35" s="6"/>
      <c r="M35" s="6"/>
      <c r="N35" s="6"/>
      <c r="O35" s="6"/>
      <c r="P35" s="10"/>
      <c r="Q35" s="10"/>
      <c r="R35" s="6"/>
      <c r="S35" s="6"/>
      <c r="T35" s="6"/>
      <c r="U35" s="6"/>
      <c r="V35" s="20"/>
      <c r="W35" s="55"/>
    </row>
    <row r="36" spans="1:23" ht="15" customHeight="1" x14ac:dyDescent="0.3">
      <c r="A36" s="54"/>
      <c r="B36" s="12"/>
      <c r="C36" s="6"/>
      <c r="D36" s="6"/>
      <c r="E36" s="7" t="s">
        <v>13</v>
      </c>
      <c r="F36" s="5">
        <f>IF(F33="Очікую","Очікую",IF(F33-COUNTIF(U10:U27," - ")&lt;ROUNDDOWN(F33*0.4,0),F33-COUNTIF(U10:U27," - "),ROUNDDOWN(F33*0.4,0)))</f>
        <v>3</v>
      </c>
      <c r="G36" s="6"/>
      <c r="H36" s="68" t="s">
        <v>14</v>
      </c>
      <c r="I36" s="68"/>
      <c r="J36" s="68"/>
      <c r="K36" s="68"/>
      <c r="L36" s="68"/>
      <c r="M36" s="6"/>
      <c r="N36" s="6"/>
      <c r="O36" s="6"/>
      <c r="P36" s="68" t="s">
        <v>15</v>
      </c>
      <c r="Q36" s="68"/>
      <c r="R36" s="68"/>
      <c r="S36" s="68"/>
      <c r="T36" s="68"/>
      <c r="U36" s="68"/>
      <c r="V36" s="20"/>
      <c r="W36" s="55"/>
    </row>
    <row r="37" spans="1:23" ht="12" customHeight="1" thickBot="1" x14ac:dyDescent="0.3">
      <c r="A37" s="54"/>
      <c r="B37" s="21"/>
      <c r="C37" s="14"/>
      <c r="D37" s="14"/>
      <c r="E37" s="14"/>
      <c r="F37" s="14"/>
      <c r="G37" s="14"/>
      <c r="H37" s="14"/>
      <c r="I37" s="14"/>
      <c r="J37" s="14"/>
      <c r="K37" s="14"/>
      <c r="L37" s="14"/>
      <c r="M37" s="14"/>
      <c r="N37" s="14"/>
      <c r="O37" s="14"/>
      <c r="P37" s="14"/>
      <c r="Q37" s="14"/>
      <c r="R37" s="14"/>
      <c r="S37" s="14"/>
      <c r="T37" s="14"/>
      <c r="U37" s="14"/>
      <c r="V37" s="15"/>
      <c r="W37" s="55"/>
    </row>
    <row r="38" spans="1:23" ht="12" customHeight="1" x14ac:dyDescent="0.25">
      <c r="A38" s="16"/>
      <c r="B38" s="16"/>
      <c r="C38" s="16"/>
      <c r="D38" s="16"/>
      <c r="E38" s="16"/>
      <c r="F38" s="16"/>
      <c r="G38" s="16"/>
      <c r="H38" s="16"/>
      <c r="I38" s="16"/>
      <c r="J38" s="16"/>
      <c r="K38" s="16"/>
      <c r="L38" s="16"/>
      <c r="M38" s="16"/>
      <c r="N38" s="16"/>
      <c r="O38" s="16"/>
      <c r="P38" s="16"/>
      <c r="Q38" s="16"/>
      <c r="R38" s="16"/>
      <c r="S38" s="16"/>
      <c r="T38" s="16"/>
      <c r="U38" s="16"/>
      <c r="V38" s="16"/>
      <c r="W38" s="55"/>
    </row>
  </sheetData>
  <sheetProtection insertRows="0" deleteRows="0"/>
  <mergeCells count="15">
    <mergeCell ref="H34:L34"/>
    <mergeCell ref="P34:U34"/>
    <mergeCell ref="H36:L36"/>
    <mergeCell ref="P36:U36"/>
    <mergeCell ref="B1:V1"/>
    <mergeCell ref="C3:U3"/>
    <mergeCell ref="C4:U4"/>
    <mergeCell ref="C5:U5"/>
    <mergeCell ref="C6:U6"/>
    <mergeCell ref="C7:U7"/>
    <mergeCell ref="C8:C9"/>
    <mergeCell ref="D8:D9"/>
    <mergeCell ref="E8:E9"/>
    <mergeCell ref="F8:T8"/>
    <mergeCell ref="U8:U9"/>
  </mergeCells>
  <printOptions horizontalCentered="1"/>
  <pageMargins left="0.19685039370078741" right="0.19685039370078741" top="0.19685039370078741" bottom="0.19685039370078741" header="0" footer="0"/>
  <pageSetup paperSize="9" scale="76"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C0"/>
    <pageSetUpPr fitToPage="1"/>
  </sheetPr>
  <dimension ref="A1:BP120"/>
  <sheetViews>
    <sheetView tabSelected="1" zoomScaleNormal="100" workbookViewId="0"/>
  </sheetViews>
  <sheetFormatPr defaultColWidth="0" defaultRowHeight="0" customHeight="1" zeroHeight="1" x14ac:dyDescent="0.25"/>
  <cols>
    <col min="1" max="2" width="2.7109375" style="1" customWidth="1"/>
    <col min="3" max="3" width="4.140625" style="1" customWidth="1"/>
    <col min="4" max="4" width="6.5703125" style="1" customWidth="1"/>
    <col min="5" max="5" width="40.42578125" style="1" customWidth="1"/>
    <col min="6" max="25" width="6.7109375" style="1" customWidth="1"/>
    <col min="26" max="26" width="11.28515625" style="1" customWidth="1"/>
    <col min="27" max="28" width="2.7109375" style="1" customWidth="1"/>
    <col min="29" max="34" width="14.42578125" style="1" hidden="1" customWidth="1"/>
    <col min="35" max="35" width="14.85546875" style="1" hidden="1" customWidth="1"/>
    <col min="36" max="49" width="3.7109375" style="1" hidden="1" customWidth="1"/>
    <col min="50" max="68" width="5.7109375" style="1" hidden="1" customWidth="1"/>
    <col min="69" max="16384" width="14.42578125" style="1" hidden="1"/>
  </cols>
  <sheetData>
    <row r="1" spans="1:28" ht="12" customHeight="1" thickBot="1" x14ac:dyDescent="0.3">
      <c r="A1" s="38" t="s">
        <v>18</v>
      </c>
      <c r="B1" s="39"/>
      <c r="C1" s="39"/>
      <c r="D1" s="39"/>
      <c r="E1" s="39"/>
      <c r="F1" s="39"/>
      <c r="G1" s="39"/>
      <c r="H1" s="39"/>
      <c r="I1" s="39"/>
      <c r="J1" s="39"/>
      <c r="K1" s="39"/>
      <c r="L1" s="39"/>
      <c r="M1" s="39"/>
      <c r="N1" s="39"/>
      <c r="O1" s="39"/>
      <c r="P1" s="39"/>
      <c r="Q1" s="39"/>
      <c r="R1" s="39"/>
      <c r="S1" s="39"/>
      <c r="T1" s="39"/>
      <c r="U1" s="39"/>
      <c r="V1" s="39"/>
      <c r="W1" s="39"/>
      <c r="X1" s="39"/>
      <c r="Y1" s="39"/>
      <c r="Z1" s="39"/>
      <c r="AA1" s="39"/>
      <c r="AB1" s="39"/>
    </row>
    <row r="2" spans="1:28" ht="12" customHeight="1" x14ac:dyDescent="0.25">
      <c r="A2" s="41"/>
      <c r="B2" s="17"/>
      <c r="C2" s="18"/>
      <c r="D2" s="18"/>
      <c r="E2" s="18"/>
      <c r="F2" s="18"/>
      <c r="G2" s="18"/>
      <c r="H2" s="18"/>
      <c r="I2" s="18"/>
      <c r="J2" s="18"/>
      <c r="K2" s="18"/>
      <c r="L2" s="18"/>
      <c r="M2" s="18"/>
      <c r="N2" s="18"/>
      <c r="O2" s="18"/>
      <c r="P2" s="18"/>
      <c r="Q2" s="18"/>
      <c r="R2" s="18"/>
      <c r="S2" s="18"/>
      <c r="T2" s="18"/>
      <c r="U2" s="18"/>
      <c r="V2" s="18"/>
      <c r="W2" s="18"/>
      <c r="X2" s="18"/>
      <c r="Y2" s="18"/>
      <c r="Z2" s="18"/>
      <c r="AA2" s="19"/>
      <c r="AB2" s="40"/>
    </row>
    <row r="3" spans="1:28" s="2" customFormat="1" ht="12" customHeight="1" x14ac:dyDescent="0.25">
      <c r="A3" s="41"/>
      <c r="B3" s="12"/>
      <c r="C3" s="82" t="s">
        <v>66</v>
      </c>
      <c r="D3" s="82"/>
      <c r="E3" s="82"/>
      <c r="F3" s="82"/>
      <c r="G3" s="82"/>
      <c r="H3" s="82"/>
      <c r="I3" s="82"/>
      <c r="J3" s="82"/>
      <c r="K3" s="82"/>
      <c r="L3" s="82"/>
      <c r="M3" s="82"/>
      <c r="N3" s="82"/>
      <c r="O3" s="82"/>
      <c r="P3" s="82"/>
      <c r="Q3" s="82"/>
      <c r="R3" s="82"/>
      <c r="S3" s="82"/>
      <c r="T3" s="82"/>
      <c r="U3" s="82"/>
      <c r="V3" s="82"/>
      <c r="W3" s="82"/>
      <c r="X3" s="82"/>
      <c r="Y3" s="82"/>
      <c r="Z3" s="82"/>
      <c r="AA3" s="20"/>
      <c r="AB3" s="40"/>
    </row>
    <row r="4" spans="1:28" s="3" customFormat="1" ht="12" customHeight="1" x14ac:dyDescent="0.25">
      <c r="A4" s="41"/>
      <c r="B4" s="12"/>
      <c r="C4" s="82"/>
      <c r="D4" s="82"/>
      <c r="E4" s="82"/>
      <c r="F4" s="82"/>
      <c r="G4" s="82"/>
      <c r="H4" s="82"/>
      <c r="I4" s="82"/>
      <c r="J4" s="82"/>
      <c r="K4" s="82"/>
      <c r="L4" s="82"/>
      <c r="M4" s="82"/>
      <c r="N4" s="82"/>
      <c r="O4" s="82"/>
      <c r="P4" s="82"/>
      <c r="Q4" s="82"/>
      <c r="R4" s="82"/>
      <c r="S4" s="82"/>
      <c r="T4" s="82"/>
      <c r="U4" s="82"/>
      <c r="V4" s="82"/>
      <c r="W4" s="82"/>
      <c r="X4" s="82"/>
      <c r="Y4" s="82"/>
      <c r="Z4" s="82"/>
      <c r="AA4" s="20"/>
      <c r="AB4" s="40"/>
    </row>
    <row r="5" spans="1:28" s="2" customFormat="1" ht="12" customHeight="1" x14ac:dyDescent="0.25">
      <c r="A5" s="41"/>
      <c r="B5" s="12"/>
      <c r="C5" s="82"/>
      <c r="D5" s="82"/>
      <c r="E5" s="82"/>
      <c r="F5" s="82"/>
      <c r="G5" s="82"/>
      <c r="H5" s="82"/>
      <c r="I5" s="82"/>
      <c r="J5" s="82"/>
      <c r="K5" s="82"/>
      <c r="L5" s="82"/>
      <c r="M5" s="82"/>
      <c r="N5" s="82"/>
      <c r="O5" s="82"/>
      <c r="P5" s="82"/>
      <c r="Q5" s="82"/>
      <c r="R5" s="82"/>
      <c r="S5" s="82"/>
      <c r="T5" s="82"/>
      <c r="U5" s="82"/>
      <c r="V5" s="82"/>
      <c r="W5" s="82"/>
      <c r="X5" s="82"/>
      <c r="Y5" s="82"/>
      <c r="Z5" s="82"/>
      <c r="AA5" s="20"/>
      <c r="AB5" s="40"/>
    </row>
    <row r="6" spans="1:28" s="2" customFormat="1" ht="12" customHeight="1" x14ac:dyDescent="0.25">
      <c r="A6" s="41"/>
      <c r="B6" s="12"/>
      <c r="C6" s="82"/>
      <c r="D6" s="82"/>
      <c r="E6" s="82"/>
      <c r="F6" s="82"/>
      <c r="G6" s="82"/>
      <c r="H6" s="82"/>
      <c r="I6" s="82"/>
      <c r="J6" s="82"/>
      <c r="K6" s="82"/>
      <c r="L6" s="82"/>
      <c r="M6" s="82"/>
      <c r="N6" s="82"/>
      <c r="O6" s="82"/>
      <c r="P6" s="82"/>
      <c r="Q6" s="82"/>
      <c r="R6" s="82"/>
      <c r="S6" s="82"/>
      <c r="T6" s="82"/>
      <c r="U6" s="82"/>
      <c r="V6" s="82"/>
      <c r="W6" s="82"/>
      <c r="X6" s="82"/>
      <c r="Y6" s="82"/>
      <c r="Z6" s="82"/>
      <c r="AA6" s="20"/>
      <c r="AB6" s="40"/>
    </row>
    <row r="7" spans="1:28" s="2" customFormat="1" ht="12" customHeight="1" x14ac:dyDescent="0.25">
      <c r="A7" s="41"/>
      <c r="B7" s="12"/>
      <c r="C7" s="83"/>
      <c r="D7" s="83"/>
      <c r="E7" s="83"/>
      <c r="F7" s="83"/>
      <c r="G7" s="83"/>
      <c r="H7" s="83"/>
      <c r="I7" s="83"/>
      <c r="J7" s="83"/>
      <c r="K7" s="83"/>
      <c r="L7" s="83"/>
      <c r="M7" s="83"/>
      <c r="N7" s="83"/>
      <c r="O7" s="83"/>
      <c r="P7" s="83"/>
      <c r="Q7" s="83"/>
      <c r="R7" s="83"/>
      <c r="S7" s="83"/>
      <c r="T7" s="83"/>
      <c r="U7" s="83"/>
      <c r="V7" s="83"/>
      <c r="W7" s="83"/>
      <c r="X7" s="83"/>
      <c r="Y7" s="83"/>
      <c r="Z7" s="83"/>
      <c r="AA7" s="20"/>
      <c r="AB7" s="40"/>
    </row>
    <row r="8" spans="1:28" ht="15" customHeight="1" x14ac:dyDescent="0.25">
      <c r="A8" s="41"/>
      <c r="B8" s="12"/>
      <c r="C8" s="74" t="s">
        <v>0</v>
      </c>
      <c r="D8" s="76" t="s">
        <v>1</v>
      </c>
      <c r="E8" s="76" t="s">
        <v>2</v>
      </c>
      <c r="F8" s="77" t="s">
        <v>17</v>
      </c>
      <c r="G8" s="78"/>
      <c r="H8" s="78"/>
      <c r="I8" s="78"/>
      <c r="J8" s="78"/>
      <c r="K8" s="78"/>
      <c r="L8" s="78"/>
      <c r="M8" s="78"/>
      <c r="N8" s="78"/>
      <c r="O8" s="78"/>
      <c r="P8" s="78"/>
      <c r="Q8" s="78"/>
      <c r="R8" s="78"/>
      <c r="S8" s="78"/>
      <c r="T8" s="78"/>
      <c r="U8" s="78"/>
      <c r="V8" s="78"/>
      <c r="W8" s="78"/>
      <c r="X8" s="78"/>
      <c r="Y8" s="79"/>
      <c r="Z8" s="80" t="s">
        <v>3</v>
      </c>
      <c r="AA8" s="20"/>
      <c r="AB8" s="40"/>
    </row>
    <row r="9" spans="1:28" ht="125.1" customHeight="1" x14ac:dyDescent="0.25">
      <c r="A9" s="41"/>
      <c r="B9" s="12"/>
      <c r="C9" s="75"/>
      <c r="D9" s="75"/>
      <c r="E9" s="75"/>
      <c r="F9" s="13">
        <v>1</v>
      </c>
      <c r="G9" s="13">
        <v>2</v>
      </c>
      <c r="H9" s="13">
        <v>3</v>
      </c>
      <c r="I9" s="13">
        <v>4</v>
      </c>
      <c r="J9" s="13">
        <v>5</v>
      </c>
      <c r="K9" s="13">
        <v>6</v>
      </c>
      <c r="L9" s="13">
        <v>7</v>
      </c>
      <c r="M9" s="13">
        <v>8</v>
      </c>
      <c r="N9" s="13">
        <v>9</v>
      </c>
      <c r="O9" s="13">
        <v>10</v>
      </c>
      <c r="P9" s="13">
        <v>11</v>
      </c>
      <c r="Q9" s="13">
        <v>12</v>
      </c>
      <c r="R9" s="13">
        <v>13</v>
      </c>
      <c r="S9" s="13">
        <v>14</v>
      </c>
      <c r="T9" s="13">
        <v>15</v>
      </c>
      <c r="U9" s="13">
        <v>16</v>
      </c>
      <c r="V9" s="13">
        <v>17</v>
      </c>
      <c r="W9" s="13">
        <v>18</v>
      </c>
      <c r="X9" s="13">
        <v>19</v>
      </c>
      <c r="Y9" s="13">
        <v>20</v>
      </c>
      <c r="Z9" s="81"/>
      <c r="AA9" s="20"/>
      <c r="AB9" s="40"/>
    </row>
    <row r="10" spans="1:28" s="11" customFormat="1" ht="15" customHeight="1" x14ac:dyDescent="0.25">
      <c r="A10" s="41"/>
      <c r="B10" s="12"/>
      <c r="C10" s="48"/>
      <c r="D10" s="48">
        <v>1</v>
      </c>
      <c r="E10" s="49"/>
      <c r="F10" s="50"/>
      <c r="G10" s="50"/>
      <c r="H10" s="50"/>
      <c r="I10" s="50"/>
      <c r="J10" s="50"/>
      <c r="K10" s="50"/>
      <c r="L10" s="50"/>
      <c r="M10" s="50"/>
      <c r="N10" s="50"/>
      <c r="O10" s="50"/>
      <c r="P10" s="50"/>
      <c r="Q10" s="50"/>
      <c r="R10" s="50"/>
      <c r="S10" s="50"/>
      <c r="T10" s="50"/>
      <c r="U10" s="50"/>
      <c r="V10" s="50"/>
      <c r="W10" s="50"/>
      <c r="X10" s="50"/>
      <c r="Y10" s="50"/>
      <c r="Z10" s="43" t="str">
        <f>IF(COUNTIF(F10:Y10,"=*")&gt;0,IF($C10="К","-"," - "),IF(COUNTIF(F10:Y10,"&lt;4")&gt;0,IF(C10="К","-"," - "),(IFERROR(AVERAGE(F10:Y10),"Очікую"))))</f>
        <v>Очікую</v>
      </c>
      <c r="AA10" s="22"/>
      <c r="AB10" s="40"/>
    </row>
    <row r="11" spans="1:28" s="11" customFormat="1" ht="15" customHeight="1" x14ac:dyDescent="0.25">
      <c r="A11" s="41"/>
      <c r="B11" s="12"/>
      <c r="C11" s="48"/>
      <c r="D11" s="48">
        <v>2</v>
      </c>
      <c r="E11" s="49"/>
      <c r="F11" s="50"/>
      <c r="G11" s="50"/>
      <c r="H11" s="50"/>
      <c r="I11" s="50"/>
      <c r="J11" s="50"/>
      <c r="K11" s="50"/>
      <c r="L11" s="50"/>
      <c r="M11" s="50"/>
      <c r="N11" s="50"/>
      <c r="O11" s="50"/>
      <c r="P11" s="50"/>
      <c r="Q11" s="50"/>
      <c r="R11" s="50"/>
      <c r="S11" s="50"/>
      <c r="T11" s="50"/>
      <c r="U11" s="50"/>
      <c r="V11" s="50"/>
      <c r="W11" s="50"/>
      <c r="X11" s="50"/>
      <c r="Y11" s="50"/>
      <c r="Z11" s="43" t="str">
        <f t="shared" ref="Z11:Z74" si="0">IF(COUNTIF(F11:Y11,"=*")&gt;0,IF($C11="К","-"," - "),IF(COUNTIF(F11:Y11,"&lt;4")&gt;0,IF(C11="К","-"," - "),(IFERROR(AVERAGE(F11:Y11),"Очікую"))))</f>
        <v>Очікую</v>
      </c>
      <c r="AA11" s="22"/>
      <c r="AB11" s="40"/>
    </row>
    <row r="12" spans="1:28" s="11" customFormat="1" ht="15" customHeight="1" x14ac:dyDescent="0.25">
      <c r="A12" s="41"/>
      <c r="B12" s="12"/>
      <c r="C12" s="48"/>
      <c r="D12" s="48">
        <v>3</v>
      </c>
      <c r="E12" s="49"/>
      <c r="F12" s="50"/>
      <c r="G12" s="50"/>
      <c r="H12" s="50"/>
      <c r="I12" s="50"/>
      <c r="J12" s="50"/>
      <c r="K12" s="50"/>
      <c r="L12" s="50"/>
      <c r="M12" s="50"/>
      <c r="N12" s="50"/>
      <c r="O12" s="50"/>
      <c r="P12" s="50"/>
      <c r="Q12" s="50"/>
      <c r="R12" s="50"/>
      <c r="S12" s="50"/>
      <c r="T12" s="50"/>
      <c r="U12" s="50"/>
      <c r="V12" s="50"/>
      <c r="W12" s="50"/>
      <c r="X12" s="50"/>
      <c r="Y12" s="50"/>
      <c r="Z12" s="43" t="str">
        <f t="shared" si="0"/>
        <v>Очікую</v>
      </c>
      <c r="AA12" s="22"/>
      <c r="AB12" s="40"/>
    </row>
    <row r="13" spans="1:28" s="11" customFormat="1" ht="15" customHeight="1" x14ac:dyDescent="0.25">
      <c r="A13" s="41"/>
      <c r="B13" s="12"/>
      <c r="C13" s="48"/>
      <c r="D13" s="48">
        <v>4</v>
      </c>
      <c r="E13" s="49"/>
      <c r="F13" s="50"/>
      <c r="G13" s="50"/>
      <c r="H13" s="50"/>
      <c r="I13" s="50"/>
      <c r="J13" s="50"/>
      <c r="K13" s="50"/>
      <c r="L13" s="50"/>
      <c r="M13" s="50"/>
      <c r="N13" s="50"/>
      <c r="O13" s="50"/>
      <c r="P13" s="50"/>
      <c r="Q13" s="50"/>
      <c r="R13" s="50"/>
      <c r="S13" s="50"/>
      <c r="T13" s="50"/>
      <c r="U13" s="50"/>
      <c r="V13" s="50"/>
      <c r="W13" s="50"/>
      <c r="X13" s="50"/>
      <c r="Y13" s="50"/>
      <c r="Z13" s="43" t="str">
        <f t="shared" si="0"/>
        <v>Очікую</v>
      </c>
      <c r="AA13" s="22"/>
      <c r="AB13" s="40"/>
    </row>
    <row r="14" spans="1:28" s="11" customFormat="1" ht="15" customHeight="1" x14ac:dyDescent="0.25">
      <c r="A14" s="41"/>
      <c r="B14" s="12"/>
      <c r="C14" s="48"/>
      <c r="D14" s="48">
        <v>5</v>
      </c>
      <c r="E14" s="49"/>
      <c r="F14" s="50"/>
      <c r="G14" s="50"/>
      <c r="H14" s="50"/>
      <c r="I14" s="50"/>
      <c r="J14" s="50"/>
      <c r="K14" s="50"/>
      <c r="L14" s="50"/>
      <c r="M14" s="50"/>
      <c r="N14" s="50"/>
      <c r="O14" s="50"/>
      <c r="P14" s="50"/>
      <c r="Q14" s="50"/>
      <c r="R14" s="50"/>
      <c r="S14" s="50"/>
      <c r="T14" s="50"/>
      <c r="U14" s="50"/>
      <c r="V14" s="50"/>
      <c r="W14" s="50"/>
      <c r="X14" s="50"/>
      <c r="Y14" s="50"/>
      <c r="Z14" s="43" t="str">
        <f t="shared" si="0"/>
        <v>Очікую</v>
      </c>
      <c r="AA14" s="22"/>
      <c r="AB14" s="40"/>
    </row>
    <row r="15" spans="1:28" s="11" customFormat="1" ht="15" customHeight="1" x14ac:dyDescent="0.25">
      <c r="A15" s="41"/>
      <c r="B15" s="12"/>
      <c r="C15" s="48"/>
      <c r="D15" s="48">
        <v>6</v>
      </c>
      <c r="E15" s="49"/>
      <c r="F15" s="50"/>
      <c r="G15" s="50"/>
      <c r="H15" s="50"/>
      <c r="I15" s="50"/>
      <c r="J15" s="50"/>
      <c r="K15" s="50"/>
      <c r="L15" s="50"/>
      <c r="M15" s="50"/>
      <c r="N15" s="50"/>
      <c r="O15" s="50"/>
      <c r="P15" s="50"/>
      <c r="Q15" s="50"/>
      <c r="R15" s="50"/>
      <c r="S15" s="50"/>
      <c r="T15" s="50"/>
      <c r="U15" s="50"/>
      <c r="V15" s="50"/>
      <c r="W15" s="50"/>
      <c r="X15" s="50"/>
      <c r="Y15" s="50"/>
      <c r="Z15" s="43" t="str">
        <f t="shared" si="0"/>
        <v>Очікую</v>
      </c>
      <c r="AA15" s="22"/>
      <c r="AB15" s="40"/>
    </row>
    <row r="16" spans="1:28" s="11" customFormat="1" ht="15" customHeight="1" x14ac:dyDescent="0.25">
      <c r="A16" s="41"/>
      <c r="B16" s="12"/>
      <c r="C16" s="48"/>
      <c r="D16" s="48">
        <v>7</v>
      </c>
      <c r="E16" s="49"/>
      <c r="F16" s="50"/>
      <c r="G16" s="50"/>
      <c r="H16" s="50"/>
      <c r="I16" s="50"/>
      <c r="J16" s="50"/>
      <c r="K16" s="50"/>
      <c r="L16" s="50"/>
      <c r="M16" s="50"/>
      <c r="N16" s="50"/>
      <c r="O16" s="50"/>
      <c r="P16" s="50"/>
      <c r="Q16" s="50"/>
      <c r="R16" s="50"/>
      <c r="S16" s="50"/>
      <c r="T16" s="50"/>
      <c r="U16" s="50"/>
      <c r="V16" s="50"/>
      <c r="W16" s="50"/>
      <c r="X16" s="50"/>
      <c r="Y16" s="50"/>
      <c r="Z16" s="43" t="str">
        <f t="shared" si="0"/>
        <v>Очікую</v>
      </c>
      <c r="AA16" s="22"/>
      <c r="AB16" s="40"/>
    </row>
    <row r="17" spans="1:28" s="11" customFormat="1" ht="15" customHeight="1" x14ac:dyDescent="0.25">
      <c r="A17" s="41"/>
      <c r="B17" s="12"/>
      <c r="C17" s="48"/>
      <c r="D17" s="48">
        <v>8</v>
      </c>
      <c r="E17" s="49"/>
      <c r="F17" s="50"/>
      <c r="G17" s="50"/>
      <c r="H17" s="50"/>
      <c r="I17" s="50"/>
      <c r="J17" s="50"/>
      <c r="K17" s="50"/>
      <c r="L17" s="50"/>
      <c r="M17" s="50"/>
      <c r="N17" s="50"/>
      <c r="O17" s="50"/>
      <c r="P17" s="50"/>
      <c r="Q17" s="50"/>
      <c r="R17" s="50"/>
      <c r="S17" s="50"/>
      <c r="T17" s="50"/>
      <c r="U17" s="50"/>
      <c r="V17" s="50"/>
      <c r="W17" s="50"/>
      <c r="X17" s="50"/>
      <c r="Y17" s="50"/>
      <c r="Z17" s="43" t="str">
        <f t="shared" si="0"/>
        <v>Очікую</v>
      </c>
      <c r="AA17" s="22"/>
      <c r="AB17" s="40"/>
    </row>
    <row r="18" spans="1:28" s="11" customFormat="1" ht="15" customHeight="1" x14ac:dyDescent="0.25">
      <c r="A18" s="41"/>
      <c r="B18" s="12"/>
      <c r="C18" s="48"/>
      <c r="D18" s="48">
        <v>9</v>
      </c>
      <c r="E18" s="49"/>
      <c r="F18" s="50"/>
      <c r="G18" s="50"/>
      <c r="H18" s="50"/>
      <c r="I18" s="50"/>
      <c r="J18" s="50"/>
      <c r="K18" s="50"/>
      <c r="L18" s="50"/>
      <c r="M18" s="50"/>
      <c r="N18" s="50"/>
      <c r="O18" s="50"/>
      <c r="P18" s="50"/>
      <c r="Q18" s="50"/>
      <c r="R18" s="50"/>
      <c r="S18" s="50"/>
      <c r="T18" s="50"/>
      <c r="U18" s="50"/>
      <c r="V18" s="50"/>
      <c r="W18" s="50"/>
      <c r="X18" s="50"/>
      <c r="Y18" s="50"/>
      <c r="Z18" s="43" t="str">
        <f t="shared" si="0"/>
        <v>Очікую</v>
      </c>
      <c r="AA18" s="22"/>
      <c r="AB18" s="40"/>
    </row>
    <row r="19" spans="1:28" s="11" customFormat="1" ht="15" customHeight="1" x14ac:dyDescent="0.25">
      <c r="A19" s="41"/>
      <c r="B19" s="12"/>
      <c r="C19" s="48"/>
      <c r="D19" s="48">
        <v>10</v>
      </c>
      <c r="E19" s="49"/>
      <c r="F19" s="50"/>
      <c r="G19" s="50"/>
      <c r="H19" s="50"/>
      <c r="I19" s="50"/>
      <c r="J19" s="50"/>
      <c r="K19" s="50"/>
      <c r="L19" s="50"/>
      <c r="M19" s="50"/>
      <c r="N19" s="50"/>
      <c r="O19" s="50"/>
      <c r="P19" s="50"/>
      <c r="Q19" s="50"/>
      <c r="R19" s="50"/>
      <c r="S19" s="50"/>
      <c r="T19" s="50"/>
      <c r="U19" s="50"/>
      <c r="V19" s="50"/>
      <c r="W19" s="50"/>
      <c r="X19" s="50"/>
      <c r="Y19" s="50"/>
      <c r="Z19" s="43" t="str">
        <f t="shared" si="0"/>
        <v>Очікую</v>
      </c>
      <c r="AA19" s="22"/>
      <c r="AB19" s="40"/>
    </row>
    <row r="20" spans="1:28" s="11" customFormat="1" ht="15" customHeight="1" x14ac:dyDescent="0.25">
      <c r="A20" s="41"/>
      <c r="B20" s="12"/>
      <c r="C20" s="48"/>
      <c r="D20" s="48">
        <v>11</v>
      </c>
      <c r="E20" s="49"/>
      <c r="F20" s="50"/>
      <c r="G20" s="50"/>
      <c r="H20" s="50"/>
      <c r="I20" s="50"/>
      <c r="J20" s="50"/>
      <c r="K20" s="50"/>
      <c r="L20" s="50"/>
      <c r="M20" s="50"/>
      <c r="N20" s="50"/>
      <c r="O20" s="50"/>
      <c r="P20" s="50"/>
      <c r="Q20" s="50"/>
      <c r="R20" s="50"/>
      <c r="S20" s="50"/>
      <c r="T20" s="50"/>
      <c r="U20" s="50"/>
      <c r="V20" s="50"/>
      <c r="W20" s="50"/>
      <c r="X20" s="50"/>
      <c r="Y20" s="50"/>
      <c r="Z20" s="43" t="str">
        <f t="shared" si="0"/>
        <v>Очікую</v>
      </c>
      <c r="AA20" s="22"/>
      <c r="AB20" s="40"/>
    </row>
    <row r="21" spans="1:28" s="11" customFormat="1" ht="15" customHeight="1" x14ac:dyDescent="0.25">
      <c r="A21" s="41"/>
      <c r="B21" s="12"/>
      <c r="C21" s="48"/>
      <c r="D21" s="48">
        <v>12</v>
      </c>
      <c r="E21" s="49"/>
      <c r="F21" s="50"/>
      <c r="G21" s="50"/>
      <c r="H21" s="50"/>
      <c r="I21" s="50"/>
      <c r="J21" s="50"/>
      <c r="K21" s="50"/>
      <c r="L21" s="50"/>
      <c r="M21" s="50"/>
      <c r="N21" s="50"/>
      <c r="O21" s="50"/>
      <c r="P21" s="50"/>
      <c r="Q21" s="50"/>
      <c r="R21" s="50"/>
      <c r="S21" s="50"/>
      <c r="T21" s="50"/>
      <c r="U21" s="50"/>
      <c r="V21" s="50"/>
      <c r="W21" s="50"/>
      <c r="X21" s="50"/>
      <c r="Y21" s="50"/>
      <c r="Z21" s="43" t="str">
        <f t="shared" si="0"/>
        <v>Очікую</v>
      </c>
      <c r="AA21" s="22"/>
      <c r="AB21" s="40"/>
    </row>
    <row r="22" spans="1:28" s="11" customFormat="1" ht="15" customHeight="1" x14ac:dyDescent="0.25">
      <c r="A22" s="41"/>
      <c r="B22" s="12"/>
      <c r="C22" s="48"/>
      <c r="D22" s="48">
        <v>13</v>
      </c>
      <c r="E22" s="49"/>
      <c r="F22" s="50"/>
      <c r="G22" s="50"/>
      <c r="H22" s="50"/>
      <c r="I22" s="50"/>
      <c r="J22" s="50"/>
      <c r="K22" s="50"/>
      <c r="L22" s="50"/>
      <c r="M22" s="50"/>
      <c r="N22" s="50"/>
      <c r="O22" s="50"/>
      <c r="P22" s="50"/>
      <c r="Q22" s="50"/>
      <c r="R22" s="50"/>
      <c r="S22" s="50"/>
      <c r="T22" s="50"/>
      <c r="U22" s="50"/>
      <c r="V22" s="50"/>
      <c r="W22" s="50"/>
      <c r="X22" s="50"/>
      <c r="Y22" s="50"/>
      <c r="Z22" s="43" t="str">
        <f t="shared" si="0"/>
        <v>Очікую</v>
      </c>
      <c r="AA22" s="22"/>
      <c r="AB22" s="40"/>
    </row>
    <row r="23" spans="1:28" s="11" customFormat="1" ht="15" customHeight="1" x14ac:dyDescent="0.25">
      <c r="A23" s="41"/>
      <c r="B23" s="12"/>
      <c r="C23" s="48"/>
      <c r="D23" s="48">
        <v>14</v>
      </c>
      <c r="E23" s="49"/>
      <c r="F23" s="50"/>
      <c r="G23" s="50"/>
      <c r="H23" s="50"/>
      <c r="I23" s="50"/>
      <c r="J23" s="50"/>
      <c r="K23" s="50"/>
      <c r="L23" s="50"/>
      <c r="M23" s="50"/>
      <c r="N23" s="50"/>
      <c r="O23" s="50"/>
      <c r="P23" s="50"/>
      <c r="Q23" s="50"/>
      <c r="R23" s="50"/>
      <c r="S23" s="50"/>
      <c r="T23" s="50"/>
      <c r="U23" s="50"/>
      <c r="V23" s="50"/>
      <c r="W23" s="50"/>
      <c r="X23" s="50"/>
      <c r="Y23" s="50"/>
      <c r="Z23" s="43" t="str">
        <f t="shared" si="0"/>
        <v>Очікую</v>
      </c>
      <c r="AA23" s="22"/>
      <c r="AB23" s="40"/>
    </row>
    <row r="24" spans="1:28" s="11" customFormat="1" ht="15" customHeight="1" x14ac:dyDescent="0.25">
      <c r="A24" s="41"/>
      <c r="B24" s="12"/>
      <c r="C24" s="48"/>
      <c r="D24" s="48">
        <v>15</v>
      </c>
      <c r="E24" s="49"/>
      <c r="F24" s="50"/>
      <c r="G24" s="50"/>
      <c r="H24" s="50"/>
      <c r="I24" s="50"/>
      <c r="J24" s="50"/>
      <c r="K24" s="50"/>
      <c r="L24" s="50"/>
      <c r="M24" s="50"/>
      <c r="N24" s="50"/>
      <c r="O24" s="50"/>
      <c r="P24" s="50"/>
      <c r="Q24" s="50"/>
      <c r="R24" s="50"/>
      <c r="S24" s="50"/>
      <c r="T24" s="50"/>
      <c r="U24" s="50"/>
      <c r="V24" s="50"/>
      <c r="W24" s="50"/>
      <c r="X24" s="50"/>
      <c r="Y24" s="50"/>
      <c r="Z24" s="43" t="str">
        <f t="shared" si="0"/>
        <v>Очікую</v>
      </c>
      <c r="AA24" s="22"/>
      <c r="AB24" s="40"/>
    </row>
    <row r="25" spans="1:28" s="11" customFormat="1" ht="15" customHeight="1" x14ac:dyDescent="0.25">
      <c r="A25" s="41"/>
      <c r="B25" s="12"/>
      <c r="C25" s="48"/>
      <c r="D25" s="48">
        <v>16</v>
      </c>
      <c r="E25" s="49"/>
      <c r="F25" s="50"/>
      <c r="G25" s="50"/>
      <c r="H25" s="50"/>
      <c r="I25" s="50"/>
      <c r="J25" s="50"/>
      <c r="K25" s="50"/>
      <c r="L25" s="50"/>
      <c r="M25" s="50"/>
      <c r="N25" s="50"/>
      <c r="O25" s="50"/>
      <c r="P25" s="50"/>
      <c r="Q25" s="50"/>
      <c r="R25" s="50"/>
      <c r="S25" s="50"/>
      <c r="T25" s="50"/>
      <c r="U25" s="50"/>
      <c r="V25" s="50"/>
      <c r="W25" s="50"/>
      <c r="X25" s="50"/>
      <c r="Y25" s="50"/>
      <c r="Z25" s="43" t="str">
        <f t="shared" si="0"/>
        <v>Очікую</v>
      </c>
      <c r="AA25" s="22"/>
      <c r="AB25" s="40"/>
    </row>
    <row r="26" spans="1:28" s="11" customFormat="1" ht="15" customHeight="1" x14ac:dyDescent="0.25">
      <c r="A26" s="41"/>
      <c r="B26" s="12"/>
      <c r="C26" s="48"/>
      <c r="D26" s="48">
        <v>17</v>
      </c>
      <c r="E26" s="49"/>
      <c r="F26" s="50"/>
      <c r="G26" s="50"/>
      <c r="H26" s="50"/>
      <c r="I26" s="50"/>
      <c r="J26" s="50"/>
      <c r="K26" s="50"/>
      <c r="L26" s="50"/>
      <c r="M26" s="50"/>
      <c r="N26" s="50"/>
      <c r="O26" s="50"/>
      <c r="P26" s="50"/>
      <c r="Q26" s="50"/>
      <c r="R26" s="50"/>
      <c r="S26" s="50"/>
      <c r="T26" s="50"/>
      <c r="U26" s="50"/>
      <c r="V26" s="50"/>
      <c r="W26" s="50"/>
      <c r="X26" s="50"/>
      <c r="Y26" s="50"/>
      <c r="Z26" s="43" t="str">
        <f t="shared" si="0"/>
        <v>Очікую</v>
      </c>
      <c r="AA26" s="22"/>
      <c r="AB26" s="40"/>
    </row>
    <row r="27" spans="1:28" s="11" customFormat="1" ht="15" customHeight="1" x14ac:dyDescent="0.25">
      <c r="A27" s="41"/>
      <c r="B27" s="12"/>
      <c r="C27" s="48"/>
      <c r="D27" s="48">
        <v>18</v>
      </c>
      <c r="E27" s="49"/>
      <c r="F27" s="50"/>
      <c r="G27" s="50"/>
      <c r="H27" s="50"/>
      <c r="I27" s="50"/>
      <c r="J27" s="50"/>
      <c r="K27" s="50"/>
      <c r="L27" s="50"/>
      <c r="M27" s="50"/>
      <c r="N27" s="50"/>
      <c r="O27" s="50"/>
      <c r="P27" s="50"/>
      <c r="Q27" s="50"/>
      <c r="R27" s="50"/>
      <c r="S27" s="50"/>
      <c r="T27" s="50"/>
      <c r="U27" s="50"/>
      <c r="V27" s="50"/>
      <c r="W27" s="50"/>
      <c r="X27" s="50"/>
      <c r="Y27" s="50"/>
      <c r="Z27" s="43" t="str">
        <f t="shared" si="0"/>
        <v>Очікую</v>
      </c>
      <c r="AA27" s="22"/>
      <c r="AB27" s="40"/>
    </row>
    <row r="28" spans="1:28" s="11" customFormat="1" ht="15" customHeight="1" x14ac:dyDescent="0.25">
      <c r="A28" s="41"/>
      <c r="B28" s="12"/>
      <c r="C28" s="48"/>
      <c r="D28" s="48">
        <v>19</v>
      </c>
      <c r="E28" s="49"/>
      <c r="F28" s="50"/>
      <c r="G28" s="50"/>
      <c r="H28" s="50"/>
      <c r="I28" s="50"/>
      <c r="J28" s="50"/>
      <c r="K28" s="50"/>
      <c r="L28" s="50"/>
      <c r="M28" s="50"/>
      <c r="N28" s="50"/>
      <c r="O28" s="50"/>
      <c r="P28" s="50"/>
      <c r="Q28" s="50"/>
      <c r="R28" s="50"/>
      <c r="S28" s="50"/>
      <c r="T28" s="50"/>
      <c r="U28" s="50"/>
      <c r="V28" s="50"/>
      <c r="W28" s="50"/>
      <c r="X28" s="50"/>
      <c r="Y28" s="50"/>
      <c r="Z28" s="43" t="str">
        <f t="shared" si="0"/>
        <v>Очікую</v>
      </c>
      <c r="AA28" s="22"/>
      <c r="AB28" s="40"/>
    </row>
    <row r="29" spans="1:28" s="11" customFormat="1" ht="15" customHeight="1" x14ac:dyDescent="0.25">
      <c r="A29" s="41"/>
      <c r="B29" s="12"/>
      <c r="C29" s="48"/>
      <c r="D29" s="48">
        <v>20</v>
      </c>
      <c r="E29" s="49"/>
      <c r="F29" s="50"/>
      <c r="G29" s="50"/>
      <c r="H29" s="50"/>
      <c r="I29" s="50"/>
      <c r="J29" s="50"/>
      <c r="K29" s="50"/>
      <c r="L29" s="50"/>
      <c r="M29" s="50"/>
      <c r="N29" s="50"/>
      <c r="O29" s="50"/>
      <c r="P29" s="50"/>
      <c r="Q29" s="50"/>
      <c r="R29" s="50"/>
      <c r="S29" s="50"/>
      <c r="T29" s="50"/>
      <c r="U29" s="50"/>
      <c r="V29" s="50"/>
      <c r="W29" s="50"/>
      <c r="X29" s="50"/>
      <c r="Y29" s="50"/>
      <c r="Z29" s="43" t="str">
        <f t="shared" si="0"/>
        <v>Очікую</v>
      </c>
      <c r="AA29" s="22"/>
      <c r="AB29" s="40"/>
    </row>
    <row r="30" spans="1:28" s="11" customFormat="1" ht="15" customHeight="1" x14ac:dyDescent="0.25">
      <c r="A30" s="41"/>
      <c r="B30" s="12"/>
      <c r="C30" s="48"/>
      <c r="D30" s="48">
        <v>21</v>
      </c>
      <c r="E30" s="49"/>
      <c r="F30" s="50"/>
      <c r="G30" s="50"/>
      <c r="H30" s="50"/>
      <c r="I30" s="50"/>
      <c r="J30" s="50"/>
      <c r="K30" s="50"/>
      <c r="L30" s="50"/>
      <c r="M30" s="50"/>
      <c r="N30" s="50"/>
      <c r="O30" s="50"/>
      <c r="P30" s="50"/>
      <c r="Q30" s="50"/>
      <c r="R30" s="50"/>
      <c r="S30" s="50"/>
      <c r="T30" s="50"/>
      <c r="U30" s="50"/>
      <c r="V30" s="50"/>
      <c r="W30" s="50"/>
      <c r="X30" s="50"/>
      <c r="Y30" s="50"/>
      <c r="Z30" s="43" t="str">
        <f t="shared" si="0"/>
        <v>Очікую</v>
      </c>
      <c r="AA30" s="22"/>
      <c r="AB30" s="40"/>
    </row>
    <row r="31" spans="1:28" s="11" customFormat="1" ht="15" customHeight="1" x14ac:dyDescent="0.25">
      <c r="A31" s="41"/>
      <c r="B31" s="12"/>
      <c r="C31" s="48"/>
      <c r="D31" s="48">
        <v>22</v>
      </c>
      <c r="E31" s="49"/>
      <c r="F31" s="50"/>
      <c r="G31" s="50"/>
      <c r="H31" s="50"/>
      <c r="I31" s="50"/>
      <c r="J31" s="50"/>
      <c r="K31" s="50"/>
      <c r="L31" s="50"/>
      <c r="M31" s="50"/>
      <c r="N31" s="50"/>
      <c r="O31" s="50"/>
      <c r="P31" s="50"/>
      <c r="Q31" s="50"/>
      <c r="R31" s="50"/>
      <c r="S31" s="50"/>
      <c r="T31" s="50"/>
      <c r="U31" s="50"/>
      <c r="V31" s="50"/>
      <c r="W31" s="50"/>
      <c r="X31" s="50"/>
      <c r="Y31" s="50"/>
      <c r="Z31" s="43" t="str">
        <f t="shared" si="0"/>
        <v>Очікую</v>
      </c>
      <c r="AA31" s="22"/>
      <c r="AB31" s="40"/>
    </row>
    <row r="32" spans="1:28" s="11" customFormat="1" ht="15" customHeight="1" x14ac:dyDescent="0.25">
      <c r="A32" s="41"/>
      <c r="B32" s="12"/>
      <c r="C32" s="48"/>
      <c r="D32" s="48">
        <v>23</v>
      </c>
      <c r="E32" s="49"/>
      <c r="F32" s="50"/>
      <c r="G32" s="50"/>
      <c r="H32" s="50"/>
      <c r="I32" s="50"/>
      <c r="J32" s="50"/>
      <c r="K32" s="50"/>
      <c r="L32" s="50"/>
      <c r="M32" s="50"/>
      <c r="N32" s="50"/>
      <c r="O32" s="50"/>
      <c r="P32" s="50"/>
      <c r="Q32" s="50"/>
      <c r="R32" s="50"/>
      <c r="S32" s="50"/>
      <c r="T32" s="50"/>
      <c r="U32" s="50"/>
      <c r="V32" s="50"/>
      <c r="W32" s="50"/>
      <c r="X32" s="50"/>
      <c r="Y32" s="50"/>
      <c r="Z32" s="43" t="str">
        <f t="shared" si="0"/>
        <v>Очікую</v>
      </c>
      <c r="AA32" s="22"/>
      <c r="AB32" s="40"/>
    </row>
    <row r="33" spans="1:28" s="11" customFormat="1" ht="15" customHeight="1" x14ac:dyDescent="0.25">
      <c r="A33" s="41"/>
      <c r="B33" s="12"/>
      <c r="C33" s="48"/>
      <c r="D33" s="48">
        <v>24</v>
      </c>
      <c r="E33" s="49"/>
      <c r="F33" s="50"/>
      <c r="G33" s="50"/>
      <c r="H33" s="50"/>
      <c r="I33" s="50"/>
      <c r="J33" s="50"/>
      <c r="K33" s="50"/>
      <c r="L33" s="50"/>
      <c r="M33" s="50"/>
      <c r="N33" s="50"/>
      <c r="O33" s="50"/>
      <c r="P33" s="50"/>
      <c r="Q33" s="50"/>
      <c r="R33" s="50"/>
      <c r="S33" s="50"/>
      <c r="T33" s="50"/>
      <c r="U33" s="50"/>
      <c r="V33" s="50"/>
      <c r="W33" s="50"/>
      <c r="X33" s="50"/>
      <c r="Y33" s="50"/>
      <c r="Z33" s="43" t="str">
        <f t="shared" si="0"/>
        <v>Очікую</v>
      </c>
      <c r="AA33" s="22"/>
      <c r="AB33" s="40"/>
    </row>
    <row r="34" spans="1:28" s="11" customFormat="1" ht="15" customHeight="1" x14ac:dyDescent="0.25">
      <c r="A34" s="41"/>
      <c r="B34" s="12"/>
      <c r="C34" s="48"/>
      <c r="D34" s="48">
        <v>25</v>
      </c>
      <c r="E34" s="49"/>
      <c r="F34" s="50"/>
      <c r="G34" s="50"/>
      <c r="H34" s="50"/>
      <c r="I34" s="50"/>
      <c r="J34" s="50"/>
      <c r="K34" s="50"/>
      <c r="L34" s="50"/>
      <c r="M34" s="50"/>
      <c r="N34" s="50"/>
      <c r="O34" s="50"/>
      <c r="P34" s="50"/>
      <c r="Q34" s="50"/>
      <c r="R34" s="50"/>
      <c r="S34" s="50"/>
      <c r="T34" s="50"/>
      <c r="U34" s="50"/>
      <c r="V34" s="50"/>
      <c r="W34" s="50"/>
      <c r="X34" s="50"/>
      <c r="Y34" s="50"/>
      <c r="Z34" s="43" t="str">
        <f t="shared" si="0"/>
        <v>Очікую</v>
      </c>
      <c r="AA34" s="22"/>
      <c r="AB34" s="40"/>
    </row>
    <row r="35" spans="1:28" s="11" customFormat="1" ht="15" customHeight="1" x14ac:dyDescent="0.25">
      <c r="A35" s="41"/>
      <c r="B35" s="12"/>
      <c r="C35" s="48"/>
      <c r="D35" s="48">
        <v>26</v>
      </c>
      <c r="E35" s="49"/>
      <c r="F35" s="50"/>
      <c r="G35" s="50"/>
      <c r="H35" s="50"/>
      <c r="I35" s="50"/>
      <c r="J35" s="50"/>
      <c r="K35" s="50"/>
      <c r="L35" s="50"/>
      <c r="M35" s="50"/>
      <c r="N35" s="50"/>
      <c r="O35" s="50"/>
      <c r="P35" s="50"/>
      <c r="Q35" s="50"/>
      <c r="R35" s="50"/>
      <c r="S35" s="50"/>
      <c r="T35" s="50"/>
      <c r="U35" s="50"/>
      <c r="V35" s="50"/>
      <c r="W35" s="50"/>
      <c r="X35" s="50"/>
      <c r="Y35" s="50"/>
      <c r="Z35" s="43" t="str">
        <f t="shared" si="0"/>
        <v>Очікую</v>
      </c>
      <c r="AA35" s="22"/>
      <c r="AB35" s="40"/>
    </row>
    <row r="36" spans="1:28" s="11" customFormat="1" ht="15" customHeight="1" x14ac:dyDescent="0.25">
      <c r="A36" s="41"/>
      <c r="B36" s="12"/>
      <c r="C36" s="48"/>
      <c r="D36" s="48">
        <v>27</v>
      </c>
      <c r="E36" s="49"/>
      <c r="F36" s="50"/>
      <c r="G36" s="50"/>
      <c r="H36" s="50"/>
      <c r="I36" s="50"/>
      <c r="J36" s="50"/>
      <c r="K36" s="50"/>
      <c r="L36" s="50"/>
      <c r="M36" s="50"/>
      <c r="N36" s="50"/>
      <c r="O36" s="50"/>
      <c r="P36" s="50"/>
      <c r="Q36" s="50"/>
      <c r="R36" s="50"/>
      <c r="S36" s="50"/>
      <c r="T36" s="50"/>
      <c r="U36" s="50"/>
      <c r="V36" s="50"/>
      <c r="W36" s="50"/>
      <c r="X36" s="50"/>
      <c r="Y36" s="50"/>
      <c r="Z36" s="43" t="str">
        <f t="shared" si="0"/>
        <v>Очікую</v>
      </c>
      <c r="AA36" s="22"/>
      <c r="AB36" s="40"/>
    </row>
    <row r="37" spans="1:28" s="11" customFormat="1" ht="15" customHeight="1" x14ac:dyDescent="0.25">
      <c r="A37" s="41"/>
      <c r="B37" s="12"/>
      <c r="C37" s="48"/>
      <c r="D37" s="48">
        <v>28</v>
      </c>
      <c r="E37" s="49"/>
      <c r="F37" s="50"/>
      <c r="G37" s="50"/>
      <c r="H37" s="50"/>
      <c r="I37" s="50"/>
      <c r="J37" s="50"/>
      <c r="K37" s="50"/>
      <c r="L37" s="50"/>
      <c r="M37" s="50"/>
      <c r="N37" s="50"/>
      <c r="O37" s="50"/>
      <c r="P37" s="50"/>
      <c r="Q37" s="50"/>
      <c r="R37" s="50"/>
      <c r="S37" s="50"/>
      <c r="T37" s="50"/>
      <c r="U37" s="50"/>
      <c r="V37" s="50"/>
      <c r="W37" s="50"/>
      <c r="X37" s="50"/>
      <c r="Y37" s="50"/>
      <c r="Z37" s="43" t="str">
        <f t="shared" si="0"/>
        <v>Очікую</v>
      </c>
      <c r="AA37" s="22"/>
      <c r="AB37" s="40"/>
    </row>
    <row r="38" spans="1:28" s="11" customFormat="1" ht="15" customHeight="1" x14ac:dyDescent="0.25">
      <c r="A38" s="41"/>
      <c r="B38" s="12"/>
      <c r="C38" s="48"/>
      <c r="D38" s="48">
        <v>29</v>
      </c>
      <c r="E38" s="49"/>
      <c r="F38" s="50"/>
      <c r="G38" s="50"/>
      <c r="H38" s="50"/>
      <c r="I38" s="50"/>
      <c r="J38" s="50"/>
      <c r="K38" s="50"/>
      <c r="L38" s="50"/>
      <c r="M38" s="50"/>
      <c r="N38" s="50"/>
      <c r="O38" s="50"/>
      <c r="P38" s="50"/>
      <c r="Q38" s="50"/>
      <c r="R38" s="50"/>
      <c r="S38" s="50"/>
      <c r="T38" s="50"/>
      <c r="U38" s="50"/>
      <c r="V38" s="50"/>
      <c r="W38" s="50"/>
      <c r="X38" s="50"/>
      <c r="Y38" s="50"/>
      <c r="Z38" s="43" t="str">
        <f t="shared" si="0"/>
        <v>Очікую</v>
      </c>
      <c r="AA38" s="22"/>
      <c r="AB38" s="40"/>
    </row>
    <row r="39" spans="1:28" s="11" customFormat="1" ht="15" customHeight="1" x14ac:dyDescent="0.25">
      <c r="A39" s="41"/>
      <c r="B39" s="12"/>
      <c r="C39" s="48"/>
      <c r="D39" s="48">
        <v>30</v>
      </c>
      <c r="E39" s="49"/>
      <c r="F39" s="50"/>
      <c r="G39" s="50"/>
      <c r="H39" s="50"/>
      <c r="I39" s="50"/>
      <c r="J39" s="50"/>
      <c r="K39" s="50"/>
      <c r="L39" s="50"/>
      <c r="M39" s="50"/>
      <c r="N39" s="50"/>
      <c r="O39" s="50"/>
      <c r="P39" s="50"/>
      <c r="Q39" s="50"/>
      <c r="R39" s="50"/>
      <c r="S39" s="50"/>
      <c r="T39" s="50"/>
      <c r="U39" s="50"/>
      <c r="V39" s="50"/>
      <c r="W39" s="50"/>
      <c r="X39" s="50"/>
      <c r="Y39" s="50"/>
      <c r="Z39" s="43" t="str">
        <f t="shared" si="0"/>
        <v>Очікую</v>
      </c>
      <c r="AA39" s="22"/>
      <c r="AB39" s="40"/>
    </row>
    <row r="40" spans="1:28" s="11" customFormat="1" ht="15" customHeight="1" x14ac:dyDescent="0.25">
      <c r="A40" s="41"/>
      <c r="B40" s="12"/>
      <c r="C40" s="48"/>
      <c r="D40" s="48">
        <v>31</v>
      </c>
      <c r="E40" s="49"/>
      <c r="F40" s="50"/>
      <c r="G40" s="50"/>
      <c r="H40" s="50"/>
      <c r="I40" s="50"/>
      <c r="J40" s="50"/>
      <c r="K40" s="50"/>
      <c r="L40" s="50"/>
      <c r="M40" s="50"/>
      <c r="N40" s="50"/>
      <c r="O40" s="50"/>
      <c r="P40" s="50"/>
      <c r="Q40" s="50"/>
      <c r="R40" s="50"/>
      <c r="S40" s="50"/>
      <c r="T40" s="50"/>
      <c r="U40" s="50"/>
      <c r="V40" s="50"/>
      <c r="W40" s="50"/>
      <c r="X40" s="50"/>
      <c r="Y40" s="50"/>
      <c r="Z40" s="43" t="str">
        <f t="shared" si="0"/>
        <v>Очікую</v>
      </c>
      <c r="AA40" s="22"/>
      <c r="AB40" s="40"/>
    </row>
    <row r="41" spans="1:28" s="11" customFormat="1" ht="15" customHeight="1" x14ac:dyDescent="0.25">
      <c r="A41" s="41"/>
      <c r="B41" s="12"/>
      <c r="C41" s="48"/>
      <c r="D41" s="48">
        <v>32</v>
      </c>
      <c r="E41" s="49"/>
      <c r="F41" s="50"/>
      <c r="G41" s="50"/>
      <c r="H41" s="50"/>
      <c r="I41" s="50"/>
      <c r="J41" s="50"/>
      <c r="K41" s="50"/>
      <c r="L41" s="50"/>
      <c r="M41" s="50"/>
      <c r="N41" s="50"/>
      <c r="O41" s="50"/>
      <c r="P41" s="50"/>
      <c r="Q41" s="50"/>
      <c r="R41" s="50"/>
      <c r="S41" s="50"/>
      <c r="T41" s="50"/>
      <c r="U41" s="50"/>
      <c r="V41" s="50"/>
      <c r="W41" s="50"/>
      <c r="X41" s="50"/>
      <c r="Y41" s="50"/>
      <c r="Z41" s="43" t="str">
        <f t="shared" si="0"/>
        <v>Очікую</v>
      </c>
      <c r="AA41" s="22"/>
      <c r="AB41" s="40"/>
    </row>
    <row r="42" spans="1:28" s="11" customFormat="1" ht="15" customHeight="1" x14ac:dyDescent="0.25">
      <c r="A42" s="41"/>
      <c r="B42" s="12"/>
      <c r="C42" s="48"/>
      <c r="D42" s="48">
        <v>33</v>
      </c>
      <c r="E42" s="49"/>
      <c r="F42" s="50"/>
      <c r="G42" s="50"/>
      <c r="H42" s="50"/>
      <c r="I42" s="50"/>
      <c r="J42" s="50"/>
      <c r="K42" s="50"/>
      <c r="L42" s="50"/>
      <c r="M42" s="50"/>
      <c r="N42" s="50"/>
      <c r="O42" s="50"/>
      <c r="P42" s="50"/>
      <c r="Q42" s="50"/>
      <c r="R42" s="50"/>
      <c r="S42" s="50"/>
      <c r="T42" s="50"/>
      <c r="U42" s="50"/>
      <c r="V42" s="50"/>
      <c r="W42" s="50"/>
      <c r="X42" s="50"/>
      <c r="Y42" s="50"/>
      <c r="Z42" s="43" t="str">
        <f t="shared" si="0"/>
        <v>Очікую</v>
      </c>
      <c r="AA42" s="22"/>
      <c r="AB42" s="40"/>
    </row>
    <row r="43" spans="1:28" s="11" customFormat="1" ht="15" customHeight="1" x14ac:dyDescent="0.25">
      <c r="A43" s="41"/>
      <c r="B43" s="12"/>
      <c r="C43" s="48"/>
      <c r="D43" s="48">
        <v>34</v>
      </c>
      <c r="E43" s="49"/>
      <c r="F43" s="50"/>
      <c r="G43" s="50"/>
      <c r="H43" s="50"/>
      <c r="I43" s="50"/>
      <c r="J43" s="50"/>
      <c r="K43" s="50"/>
      <c r="L43" s="50"/>
      <c r="M43" s="50"/>
      <c r="N43" s="50"/>
      <c r="O43" s="50"/>
      <c r="P43" s="50"/>
      <c r="Q43" s="50"/>
      <c r="R43" s="50"/>
      <c r="S43" s="50"/>
      <c r="T43" s="50"/>
      <c r="U43" s="50"/>
      <c r="V43" s="50"/>
      <c r="W43" s="50"/>
      <c r="X43" s="50"/>
      <c r="Y43" s="50"/>
      <c r="Z43" s="43" t="str">
        <f t="shared" si="0"/>
        <v>Очікую</v>
      </c>
      <c r="AA43" s="22"/>
      <c r="AB43" s="40"/>
    </row>
    <row r="44" spans="1:28" s="11" customFormat="1" ht="15" customHeight="1" x14ac:dyDescent="0.25">
      <c r="A44" s="41"/>
      <c r="B44" s="12"/>
      <c r="C44" s="48"/>
      <c r="D44" s="48">
        <v>35</v>
      </c>
      <c r="E44" s="49"/>
      <c r="F44" s="50"/>
      <c r="G44" s="50"/>
      <c r="H44" s="50"/>
      <c r="I44" s="50"/>
      <c r="J44" s="50"/>
      <c r="K44" s="50"/>
      <c r="L44" s="50"/>
      <c r="M44" s="50"/>
      <c r="N44" s="50"/>
      <c r="O44" s="50"/>
      <c r="P44" s="50"/>
      <c r="Q44" s="50"/>
      <c r="R44" s="50"/>
      <c r="S44" s="50"/>
      <c r="T44" s="50"/>
      <c r="U44" s="50"/>
      <c r="V44" s="50"/>
      <c r="W44" s="50"/>
      <c r="X44" s="50"/>
      <c r="Y44" s="50"/>
      <c r="Z44" s="43" t="str">
        <f t="shared" si="0"/>
        <v>Очікую</v>
      </c>
      <c r="AA44" s="22"/>
      <c r="AB44" s="40"/>
    </row>
    <row r="45" spans="1:28" s="11" customFormat="1" ht="15" customHeight="1" x14ac:dyDescent="0.25">
      <c r="A45" s="41"/>
      <c r="B45" s="12"/>
      <c r="C45" s="48"/>
      <c r="D45" s="48">
        <v>36</v>
      </c>
      <c r="E45" s="49"/>
      <c r="F45" s="50"/>
      <c r="G45" s="50"/>
      <c r="H45" s="50"/>
      <c r="I45" s="50"/>
      <c r="J45" s="50"/>
      <c r="K45" s="50"/>
      <c r="L45" s="50"/>
      <c r="M45" s="50"/>
      <c r="N45" s="50"/>
      <c r="O45" s="50"/>
      <c r="P45" s="50"/>
      <c r="Q45" s="50"/>
      <c r="R45" s="50"/>
      <c r="S45" s="50"/>
      <c r="T45" s="50"/>
      <c r="U45" s="50"/>
      <c r="V45" s="50"/>
      <c r="W45" s="50"/>
      <c r="X45" s="50"/>
      <c r="Y45" s="50"/>
      <c r="Z45" s="43" t="str">
        <f t="shared" si="0"/>
        <v>Очікую</v>
      </c>
      <c r="AA45" s="22"/>
      <c r="AB45" s="40"/>
    </row>
    <row r="46" spans="1:28" s="11" customFormat="1" ht="15" customHeight="1" x14ac:dyDescent="0.25">
      <c r="A46" s="41"/>
      <c r="B46" s="12"/>
      <c r="C46" s="48"/>
      <c r="D46" s="48">
        <v>37</v>
      </c>
      <c r="E46" s="49"/>
      <c r="F46" s="50"/>
      <c r="G46" s="50"/>
      <c r="H46" s="50"/>
      <c r="I46" s="50"/>
      <c r="J46" s="50"/>
      <c r="K46" s="50"/>
      <c r="L46" s="50"/>
      <c r="M46" s="50"/>
      <c r="N46" s="50"/>
      <c r="O46" s="50"/>
      <c r="P46" s="50"/>
      <c r="Q46" s="50"/>
      <c r="R46" s="50"/>
      <c r="S46" s="50"/>
      <c r="T46" s="50"/>
      <c r="U46" s="50"/>
      <c r="V46" s="50"/>
      <c r="W46" s="50"/>
      <c r="X46" s="50"/>
      <c r="Y46" s="50"/>
      <c r="Z46" s="43" t="str">
        <f t="shared" si="0"/>
        <v>Очікую</v>
      </c>
      <c r="AA46" s="22"/>
      <c r="AB46" s="40"/>
    </row>
    <row r="47" spans="1:28" s="11" customFormat="1" ht="15" customHeight="1" x14ac:dyDescent="0.25">
      <c r="A47" s="41"/>
      <c r="B47" s="12"/>
      <c r="C47" s="48"/>
      <c r="D47" s="48">
        <v>38</v>
      </c>
      <c r="E47" s="49"/>
      <c r="F47" s="50"/>
      <c r="G47" s="50"/>
      <c r="H47" s="50"/>
      <c r="I47" s="50"/>
      <c r="J47" s="50"/>
      <c r="K47" s="50"/>
      <c r="L47" s="50"/>
      <c r="M47" s="50"/>
      <c r="N47" s="50"/>
      <c r="O47" s="50"/>
      <c r="P47" s="50"/>
      <c r="Q47" s="50"/>
      <c r="R47" s="50"/>
      <c r="S47" s="50"/>
      <c r="T47" s="50"/>
      <c r="U47" s="50"/>
      <c r="V47" s="50"/>
      <c r="W47" s="50"/>
      <c r="X47" s="50"/>
      <c r="Y47" s="50"/>
      <c r="Z47" s="43" t="str">
        <f t="shared" si="0"/>
        <v>Очікую</v>
      </c>
      <c r="AA47" s="22"/>
      <c r="AB47" s="40"/>
    </row>
    <row r="48" spans="1:28" s="11" customFormat="1" ht="15" customHeight="1" x14ac:dyDescent="0.25">
      <c r="A48" s="41"/>
      <c r="B48" s="12"/>
      <c r="C48" s="48"/>
      <c r="D48" s="48">
        <v>39</v>
      </c>
      <c r="E48" s="49"/>
      <c r="F48" s="50"/>
      <c r="G48" s="50"/>
      <c r="H48" s="50"/>
      <c r="I48" s="50"/>
      <c r="J48" s="50"/>
      <c r="K48" s="50"/>
      <c r="L48" s="50"/>
      <c r="M48" s="50"/>
      <c r="N48" s="50"/>
      <c r="O48" s="50"/>
      <c r="P48" s="50"/>
      <c r="Q48" s="50"/>
      <c r="R48" s="50"/>
      <c r="S48" s="50"/>
      <c r="T48" s="50"/>
      <c r="U48" s="50"/>
      <c r="V48" s="50"/>
      <c r="W48" s="50"/>
      <c r="X48" s="50"/>
      <c r="Y48" s="50"/>
      <c r="Z48" s="43" t="str">
        <f t="shared" si="0"/>
        <v>Очікую</v>
      </c>
      <c r="AA48" s="22"/>
      <c r="AB48" s="40"/>
    </row>
    <row r="49" spans="1:28" s="11" customFormat="1" ht="15" customHeight="1" x14ac:dyDescent="0.25">
      <c r="A49" s="41"/>
      <c r="B49" s="12"/>
      <c r="C49" s="48"/>
      <c r="D49" s="48">
        <v>40</v>
      </c>
      <c r="E49" s="49"/>
      <c r="F49" s="50"/>
      <c r="G49" s="50"/>
      <c r="H49" s="50"/>
      <c r="I49" s="50"/>
      <c r="J49" s="50"/>
      <c r="K49" s="50"/>
      <c r="L49" s="50"/>
      <c r="M49" s="50"/>
      <c r="N49" s="50"/>
      <c r="O49" s="50"/>
      <c r="P49" s="50"/>
      <c r="Q49" s="50"/>
      <c r="R49" s="50"/>
      <c r="S49" s="50"/>
      <c r="T49" s="50"/>
      <c r="U49" s="50"/>
      <c r="V49" s="50"/>
      <c r="W49" s="50"/>
      <c r="X49" s="50"/>
      <c r="Y49" s="50"/>
      <c r="Z49" s="43" t="str">
        <f t="shared" si="0"/>
        <v>Очікую</v>
      </c>
      <c r="AA49" s="22"/>
      <c r="AB49" s="40"/>
    </row>
    <row r="50" spans="1:28" s="11" customFormat="1" ht="15" customHeight="1" x14ac:dyDescent="0.25">
      <c r="A50" s="41"/>
      <c r="B50" s="12"/>
      <c r="C50" s="48"/>
      <c r="D50" s="48">
        <v>41</v>
      </c>
      <c r="E50" s="49"/>
      <c r="F50" s="50"/>
      <c r="G50" s="50"/>
      <c r="H50" s="50"/>
      <c r="I50" s="50"/>
      <c r="J50" s="50"/>
      <c r="K50" s="50"/>
      <c r="L50" s="50"/>
      <c r="M50" s="50"/>
      <c r="N50" s="50"/>
      <c r="O50" s="50"/>
      <c r="P50" s="50"/>
      <c r="Q50" s="50"/>
      <c r="R50" s="50"/>
      <c r="S50" s="50"/>
      <c r="T50" s="50"/>
      <c r="U50" s="50"/>
      <c r="V50" s="50"/>
      <c r="W50" s="50"/>
      <c r="X50" s="50"/>
      <c r="Y50" s="50"/>
      <c r="Z50" s="43" t="str">
        <f t="shared" si="0"/>
        <v>Очікую</v>
      </c>
      <c r="AA50" s="22"/>
      <c r="AB50" s="40"/>
    </row>
    <row r="51" spans="1:28" s="11" customFormat="1" ht="15" customHeight="1" x14ac:dyDescent="0.25">
      <c r="A51" s="41"/>
      <c r="B51" s="12"/>
      <c r="C51" s="48"/>
      <c r="D51" s="48">
        <v>42</v>
      </c>
      <c r="E51" s="49"/>
      <c r="F51" s="50"/>
      <c r="G51" s="50"/>
      <c r="H51" s="50"/>
      <c r="I51" s="50"/>
      <c r="J51" s="50"/>
      <c r="K51" s="50"/>
      <c r="L51" s="50"/>
      <c r="M51" s="50"/>
      <c r="N51" s="50"/>
      <c r="O51" s="50"/>
      <c r="P51" s="50"/>
      <c r="Q51" s="50"/>
      <c r="R51" s="50"/>
      <c r="S51" s="50"/>
      <c r="T51" s="50"/>
      <c r="U51" s="50"/>
      <c r="V51" s="50"/>
      <c r="W51" s="50"/>
      <c r="X51" s="50"/>
      <c r="Y51" s="50"/>
      <c r="Z51" s="43" t="str">
        <f t="shared" si="0"/>
        <v>Очікую</v>
      </c>
      <c r="AA51" s="22"/>
      <c r="AB51" s="40"/>
    </row>
    <row r="52" spans="1:28" s="11" customFormat="1" ht="15" customHeight="1" x14ac:dyDescent="0.25">
      <c r="A52" s="41"/>
      <c r="B52" s="12"/>
      <c r="C52" s="48"/>
      <c r="D52" s="48">
        <v>43</v>
      </c>
      <c r="E52" s="49"/>
      <c r="F52" s="50"/>
      <c r="G52" s="50"/>
      <c r="H52" s="50"/>
      <c r="I52" s="50"/>
      <c r="J52" s="50"/>
      <c r="K52" s="50"/>
      <c r="L52" s="50"/>
      <c r="M52" s="50"/>
      <c r="N52" s="50"/>
      <c r="O52" s="50"/>
      <c r="P52" s="50"/>
      <c r="Q52" s="50"/>
      <c r="R52" s="50"/>
      <c r="S52" s="50"/>
      <c r="T52" s="50"/>
      <c r="U52" s="50"/>
      <c r="V52" s="50"/>
      <c r="W52" s="50"/>
      <c r="X52" s="50"/>
      <c r="Y52" s="50"/>
      <c r="Z52" s="43" t="str">
        <f t="shared" si="0"/>
        <v>Очікую</v>
      </c>
      <c r="AA52" s="22"/>
      <c r="AB52" s="40"/>
    </row>
    <row r="53" spans="1:28" s="11" customFormat="1" ht="15" customHeight="1" x14ac:dyDescent="0.25">
      <c r="A53" s="41"/>
      <c r="B53" s="12"/>
      <c r="C53" s="48"/>
      <c r="D53" s="48">
        <v>44</v>
      </c>
      <c r="E53" s="49"/>
      <c r="F53" s="50"/>
      <c r="G53" s="50"/>
      <c r="H53" s="50"/>
      <c r="I53" s="50"/>
      <c r="J53" s="50"/>
      <c r="K53" s="50"/>
      <c r="L53" s="50"/>
      <c r="M53" s="50"/>
      <c r="N53" s="50"/>
      <c r="O53" s="50"/>
      <c r="P53" s="50"/>
      <c r="Q53" s="50"/>
      <c r="R53" s="50"/>
      <c r="S53" s="50"/>
      <c r="T53" s="50"/>
      <c r="U53" s="50"/>
      <c r="V53" s="50"/>
      <c r="W53" s="50"/>
      <c r="X53" s="50"/>
      <c r="Y53" s="50"/>
      <c r="Z53" s="43" t="str">
        <f t="shared" si="0"/>
        <v>Очікую</v>
      </c>
      <c r="AA53" s="22"/>
      <c r="AB53" s="40"/>
    </row>
    <row r="54" spans="1:28" s="11" customFormat="1" ht="15" customHeight="1" x14ac:dyDescent="0.25">
      <c r="A54" s="41"/>
      <c r="B54" s="12"/>
      <c r="C54" s="48"/>
      <c r="D54" s="48">
        <v>45</v>
      </c>
      <c r="E54" s="49"/>
      <c r="F54" s="50"/>
      <c r="G54" s="50"/>
      <c r="H54" s="50"/>
      <c r="I54" s="50"/>
      <c r="J54" s="50"/>
      <c r="K54" s="50"/>
      <c r="L54" s="50"/>
      <c r="M54" s="50"/>
      <c r="N54" s="50"/>
      <c r="O54" s="50"/>
      <c r="P54" s="50"/>
      <c r="Q54" s="50"/>
      <c r="R54" s="50"/>
      <c r="S54" s="50"/>
      <c r="T54" s="50"/>
      <c r="U54" s="50"/>
      <c r="V54" s="50"/>
      <c r="W54" s="50"/>
      <c r="X54" s="50"/>
      <c r="Y54" s="50"/>
      <c r="Z54" s="43" t="str">
        <f t="shared" si="0"/>
        <v>Очікую</v>
      </c>
      <c r="AA54" s="22"/>
      <c r="AB54" s="40"/>
    </row>
    <row r="55" spans="1:28" s="11" customFormat="1" ht="15" customHeight="1" x14ac:dyDescent="0.25">
      <c r="A55" s="41"/>
      <c r="B55" s="12"/>
      <c r="C55" s="48"/>
      <c r="D55" s="48">
        <v>46</v>
      </c>
      <c r="E55" s="49"/>
      <c r="F55" s="50"/>
      <c r="G55" s="50"/>
      <c r="H55" s="50"/>
      <c r="I55" s="50"/>
      <c r="J55" s="50"/>
      <c r="K55" s="50"/>
      <c r="L55" s="50"/>
      <c r="M55" s="50"/>
      <c r="N55" s="50"/>
      <c r="O55" s="50"/>
      <c r="P55" s="50"/>
      <c r="Q55" s="50"/>
      <c r="R55" s="50"/>
      <c r="S55" s="50"/>
      <c r="T55" s="50"/>
      <c r="U55" s="50"/>
      <c r="V55" s="50"/>
      <c r="W55" s="50"/>
      <c r="X55" s="50"/>
      <c r="Y55" s="50"/>
      <c r="Z55" s="43" t="str">
        <f t="shared" si="0"/>
        <v>Очікую</v>
      </c>
      <c r="AA55" s="22"/>
      <c r="AB55" s="40"/>
    </row>
    <row r="56" spans="1:28" s="11" customFormat="1" ht="15" customHeight="1" x14ac:dyDescent="0.25">
      <c r="A56" s="41"/>
      <c r="B56" s="12"/>
      <c r="C56" s="48"/>
      <c r="D56" s="48">
        <v>47</v>
      </c>
      <c r="E56" s="49"/>
      <c r="F56" s="50"/>
      <c r="G56" s="50"/>
      <c r="H56" s="50"/>
      <c r="I56" s="50"/>
      <c r="J56" s="50"/>
      <c r="K56" s="50"/>
      <c r="L56" s="50"/>
      <c r="M56" s="50"/>
      <c r="N56" s="50"/>
      <c r="O56" s="50"/>
      <c r="P56" s="50"/>
      <c r="Q56" s="50"/>
      <c r="R56" s="50"/>
      <c r="S56" s="50"/>
      <c r="T56" s="50"/>
      <c r="U56" s="50"/>
      <c r="V56" s="50"/>
      <c r="W56" s="50"/>
      <c r="X56" s="50"/>
      <c r="Y56" s="50"/>
      <c r="Z56" s="43" t="str">
        <f t="shared" si="0"/>
        <v>Очікую</v>
      </c>
      <c r="AA56" s="22"/>
      <c r="AB56" s="40"/>
    </row>
    <row r="57" spans="1:28" s="11" customFormat="1" ht="15" customHeight="1" x14ac:dyDescent="0.25">
      <c r="A57" s="41"/>
      <c r="B57" s="12"/>
      <c r="C57" s="48"/>
      <c r="D57" s="48">
        <v>48</v>
      </c>
      <c r="E57" s="49"/>
      <c r="F57" s="50"/>
      <c r="G57" s="50"/>
      <c r="H57" s="50"/>
      <c r="I57" s="50"/>
      <c r="J57" s="50"/>
      <c r="K57" s="50"/>
      <c r="L57" s="50"/>
      <c r="M57" s="50"/>
      <c r="N57" s="50"/>
      <c r="O57" s="50"/>
      <c r="P57" s="50"/>
      <c r="Q57" s="50"/>
      <c r="R57" s="50"/>
      <c r="S57" s="50"/>
      <c r="T57" s="50"/>
      <c r="U57" s="50"/>
      <c r="V57" s="50"/>
      <c r="W57" s="50"/>
      <c r="X57" s="50"/>
      <c r="Y57" s="50"/>
      <c r="Z57" s="43" t="str">
        <f t="shared" si="0"/>
        <v>Очікую</v>
      </c>
      <c r="AA57" s="22"/>
      <c r="AB57" s="40"/>
    </row>
    <row r="58" spans="1:28" s="11" customFormat="1" ht="15" customHeight="1" x14ac:dyDescent="0.25">
      <c r="A58" s="41"/>
      <c r="B58" s="12"/>
      <c r="C58" s="48"/>
      <c r="D58" s="48">
        <v>49</v>
      </c>
      <c r="E58" s="49"/>
      <c r="F58" s="50"/>
      <c r="G58" s="50"/>
      <c r="H58" s="50"/>
      <c r="I58" s="50"/>
      <c r="J58" s="50"/>
      <c r="K58" s="50"/>
      <c r="L58" s="50"/>
      <c r="M58" s="50"/>
      <c r="N58" s="50"/>
      <c r="O58" s="50"/>
      <c r="P58" s="50"/>
      <c r="Q58" s="50"/>
      <c r="R58" s="50"/>
      <c r="S58" s="50"/>
      <c r="T58" s="50"/>
      <c r="U58" s="50"/>
      <c r="V58" s="50"/>
      <c r="W58" s="50"/>
      <c r="X58" s="50"/>
      <c r="Y58" s="50"/>
      <c r="Z58" s="43" t="str">
        <f t="shared" si="0"/>
        <v>Очікую</v>
      </c>
      <c r="AA58" s="22"/>
      <c r="AB58" s="40"/>
    </row>
    <row r="59" spans="1:28" s="11" customFormat="1" ht="15" customHeight="1" x14ac:dyDescent="0.25">
      <c r="A59" s="41"/>
      <c r="B59" s="12"/>
      <c r="C59" s="48"/>
      <c r="D59" s="48">
        <v>50</v>
      </c>
      <c r="E59" s="49"/>
      <c r="F59" s="50"/>
      <c r="G59" s="50"/>
      <c r="H59" s="50"/>
      <c r="I59" s="50"/>
      <c r="J59" s="50"/>
      <c r="K59" s="50"/>
      <c r="L59" s="50"/>
      <c r="M59" s="50"/>
      <c r="N59" s="50"/>
      <c r="O59" s="50"/>
      <c r="P59" s="50"/>
      <c r="Q59" s="50"/>
      <c r="R59" s="50"/>
      <c r="S59" s="50"/>
      <c r="T59" s="50"/>
      <c r="U59" s="50"/>
      <c r="V59" s="50"/>
      <c r="W59" s="50"/>
      <c r="X59" s="50"/>
      <c r="Y59" s="50"/>
      <c r="Z59" s="43" t="str">
        <f t="shared" si="0"/>
        <v>Очікую</v>
      </c>
      <c r="AA59" s="22"/>
      <c r="AB59" s="40"/>
    </row>
    <row r="60" spans="1:28" s="11" customFormat="1" ht="15" customHeight="1" x14ac:dyDescent="0.25">
      <c r="A60" s="41"/>
      <c r="B60" s="12"/>
      <c r="C60" s="48"/>
      <c r="D60" s="48">
        <v>51</v>
      </c>
      <c r="E60" s="49"/>
      <c r="F60" s="50"/>
      <c r="G60" s="50"/>
      <c r="H60" s="50"/>
      <c r="I60" s="50"/>
      <c r="J60" s="50"/>
      <c r="K60" s="50"/>
      <c r="L60" s="50"/>
      <c r="M60" s="50"/>
      <c r="N60" s="50"/>
      <c r="O60" s="50"/>
      <c r="P60" s="50"/>
      <c r="Q60" s="50"/>
      <c r="R60" s="50"/>
      <c r="S60" s="50"/>
      <c r="T60" s="50"/>
      <c r="U60" s="50"/>
      <c r="V60" s="50"/>
      <c r="W60" s="50"/>
      <c r="X60" s="50"/>
      <c r="Y60" s="50"/>
      <c r="Z60" s="43" t="str">
        <f t="shared" si="0"/>
        <v>Очікую</v>
      </c>
      <c r="AA60" s="22"/>
      <c r="AB60" s="40"/>
    </row>
    <row r="61" spans="1:28" s="11" customFormat="1" ht="15" customHeight="1" x14ac:dyDescent="0.25">
      <c r="A61" s="41"/>
      <c r="B61" s="12"/>
      <c r="C61" s="48"/>
      <c r="D61" s="48">
        <v>52</v>
      </c>
      <c r="E61" s="49"/>
      <c r="F61" s="50"/>
      <c r="G61" s="50"/>
      <c r="H61" s="50"/>
      <c r="I61" s="50"/>
      <c r="J61" s="50"/>
      <c r="K61" s="50"/>
      <c r="L61" s="50"/>
      <c r="M61" s="50"/>
      <c r="N61" s="50"/>
      <c r="O61" s="50"/>
      <c r="P61" s="50"/>
      <c r="Q61" s="50"/>
      <c r="R61" s="50"/>
      <c r="S61" s="50"/>
      <c r="T61" s="50"/>
      <c r="U61" s="50"/>
      <c r="V61" s="50"/>
      <c r="W61" s="50"/>
      <c r="X61" s="50"/>
      <c r="Y61" s="50"/>
      <c r="Z61" s="43" t="str">
        <f t="shared" si="0"/>
        <v>Очікую</v>
      </c>
      <c r="AA61" s="22"/>
      <c r="AB61" s="40"/>
    </row>
    <row r="62" spans="1:28" s="11" customFormat="1" ht="15" customHeight="1" x14ac:dyDescent="0.25">
      <c r="A62" s="41"/>
      <c r="B62" s="12"/>
      <c r="C62" s="48"/>
      <c r="D62" s="48">
        <v>53</v>
      </c>
      <c r="E62" s="49"/>
      <c r="F62" s="50"/>
      <c r="G62" s="50"/>
      <c r="H62" s="50"/>
      <c r="I62" s="50"/>
      <c r="J62" s="50"/>
      <c r="K62" s="50"/>
      <c r="L62" s="50"/>
      <c r="M62" s="50"/>
      <c r="N62" s="50"/>
      <c r="O62" s="50"/>
      <c r="P62" s="50"/>
      <c r="Q62" s="50"/>
      <c r="R62" s="50"/>
      <c r="S62" s="50"/>
      <c r="T62" s="50"/>
      <c r="U62" s="50"/>
      <c r="V62" s="50"/>
      <c r="W62" s="50"/>
      <c r="X62" s="50"/>
      <c r="Y62" s="50"/>
      <c r="Z62" s="43" t="str">
        <f t="shared" si="0"/>
        <v>Очікую</v>
      </c>
      <c r="AA62" s="22"/>
      <c r="AB62" s="40"/>
    </row>
    <row r="63" spans="1:28" s="11" customFormat="1" ht="15" customHeight="1" x14ac:dyDescent="0.25">
      <c r="A63" s="41"/>
      <c r="B63" s="12"/>
      <c r="C63" s="48"/>
      <c r="D63" s="48">
        <v>54</v>
      </c>
      <c r="E63" s="49"/>
      <c r="F63" s="50"/>
      <c r="G63" s="50"/>
      <c r="H63" s="50"/>
      <c r="I63" s="50"/>
      <c r="J63" s="50"/>
      <c r="K63" s="50"/>
      <c r="L63" s="50"/>
      <c r="M63" s="50"/>
      <c r="N63" s="50"/>
      <c r="O63" s="50"/>
      <c r="P63" s="50"/>
      <c r="Q63" s="50"/>
      <c r="R63" s="50"/>
      <c r="S63" s="50"/>
      <c r="T63" s="50"/>
      <c r="U63" s="50"/>
      <c r="V63" s="50"/>
      <c r="W63" s="50"/>
      <c r="X63" s="50"/>
      <c r="Y63" s="50"/>
      <c r="Z63" s="43" t="str">
        <f t="shared" si="0"/>
        <v>Очікую</v>
      </c>
      <c r="AA63" s="22"/>
      <c r="AB63" s="40"/>
    </row>
    <row r="64" spans="1:28" s="11" customFormat="1" ht="15" customHeight="1" x14ac:dyDescent="0.25">
      <c r="A64" s="41"/>
      <c r="B64" s="12"/>
      <c r="C64" s="48"/>
      <c r="D64" s="48">
        <v>55</v>
      </c>
      <c r="E64" s="49"/>
      <c r="F64" s="50"/>
      <c r="G64" s="50"/>
      <c r="H64" s="50"/>
      <c r="I64" s="50"/>
      <c r="J64" s="50"/>
      <c r="K64" s="50"/>
      <c r="L64" s="50"/>
      <c r="M64" s="50"/>
      <c r="N64" s="50"/>
      <c r="O64" s="50"/>
      <c r="P64" s="50"/>
      <c r="Q64" s="50"/>
      <c r="R64" s="50"/>
      <c r="S64" s="50"/>
      <c r="T64" s="50"/>
      <c r="U64" s="50"/>
      <c r="V64" s="50"/>
      <c r="W64" s="50"/>
      <c r="X64" s="50"/>
      <c r="Y64" s="50"/>
      <c r="Z64" s="43" t="str">
        <f t="shared" si="0"/>
        <v>Очікую</v>
      </c>
      <c r="AA64" s="22"/>
      <c r="AB64" s="40"/>
    </row>
    <row r="65" spans="1:28" s="11" customFormat="1" ht="15" customHeight="1" x14ac:dyDescent="0.25">
      <c r="A65" s="41"/>
      <c r="B65" s="12"/>
      <c r="C65" s="48"/>
      <c r="D65" s="48">
        <v>56</v>
      </c>
      <c r="E65" s="49"/>
      <c r="F65" s="50"/>
      <c r="G65" s="50"/>
      <c r="H65" s="50"/>
      <c r="I65" s="50"/>
      <c r="J65" s="50"/>
      <c r="K65" s="50"/>
      <c r="L65" s="50"/>
      <c r="M65" s="50"/>
      <c r="N65" s="50"/>
      <c r="O65" s="50"/>
      <c r="P65" s="50"/>
      <c r="Q65" s="50"/>
      <c r="R65" s="50"/>
      <c r="S65" s="50"/>
      <c r="T65" s="50"/>
      <c r="U65" s="50"/>
      <c r="V65" s="50"/>
      <c r="W65" s="50"/>
      <c r="X65" s="50"/>
      <c r="Y65" s="50"/>
      <c r="Z65" s="43" t="str">
        <f t="shared" si="0"/>
        <v>Очікую</v>
      </c>
      <c r="AA65" s="22"/>
      <c r="AB65" s="40"/>
    </row>
    <row r="66" spans="1:28" s="11" customFormat="1" ht="15" customHeight="1" x14ac:dyDescent="0.25">
      <c r="A66" s="41"/>
      <c r="B66" s="12"/>
      <c r="C66" s="48"/>
      <c r="D66" s="48">
        <v>57</v>
      </c>
      <c r="E66" s="49"/>
      <c r="F66" s="50"/>
      <c r="G66" s="50"/>
      <c r="H66" s="50"/>
      <c r="I66" s="50"/>
      <c r="J66" s="50"/>
      <c r="K66" s="50"/>
      <c r="L66" s="50"/>
      <c r="M66" s="50"/>
      <c r="N66" s="50"/>
      <c r="O66" s="50"/>
      <c r="P66" s="50"/>
      <c r="Q66" s="50"/>
      <c r="R66" s="50"/>
      <c r="S66" s="50"/>
      <c r="T66" s="50"/>
      <c r="U66" s="50"/>
      <c r="V66" s="50"/>
      <c r="W66" s="50"/>
      <c r="X66" s="50"/>
      <c r="Y66" s="50"/>
      <c r="Z66" s="43" t="str">
        <f t="shared" si="0"/>
        <v>Очікую</v>
      </c>
      <c r="AA66" s="22"/>
      <c r="AB66" s="40"/>
    </row>
    <row r="67" spans="1:28" s="11" customFormat="1" ht="15" customHeight="1" x14ac:dyDescent="0.25">
      <c r="A67" s="41"/>
      <c r="B67" s="12"/>
      <c r="C67" s="48"/>
      <c r="D67" s="48">
        <v>58</v>
      </c>
      <c r="E67" s="49"/>
      <c r="F67" s="50"/>
      <c r="G67" s="50"/>
      <c r="H67" s="50"/>
      <c r="I67" s="50"/>
      <c r="J67" s="50"/>
      <c r="K67" s="50"/>
      <c r="L67" s="50"/>
      <c r="M67" s="50"/>
      <c r="N67" s="50"/>
      <c r="O67" s="50"/>
      <c r="P67" s="50"/>
      <c r="Q67" s="50"/>
      <c r="R67" s="50"/>
      <c r="S67" s="50"/>
      <c r="T67" s="50"/>
      <c r="U67" s="50"/>
      <c r="V67" s="50"/>
      <c r="W67" s="50"/>
      <c r="X67" s="50"/>
      <c r="Y67" s="50"/>
      <c r="Z67" s="43" t="str">
        <f t="shared" si="0"/>
        <v>Очікую</v>
      </c>
      <c r="AA67" s="22"/>
      <c r="AB67" s="40"/>
    </row>
    <row r="68" spans="1:28" s="11" customFormat="1" ht="15" customHeight="1" x14ac:dyDescent="0.25">
      <c r="A68" s="41"/>
      <c r="B68" s="12"/>
      <c r="C68" s="48"/>
      <c r="D68" s="48">
        <v>59</v>
      </c>
      <c r="E68" s="49"/>
      <c r="F68" s="50"/>
      <c r="G68" s="50"/>
      <c r="H68" s="50"/>
      <c r="I68" s="50"/>
      <c r="J68" s="50"/>
      <c r="K68" s="50"/>
      <c r="L68" s="50"/>
      <c r="M68" s="50"/>
      <c r="N68" s="50"/>
      <c r="O68" s="50"/>
      <c r="P68" s="50"/>
      <c r="Q68" s="50"/>
      <c r="R68" s="50"/>
      <c r="S68" s="50"/>
      <c r="T68" s="50"/>
      <c r="U68" s="50"/>
      <c r="V68" s="50"/>
      <c r="W68" s="50"/>
      <c r="X68" s="50"/>
      <c r="Y68" s="50"/>
      <c r="Z68" s="43" t="str">
        <f t="shared" si="0"/>
        <v>Очікую</v>
      </c>
      <c r="AA68" s="22"/>
      <c r="AB68" s="40"/>
    </row>
    <row r="69" spans="1:28" s="11" customFormat="1" ht="15" customHeight="1" x14ac:dyDescent="0.25">
      <c r="A69" s="41"/>
      <c r="B69" s="12"/>
      <c r="C69" s="48"/>
      <c r="D69" s="48">
        <v>60</v>
      </c>
      <c r="E69" s="49"/>
      <c r="F69" s="50"/>
      <c r="G69" s="50"/>
      <c r="H69" s="50"/>
      <c r="I69" s="50"/>
      <c r="J69" s="50"/>
      <c r="K69" s="50"/>
      <c r="L69" s="50"/>
      <c r="M69" s="50"/>
      <c r="N69" s="50"/>
      <c r="O69" s="50"/>
      <c r="P69" s="50"/>
      <c r="Q69" s="50"/>
      <c r="R69" s="50"/>
      <c r="S69" s="50"/>
      <c r="T69" s="50"/>
      <c r="U69" s="50"/>
      <c r="V69" s="50"/>
      <c r="W69" s="50"/>
      <c r="X69" s="50"/>
      <c r="Y69" s="50"/>
      <c r="Z69" s="43" t="str">
        <f t="shared" si="0"/>
        <v>Очікую</v>
      </c>
      <c r="AA69" s="22"/>
      <c r="AB69" s="40"/>
    </row>
    <row r="70" spans="1:28" s="11" customFormat="1" ht="15" customHeight="1" x14ac:dyDescent="0.25">
      <c r="A70" s="41"/>
      <c r="B70" s="12"/>
      <c r="C70" s="48"/>
      <c r="D70" s="48">
        <v>61</v>
      </c>
      <c r="E70" s="49"/>
      <c r="F70" s="50"/>
      <c r="G70" s="50"/>
      <c r="H70" s="50"/>
      <c r="I70" s="50"/>
      <c r="J70" s="50"/>
      <c r="K70" s="50"/>
      <c r="L70" s="50"/>
      <c r="M70" s="50"/>
      <c r="N70" s="50"/>
      <c r="O70" s="50"/>
      <c r="P70" s="50"/>
      <c r="Q70" s="50"/>
      <c r="R70" s="50"/>
      <c r="S70" s="50"/>
      <c r="T70" s="50"/>
      <c r="U70" s="50"/>
      <c r="V70" s="50"/>
      <c r="W70" s="50"/>
      <c r="X70" s="50"/>
      <c r="Y70" s="50"/>
      <c r="Z70" s="43" t="str">
        <f t="shared" si="0"/>
        <v>Очікую</v>
      </c>
      <c r="AA70" s="22"/>
      <c r="AB70" s="40"/>
    </row>
    <row r="71" spans="1:28" s="11" customFormat="1" ht="15" customHeight="1" x14ac:dyDescent="0.25">
      <c r="A71" s="41"/>
      <c r="B71" s="12"/>
      <c r="C71" s="48"/>
      <c r="D71" s="48">
        <v>62</v>
      </c>
      <c r="E71" s="49"/>
      <c r="F71" s="50"/>
      <c r="G71" s="50"/>
      <c r="H71" s="50"/>
      <c r="I71" s="50"/>
      <c r="J71" s="50"/>
      <c r="K71" s="50"/>
      <c r="L71" s="50"/>
      <c r="M71" s="50"/>
      <c r="N71" s="50"/>
      <c r="O71" s="50"/>
      <c r="P71" s="50"/>
      <c r="Q71" s="50"/>
      <c r="R71" s="50"/>
      <c r="S71" s="50"/>
      <c r="T71" s="50"/>
      <c r="U71" s="50"/>
      <c r="V71" s="50"/>
      <c r="W71" s="50"/>
      <c r="X71" s="50"/>
      <c r="Y71" s="50"/>
      <c r="Z71" s="43" t="str">
        <f t="shared" si="0"/>
        <v>Очікую</v>
      </c>
      <c r="AA71" s="22"/>
      <c r="AB71" s="40"/>
    </row>
    <row r="72" spans="1:28" s="11" customFormat="1" ht="15" customHeight="1" x14ac:dyDescent="0.25">
      <c r="A72" s="41"/>
      <c r="B72" s="12"/>
      <c r="C72" s="48"/>
      <c r="D72" s="48">
        <v>63</v>
      </c>
      <c r="E72" s="49"/>
      <c r="F72" s="50"/>
      <c r="G72" s="50"/>
      <c r="H72" s="50"/>
      <c r="I72" s="50"/>
      <c r="J72" s="50"/>
      <c r="K72" s="50"/>
      <c r="L72" s="50"/>
      <c r="M72" s="50"/>
      <c r="N72" s="50"/>
      <c r="O72" s="50"/>
      <c r="P72" s="50"/>
      <c r="Q72" s="50"/>
      <c r="R72" s="50"/>
      <c r="S72" s="50"/>
      <c r="T72" s="50"/>
      <c r="U72" s="50"/>
      <c r="V72" s="50"/>
      <c r="W72" s="50"/>
      <c r="X72" s="50"/>
      <c r="Y72" s="50"/>
      <c r="Z72" s="43" t="str">
        <f t="shared" si="0"/>
        <v>Очікую</v>
      </c>
      <c r="AA72" s="22"/>
      <c r="AB72" s="40"/>
    </row>
    <row r="73" spans="1:28" s="11" customFormat="1" ht="15" customHeight="1" x14ac:dyDescent="0.25">
      <c r="A73" s="41"/>
      <c r="B73" s="12"/>
      <c r="C73" s="48"/>
      <c r="D73" s="48">
        <v>64</v>
      </c>
      <c r="E73" s="49"/>
      <c r="F73" s="50"/>
      <c r="G73" s="50"/>
      <c r="H73" s="50"/>
      <c r="I73" s="50"/>
      <c r="J73" s="50"/>
      <c r="K73" s="50"/>
      <c r="L73" s="50"/>
      <c r="M73" s="50"/>
      <c r="N73" s="50"/>
      <c r="O73" s="50"/>
      <c r="P73" s="50"/>
      <c r="Q73" s="50"/>
      <c r="R73" s="50"/>
      <c r="S73" s="50"/>
      <c r="T73" s="50"/>
      <c r="U73" s="50"/>
      <c r="V73" s="50"/>
      <c r="W73" s="50"/>
      <c r="X73" s="50"/>
      <c r="Y73" s="50"/>
      <c r="Z73" s="43" t="str">
        <f t="shared" si="0"/>
        <v>Очікую</v>
      </c>
      <c r="AA73" s="22"/>
      <c r="AB73" s="40"/>
    </row>
    <row r="74" spans="1:28" s="11" customFormat="1" ht="15" customHeight="1" x14ac:dyDescent="0.25">
      <c r="A74" s="41"/>
      <c r="B74" s="12"/>
      <c r="C74" s="48"/>
      <c r="D74" s="48">
        <v>65</v>
      </c>
      <c r="E74" s="49"/>
      <c r="F74" s="50"/>
      <c r="G74" s="50"/>
      <c r="H74" s="50"/>
      <c r="I74" s="50"/>
      <c r="J74" s="50"/>
      <c r="K74" s="50"/>
      <c r="L74" s="50"/>
      <c r="M74" s="50"/>
      <c r="N74" s="50"/>
      <c r="O74" s="50"/>
      <c r="P74" s="50"/>
      <c r="Q74" s="50"/>
      <c r="R74" s="50"/>
      <c r="S74" s="50"/>
      <c r="T74" s="50"/>
      <c r="U74" s="50"/>
      <c r="V74" s="50"/>
      <c r="W74" s="50"/>
      <c r="X74" s="50"/>
      <c r="Y74" s="50"/>
      <c r="Z74" s="43" t="str">
        <f t="shared" si="0"/>
        <v>Очікую</v>
      </c>
      <c r="AA74" s="22"/>
      <c r="AB74" s="40"/>
    </row>
    <row r="75" spans="1:28" s="11" customFormat="1" ht="15" customHeight="1" x14ac:dyDescent="0.25">
      <c r="A75" s="41"/>
      <c r="B75" s="12"/>
      <c r="C75" s="48"/>
      <c r="D75" s="48">
        <v>66</v>
      </c>
      <c r="E75" s="49"/>
      <c r="F75" s="50"/>
      <c r="G75" s="50"/>
      <c r="H75" s="50"/>
      <c r="I75" s="50"/>
      <c r="J75" s="50"/>
      <c r="K75" s="50"/>
      <c r="L75" s="50"/>
      <c r="M75" s="50"/>
      <c r="N75" s="50"/>
      <c r="O75" s="50"/>
      <c r="P75" s="50"/>
      <c r="Q75" s="50"/>
      <c r="R75" s="50"/>
      <c r="S75" s="50"/>
      <c r="T75" s="50"/>
      <c r="U75" s="50"/>
      <c r="V75" s="50"/>
      <c r="W75" s="50"/>
      <c r="X75" s="50"/>
      <c r="Y75" s="50"/>
      <c r="Z75" s="43" t="str">
        <f t="shared" ref="Z75:Z109" si="1">IF(COUNTIF(F75:Y75,"=*")&gt;0,IF($C75="К","-"," - "),IF(COUNTIF(F75:Y75,"&lt;4")&gt;0,IF(C75="К","-"," - "),(IFERROR(AVERAGE(F75:Y75),"Очікую"))))</f>
        <v>Очікую</v>
      </c>
      <c r="AA75" s="22"/>
      <c r="AB75" s="40"/>
    </row>
    <row r="76" spans="1:28" s="11" customFormat="1" ht="15" customHeight="1" x14ac:dyDescent="0.25">
      <c r="A76" s="41"/>
      <c r="B76" s="12"/>
      <c r="C76" s="48"/>
      <c r="D76" s="48">
        <v>67</v>
      </c>
      <c r="E76" s="49"/>
      <c r="F76" s="50"/>
      <c r="G76" s="50"/>
      <c r="H76" s="50"/>
      <c r="I76" s="50"/>
      <c r="J76" s="50"/>
      <c r="K76" s="50"/>
      <c r="L76" s="50"/>
      <c r="M76" s="50"/>
      <c r="N76" s="50"/>
      <c r="O76" s="50"/>
      <c r="P76" s="50"/>
      <c r="Q76" s="50"/>
      <c r="R76" s="50"/>
      <c r="S76" s="50"/>
      <c r="T76" s="50"/>
      <c r="U76" s="50"/>
      <c r="V76" s="50"/>
      <c r="W76" s="50"/>
      <c r="X76" s="50"/>
      <c r="Y76" s="50"/>
      <c r="Z76" s="43" t="str">
        <f t="shared" si="1"/>
        <v>Очікую</v>
      </c>
      <c r="AA76" s="22"/>
      <c r="AB76" s="40"/>
    </row>
    <row r="77" spans="1:28" s="11" customFormat="1" ht="15" customHeight="1" x14ac:dyDescent="0.25">
      <c r="A77" s="41"/>
      <c r="B77" s="12"/>
      <c r="C77" s="48"/>
      <c r="D77" s="48">
        <v>68</v>
      </c>
      <c r="E77" s="49"/>
      <c r="F77" s="50"/>
      <c r="G77" s="50"/>
      <c r="H77" s="50"/>
      <c r="I77" s="50"/>
      <c r="J77" s="50"/>
      <c r="K77" s="50"/>
      <c r="L77" s="50"/>
      <c r="M77" s="50"/>
      <c r="N77" s="50"/>
      <c r="O77" s="50"/>
      <c r="P77" s="50"/>
      <c r="Q77" s="50"/>
      <c r="R77" s="50"/>
      <c r="S77" s="50"/>
      <c r="T77" s="50"/>
      <c r="U77" s="50"/>
      <c r="V77" s="50"/>
      <c r="W77" s="50"/>
      <c r="X77" s="50"/>
      <c r="Y77" s="50"/>
      <c r="Z77" s="43" t="str">
        <f t="shared" si="1"/>
        <v>Очікую</v>
      </c>
      <c r="AA77" s="22"/>
      <c r="AB77" s="40"/>
    </row>
    <row r="78" spans="1:28" s="11" customFormat="1" ht="15" customHeight="1" x14ac:dyDescent="0.25">
      <c r="A78" s="41"/>
      <c r="B78" s="12"/>
      <c r="C78" s="48"/>
      <c r="D78" s="48">
        <v>69</v>
      </c>
      <c r="E78" s="49"/>
      <c r="F78" s="50"/>
      <c r="G78" s="50"/>
      <c r="H78" s="50"/>
      <c r="I78" s="50"/>
      <c r="J78" s="50"/>
      <c r="K78" s="50"/>
      <c r="L78" s="50"/>
      <c r="M78" s="50"/>
      <c r="N78" s="50"/>
      <c r="O78" s="50"/>
      <c r="P78" s="50"/>
      <c r="Q78" s="50"/>
      <c r="R78" s="50"/>
      <c r="S78" s="50"/>
      <c r="T78" s="50"/>
      <c r="U78" s="50"/>
      <c r="V78" s="50"/>
      <c r="W78" s="50"/>
      <c r="X78" s="50"/>
      <c r="Y78" s="50"/>
      <c r="Z78" s="43" t="str">
        <f t="shared" si="1"/>
        <v>Очікую</v>
      </c>
      <c r="AA78" s="22"/>
      <c r="AB78" s="40"/>
    </row>
    <row r="79" spans="1:28" s="11" customFormat="1" ht="15" customHeight="1" x14ac:dyDescent="0.25">
      <c r="A79" s="41"/>
      <c r="B79" s="12"/>
      <c r="C79" s="48"/>
      <c r="D79" s="48">
        <v>70</v>
      </c>
      <c r="E79" s="49"/>
      <c r="F79" s="50"/>
      <c r="G79" s="50"/>
      <c r="H79" s="50"/>
      <c r="I79" s="50"/>
      <c r="J79" s="50"/>
      <c r="K79" s="50"/>
      <c r="L79" s="50"/>
      <c r="M79" s="50"/>
      <c r="N79" s="50"/>
      <c r="O79" s="50"/>
      <c r="P79" s="50"/>
      <c r="Q79" s="50"/>
      <c r="R79" s="50"/>
      <c r="S79" s="50"/>
      <c r="T79" s="50"/>
      <c r="U79" s="50"/>
      <c r="V79" s="50"/>
      <c r="W79" s="50"/>
      <c r="X79" s="50"/>
      <c r="Y79" s="50"/>
      <c r="Z79" s="43" t="str">
        <f t="shared" si="1"/>
        <v>Очікую</v>
      </c>
      <c r="AA79" s="22"/>
      <c r="AB79" s="40"/>
    </row>
    <row r="80" spans="1:28" s="11" customFormat="1" ht="15" customHeight="1" x14ac:dyDescent="0.25">
      <c r="A80" s="41"/>
      <c r="B80" s="12"/>
      <c r="C80" s="48"/>
      <c r="D80" s="48">
        <v>71</v>
      </c>
      <c r="E80" s="49"/>
      <c r="F80" s="50"/>
      <c r="G80" s="50"/>
      <c r="H80" s="50"/>
      <c r="I80" s="50"/>
      <c r="J80" s="50"/>
      <c r="K80" s="50"/>
      <c r="L80" s="50"/>
      <c r="M80" s="50"/>
      <c r="N80" s="50"/>
      <c r="O80" s="50"/>
      <c r="P80" s="50"/>
      <c r="Q80" s="50"/>
      <c r="R80" s="50"/>
      <c r="S80" s="50"/>
      <c r="T80" s="50"/>
      <c r="U80" s="50"/>
      <c r="V80" s="50"/>
      <c r="W80" s="50"/>
      <c r="X80" s="50"/>
      <c r="Y80" s="50"/>
      <c r="Z80" s="43" t="str">
        <f t="shared" si="1"/>
        <v>Очікую</v>
      </c>
      <c r="AA80" s="22"/>
      <c r="AB80" s="40"/>
    </row>
    <row r="81" spans="1:28" s="11" customFormat="1" ht="15" customHeight="1" x14ac:dyDescent="0.25">
      <c r="A81" s="41"/>
      <c r="B81" s="12"/>
      <c r="C81" s="48"/>
      <c r="D81" s="48">
        <v>72</v>
      </c>
      <c r="E81" s="49"/>
      <c r="F81" s="50"/>
      <c r="G81" s="50"/>
      <c r="H81" s="50"/>
      <c r="I81" s="50"/>
      <c r="J81" s="50"/>
      <c r="K81" s="50"/>
      <c r="L81" s="50"/>
      <c r="M81" s="50"/>
      <c r="N81" s="50"/>
      <c r="O81" s="50"/>
      <c r="P81" s="50"/>
      <c r="Q81" s="50"/>
      <c r="R81" s="50"/>
      <c r="S81" s="50"/>
      <c r="T81" s="50"/>
      <c r="U81" s="50"/>
      <c r="V81" s="50"/>
      <c r="W81" s="50"/>
      <c r="X81" s="50"/>
      <c r="Y81" s="50"/>
      <c r="Z81" s="43" t="str">
        <f t="shared" si="1"/>
        <v>Очікую</v>
      </c>
      <c r="AA81" s="22"/>
      <c r="AB81" s="40"/>
    </row>
    <row r="82" spans="1:28" s="11" customFormat="1" ht="15" customHeight="1" x14ac:dyDescent="0.25">
      <c r="A82" s="41"/>
      <c r="B82" s="12"/>
      <c r="C82" s="48"/>
      <c r="D82" s="48">
        <v>73</v>
      </c>
      <c r="E82" s="49"/>
      <c r="F82" s="50"/>
      <c r="G82" s="50"/>
      <c r="H82" s="50"/>
      <c r="I82" s="50"/>
      <c r="J82" s="50"/>
      <c r="K82" s="50"/>
      <c r="L82" s="50"/>
      <c r="M82" s="50"/>
      <c r="N82" s="50"/>
      <c r="O82" s="50"/>
      <c r="P82" s="50"/>
      <c r="Q82" s="50"/>
      <c r="R82" s="50"/>
      <c r="S82" s="50"/>
      <c r="T82" s="50"/>
      <c r="U82" s="50"/>
      <c r="V82" s="50"/>
      <c r="W82" s="50"/>
      <c r="X82" s="50"/>
      <c r="Y82" s="50"/>
      <c r="Z82" s="43" t="str">
        <f t="shared" si="1"/>
        <v>Очікую</v>
      </c>
      <c r="AA82" s="22"/>
      <c r="AB82" s="40"/>
    </row>
    <row r="83" spans="1:28" s="11" customFormat="1" ht="15" customHeight="1" x14ac:dyDescent="0.25">
      <c r="A83" s="41"/>
      <c r="B83" s="12"/>
      <c r="C83" s="48"/>
      <c r="D83" s="48">
        <v>74</v>
      </c>
      <c r="E83" s="49"/>
      <c r="F83" s="50"/>
      <c r="G83" s="50"/>
      <c r="H83" s="50"/>
      <c r="I83" s="50"/>
      <c r="J83" s="50"/>
      <c r="K83" s="50"/>
      <c r="L83" s="50"/>
      <c r="M83" s="50"/>
      <c r="N83" s="50"/>
      <c r="O83" s="50"/>
      <c r="P83" s="50"/>
      <c r="Q83" s="50"/>
      <c r="R83" s="50"/>
      <c r="S83" s="50"/>
      <c r="T83" s="50"/>
      <c r="U83" s="50"/>
      <c r="V83" s="50"/>
      <c r="W83" s="50"/>
      <c r="X83" s="50"/>
      <c r="Y83" s="50"/>
      <c r="Z83" s="43" t="str">
        <f t="shared" si="1"/>
        <v>Очікую</v>
      </c>
      <c r="AA83" s="22"/>
      <c r="AB83" s="40"/>
    </row>
    <row r="84" spans="1:28" s="11" customFormat="1" ht="15" customHeight="1" x14ac:dyDescent="0.25">
      <c r="A84" s="41"/>
      <c r="B84" s="12"/>
      <c r="C84" s="48"/>
      <c r="D84" s="48">
        <v>75</v>
      </c>
      <c r="E84" s="49"/>
      <c r="F84" s="50"/>
      <c r="G84" s="50"/>
      <c r="H84" s="50"/>
      <c r="I84" s="50"/>
      <c r="J84" s="50"/>
      <c r="K84" s="50"/>
      <c r="L84" s="50"/>
      <c r="M84" s="50"/>
      <c r="N84" s="50"/>
      <c r="O84" s="50"/>
      <c r="P84" s="50"/>
      <c r="Q84" s="50"/>
      <c r="R84" s="50"/>
      <c r="S84" s="50"/>
      <c r="T84" s="50"/>
      <c r="U84" s="50"/>
      <c r="V84" s="50"/>
      <c r="W84" s="50"/>
      <c r="X84" s="50"/>
      <c r="Y84" s="50"/>
      <c r="Z84" s="43" t="str">
        <f t="shared" si="1"/>
        <v>Очікую</v>
      </c>
      <c r="AA84" s="22"/>
      <c r="AB84" s="40"/>
    </row>
    <row r="85" spans="1:28" s="11" customFormat="1" ht="15" customHeight="1" x14ac:dyDescent="0.25">
      <c r="A85" s="41"/>
      <c r="B85" s="12"/>
      <c r="C85" s="48"/>
      <c r="D85" s="48">
        <v>76</v>
      </c>
      <c r="E85" s="49"/>
      <c r="F85" s="50"/>
      <c r="G85" s="50"/>
      <c r="H85" s="50"/>
      <c r="I85" s="50"/>
      <c r="J85" s="50"/>
      <c r="K85" s="50"/>
      <c r="L85" s="50"/>
      <c r="M85" s="50"/>
      <c r="N85" s="50"/>
      <c r="O85" s="50"/>
      <c r="P85" s="50"/>
      <c r="Q85" s="50"/>
      <c r="R85" s="50"/>
      <c r="S85" s="50"/>
      <c r="T85" s="50"/>
      <c r="U85" s="50"/>
      <c r="V85" s="50"/>
      <c r="W85" s="50"/>
      <c r="X85" s="50"/>
      <c r="Y85" s="50"/>
      <c r="Z85" s="43" t="str">
        <f t="shared" si="1"/>
        <v>Очікую</v>
      </c>
      <c r="AA85" s="22"/>
      <c r="AB85" s="40"/>
    </row>
    <row r="86" spans="1:28" s="11" customFormat="1" ht="15" customHeight="1" x14ac:dyDescent="0.25">
      <c r="A86" s="41"/>
      <c r="B86" s="12"/>
      <c r="C86" s="48"/>
      <c r="D86" s="48">
        <v>77</v>
      </c>
      <c r="E86" s="49"/>
      <c r="F86" s="50"/>
      <c r="G86" s="50"/>
      <c r="H86" s="50"/>
      <c r="I86" s="50"/>
      <c r="J86" s="50"/>
      <c r="K86" s="50"/>
      <c r="L86" s="50"/>
      <c r="M86" s="50"/>
      <c r="N86" s="50"/>
      <c r="O86" s="50"/>
      <c r="P86" s="50"/>
      <c r="Q86" s="50"/>
      <c r="R86" s="50"/>
      <c r="S86" s="50"/>
      <c r="T86" s="50"/>
      <c r="U86" s="50"/>
      <c r="V86" s="50"/>
      <c r="W86" s="50"/>
      <c r="X86" s="50"/>
      <c r="Y86" s="50"/>
      <c r="Z86" s="43" t="str">
        <f t="shared" si="1"/>
        <v>Очікую</v>
      </c>
      <c r="AA86" s="22"/>
      <c r="AB86" s="40"/>
    </row>
    <row r="87" spans="1:28" s="11" customFormat="1" ht="15" customHeight="1" x14ac:dyDescent="0.25">
      <c r="A87" s="41"/>
      <c r="B87" s="12"/>
      <c r="C87" s="48"/>
      <c r="D87" s="48">
        <v>78</v>
      </c>
      <c r="E87" s="49"/>
      <c r="F87" s="50"/>
      <c r="G87" s="50"/>
      <c r="H87" s="50"/>
      <c r="I87" s="50"/>
      <c r="J87" s="50"/>
      <c r="K87" s="50"/>
      <c r="L87" s="50"/>
      <c r="M87" s="50"/>
      <c r="N87" s="50"/>
      <c r="O87" s="50"/>
      <c r="P87" s="50"/>
      <c r="Q87" s="50"/>
      <c r="R87" s="50"/>
      <c r="S87" s="50"/>
      <c r="T87" s="50"/>
      <c r="U87" s="50"/>
      <c r="V87" s="50"/>
      <c r="W87" s="50"/>
      <c r="X87" s="50"/>
      <c r="Y87" s="50"/>
      <c r="Z87" s="43" t="str">
        <f t="shared" si="1"/>
        <v>Очікую</v>
      </c>
      <c r="AA87" s="22"/>
      <c r="AB87" s="40"/>
    </row>
    <row r="88" spans="1:28" s="11" customFormat="1" ht="15" customHeight="1" x14ac:dyDescent="0.25">
      <c r="A88" s="41"/>
      <c r="B88" s="12"/>
      <c r="C88" s="48"/>
      <c r="D88" s="48">
        <v>79</v>
      </c>
      <c r="E88" s="49"/>
      <c r="F88" s="50"/>
      <c r="G88" s="50"/>
      <c r="H88" s="50"/>
      <c r="I88" s="50"/>
      <c r="J88" s="50"/>
      <c r="K88" s="50"/>
      <c r="L88" s="50"/>
      <c r="M88" s="50"/>
      <c r="N88" s="50"/>
      <c r="O88" s="50"/>
      <c r="P88" s="50"/>
      <c r="Q88" s="50"/>
      <c r="R88" s="50"/>
      <c r="S88" s="50"/>
      <c r="T88" s="50"/>
      <c r="U88" s="50"/>
      <c r="V88" s="50"/>
      <c r="W88" s="50"/>
      <c r="X88" s="50"/>
      <c r="Y88" s="50"/>
      <c r="Z88" s="43" t="str">
        <f t="shared" si="1"/>
        <v>Очікую</v>
      </c>
      <c r="AA88" s="22"/>
      <c r="AB88" s="40"/>
    </row>
    <row r="89" spans="1:28" s="11" customFormat="1" ht="15" customHeight="1" x14ac:dyDescent="0.25">
      <c r="A89" s="41"/>
      <c r="B89" s="12"/>
      <c r="C89" s="48"/>
      <c r="D89" s="48">
        <v>80</v>
      </c>
      <c r="E89" s="49"/>
      <c r="F89" s="50"/>
      <c r="G89" s="50"/>
      <c r="H89" s="50"/>
      <c r="I89" s="50"/>
      <c r="J89" s="50"/>
      <c r="K89" s="50"/>
      <c r="L89" s="50"/>
      <c r="M89" s="50"/>
      <c r="N89" s="50"/>
      <c r="O89" s="50"/>
      <c r="P89" s="50"/>
      <c r="Q89" s="50"/>
      <c r="R89" s="50"/>
      <c r="S89" s="50"/>
      <c r="T89" s="50"/>
      <c r="U89" s="50"/>
      <c r="V89" s="50"/>
      <c r="W89" s="50"/>
      <c r="X89" s="50"/>
      <c r="Y89" s="50"/>
      <c r="Z89" s="43" t="str">
        <f t="shared" si="1"/>
        <v>Очікую</v>
      </c>
      <c r="AA89" s="22"/>
      <c r="AB89" s="40"/>
    </row>
    <row r="90" spans="1:28" s="11" customFormat="1" ht="15" customHeight="1" x14ac:dyDescent="0.25">
      <c r="A90" s="41"/>
      <c r="B90" s="12"/>
      <c r="C90" s="48"/>
      <c r="D90" s="48">
        <v>81</v>
      </c>
      <c r="E90" s="49"/>
      <c r="F90" s="50"/>
      <c r="G90" s="50"/>
      <c r="H90" s="50"/>
      <c r="I90" s="50"/>
      <c r="J90" s="50"/>
      <c r="K90" s="50"/>
      <c r="L90" s="50"/>
      <c r="M90" s="50"/>
      <c r="N90" s="50"/>
      <c r="O90" s="50"/>
      <c r="P90" s="50"/>
      <c r="Q90" s="50"/>
      <c r="R90" s="50"/>
      <c r="S90" s="50"/>
      <c r="T90" s="50"/>
      <c r="U90" s="50"/>
      <c r="V90" s="50"/>
      <c r="W90" s="50"/>
      <c r="X90" s="50"/>
      <c r="Y90" s="50"/>
      <c r="Z90" s="43" t="str">
        <f t="shared" si="1"/>
        <v>Очікую</v>
      </c>
      <c r="AA90" s="22"/>
      <c r="AB90" s="40"/>
    </row>
    <row r="91" spans="1:28" s="11" customFormat="1" ht="15" customHeight="1" x14ac:dyDescent="0.25">
      <c r="A91" s="41"/>
      <c r="B91" s="12"/>
      <c r="C91" s="48"/>
      <c r="D91" s="48">
        <v>82</v>
      </c>
      <c r="E91" s="49"/>
      <c r="F91" s="50"/>
      <c r="G91" s="50"/>
      <c r="H91" s="50"/>
      <c r="I91" s="50"/>
      <c r="J91" s="50"/>
      <c r="K91" s="50"/>
      <c r="L91" s="50"/>
      <c r="M91" s="50"/>
      <c r="N91" s="50"/>
      <c r="O91" s="50"/>
      <c r="P91" s="50"/>
      <c r="Q91" s="50"/>
      <c r="R91" s="50"/>
      <c r="S91" s="50"/>
      <c r="T91" s="50"/>
      <c r="U91" s="50"/>
      <c r="V91" s="50"/>
      <c r="W91" s="50"/>
      <c r="X91" s="50"/>
      <c r="Y91" s="50"/>
      <c r="Z91" s="43" t="str">
        <f t="shared" si="1"/>
        <v>Очікую</v>
      </c>
      <c r="AA91" s="22"/>
      <c r="AB91" s="40"/>
    </row>
    <row r="92" spans="1:28" s="11" customFormat="1" ht="15" customHeight="1" x14ac:dyDescent="0.25">
      <c r="A92" s="41"/>
      <c r="B92" s="12"/>
      <c r="C92" s="48"/>
      <c r="D92" s="48">
        <v>83</v>
      </c>
      <c r="E92" s="49"/>
      <c r="F92" s="50"/>
      <c r="G92" s="50"/>
      <c r="H92" s="50"/>
      <c r="I92" s="50"/>
      <c r="J92" s="50"/>
      <c r="K92" s="50"/>
      <c r="L92" s="50"/>
      <c r="M92" s="50"/>
      <c r="N92" s="50"/>
      <c r="O92" s="50"/>
      <c r="P92" s="50"/>
      <c r="Q92" s="50"/>
      <c r="R92" s="50"/>
      <c r="S92" s="50"/>
      <c r="T92" s="50"/>
      <c r="U92" s="50"/>
      <c r="V92" s="50"/>
      <c r="W92" s="50"/>
      <c r="X92" s="50"/>
      <c r="Y92" s="50"/>
      <c r="Z92" s="43" t="str">
        <f t="shared" si="1"/>
        <v>Очікую</v>
      </c>
      <c r="AA92" s="22"/>
      <c r="AB92" s="40"/>
    </row>
    <row r="93" spans="1:28" s="11" customFormat="1" ht="15" customHeight="1" x14ac:dyDescent="0.25">
      <c r="A93" s="41"/>
      <c r="B93" s="12"/>
      <c r="C93" s="48"/>
      <c r="D93" s="48">
        <v>84</v>
      </c>
      <c r="E93" s="49"/>
      <c r="F93" s="50"/>
      <c r="G93" s="50"/>
      <c r="H93" s="50"/>
      <c r="I93" s="50"/>
      <c r="J93" s="50"/>
      <c r="K93" s="50"/>
      <c r="L93" s="50"/>
      <c r="M93" s="50"/>
      <c r="N93" s="50"/>
      <c r="O93" s="50"/>
      <c r="P93" s="50"/>
      <c r="Q93" s="50"/>
      <c r="R93" s="50"/>
      <c r="S93" s="50"/>
      <c r="T93" s="50"/>
      <c r="U93" s="50"/>
      <c r="V93" s="50"/>
      <c r="W93" s="50"/>
      <c r="X93" s="50"/>
      <c r="Y93" s="50"/>
      <c r="Z93" s="43" t="str">
        <f t="shared" si="1"/>
        <v>Очікую</v>
      </c>
      <c r="AA93" s="22"/>
      <c r="AB93" s="40"/>
    </row>
    <row r="94" spans="1:28" s="11" customFormat="1" ht="15" customHeight="1" x14ac:dyDescent="0.25">
      <c r="A94" s="41"/>
      <c r="B94" s="12"/>
      <c r="C94" s="48"/>
      <c r="D94" s="48">
        <v>85</v>
      </c>
      <c r="E94" s="49"/>
      <c r="F94" s="50"/>
      <c r="G94" s="50"/>
      <c r="H94" s="50"/>
      <c r="I94" s="50"/>
      <c r="J94" s="50"/>
      <c r="K94" s="50"/>
      <c r="L94" s="50"/>
      <c r="M94" s="50"/>
      <c r="N94" s="50"/>
      <c r="O94" s="50"/>
      <c r="P94" s="50"/>
      <c r="Q94" s="50"/>
      <c r="R94" s="50"/>
      <c r="S94" s="50"/>
      <c r="T94" s="50"/>
      <c r="U94" s="50"/>
      <c r="V94" s="50"/>
      <c r="W94" s="50"/>
      <c r="X94" s="50"/>
      <c r="Y94" s="50"/>
      <c r="Z94" s="43" t="str">
        <f t="shared" si="1"/>
        <v>Очікую</v>
      </c>
      <c r="AA94" s="22"/>
      <c r="AB94" s="40"/>
    </row>
    <row r="95" spans="1:28" s="11" customFormat="1" ht="15" customHeight="1" x14ac:dyDescent="0.25">
      <c r="A95" s="41"/>
      <c r="B95" s="12"/>
      <c r="C95" s="48"/>
      <c r="D95" s="48">
        <v>86</v>
      </c>
      <c r="E95" s="49"/>
      <c r="F95" s="50"/>
      <c r="G95" s="50"/>
      <c r="H95" s="50"/>
      <c r="I95" s="50"/>
      <c r="J95" s="50"/>
      <c r="K95" s="50"/>
      <c r="L95" s="50"/>
      <c r="M95" s="50"/>
      <c r="N95" s="50"/>
      <c r="O95" s="50"/>
      <c r="P95" s="50"/>
      <c r="Q95" s="50"/>
      <c r="R95" s="50"/>
      <c r="S95" s="50"/>
      <c r="T95" s="50"/>
      <c r="U95" s="50"/>
      <c r="V95" s="50"/>
      <c r="W95" s="50"/>
      <c r="X95" s="50"/>
      <c r="Y95" s="50"/>
      <c r="Z95" s="43" t="str">
        <f t="shared" si="1"/>
        <v>Очікую</v>
      </c>
      <c r="AA95" s="22"/>
      <c r="AB95" s="40"/>
    </row>
    <row r="96" spans="1:28" s="11" customFormat="1" ht="15" customHeight="1" x14ac:dyDescent="0.25">
      <c r="A96" s="41"/>
      <c r="B96" s="12"/>
      <c r="C96" s="48"/>
      <c r="D96" s="48">
        <v>87</v>
      </c>
      <c r="E96" s="49"/>
      <c r="F96" s="50"/>
      <c r="G96" s="50"/>
      <c r="H96" s="50"/>
      <c r="I96" s="50"/>
      <c r="J96" s="50"/>
      <c r="K96" s="50"/>
      <c r="L96" s="50"/>
      <c r="M96" s="50"/>
      <c r="N96" s="50"/>
      <c r="O96" s="50"/>
      <c r="P96" s="50"/>
      <c r="Q96" s="50"/>
      <c r="R96" s="50"/>
      <c r="S96" s="50"/>
      <c r="T96" s="50"/>
      <c r="U96" s="50"/>
      <c r="V96" s="50"/>
      <c r="W96" s="50"/>
      <c r="X96" s="50"/>
      <c r="Y96" s="50"/>
      <c r="Z96" s="43" t="str">
        <f t="shared" si="1"/>
        <v>Очікую</v>
      </c>
      <c r="AA96" s="22"/>
      <c r="AB96" s="40"/>
    </row>
    <row r="97" spans="1:28" s="11" customFormat="1" ht="15" customHeight="1" x14ac:dyDescent="0.25">
      <c r="A97" s="41"/>
      <c r="B97" s="12"/>
      <c r="C97" s="48"/>
      <c r="D97" s="48">
        <v>88</v>
      </c>
      <c r="E97" s="49"/>
      <c r="F97" s="50"/>
      <c r="G97" s="50"/>
      <c r="H97" s="50"/>
      <c r="I97" s="50"/>
      <c r="J97" s="50"/>
      <c r="K97" s="50"/>
      <c r="L97" s="50"/>
      <c r="M97" s="50"/>
      <c r="N97" s="50"/>
      <c r="O97" s="50"/>
      <c r="P97" s="50"/>
      <c r="Q97" s="50"/>
      <c r="R97" s="50"/>
      <c r="S97" s="50"/>
      <c r="T97" s="50"/>
      <c r="U97" s="50"/>
      <c r="V97" s="50"/>
      <c r="W97" s="50"/>
      <c r="X97" s="50"/>
      <c r="Y97" s="50"/>
      <c r="Z97" s="43" t="str">
        <f t="shared" si="1"/>
        <v>Очікую</v>
      </c>
      <c r="AA97" s="22"/>
      <c r="AB97" s="40"/>
    </row>
    <row r="98" spans="1:28" s="11" customFormat="1" ht="15" customHeight="1" x14ac:dyDescent="0.25">
      <c r="A98" s="41"/>
      <c r="B98" s="12"/>
      <c r="C98" s="48"/>
      <c r="D98" s="48">
        <v>89</v>
      </c>
      <c r="E98" s="49"/>
      <c r="F98" s="50"/>
      <c r="G98" s="50"/>
      <c r="H98" s="50"/>
      <c r="I98" s="50"/>
      <c r="J98" s="50"/>
      <c r="K98" s="50"/>
      <c r="L98" s="50"/>
      <c r="M98" s="50"/>
      <c r="N98" s="50"/>
      <c r="O98" s="50"/>
      <c r="P98" s="50"/>
      <c r="Q98" s="50"/>
      <c r="R98" s="50"/>
      <c r="S98" s="50"/>
      <c r="T98" s="50"/>
      <c r="U98" s="50"/>
      <c r="V98" s="50"/>
      <c r="W98" s="50"/>
      <c r="X98" s="50"/>
      <c r="Y98" s="50"/>
      <c r="Z98" s="43" t="str">
        <f t="shared" si="1"/>
        <v>Очікую</v>
      </c>
      <c r="AA98" s="22"/>
      <c r="AB98" s="40"/>
    </row>
    <row r="99" spans="1:28" s="11" customFormat="1" ht="15" customHeight="1" x14ac:dyDescent="0.25">
      <c r="A99" s="41"/>
      <c r="B99" s="12"/>
      <c r="C99" s="48"/>
      <c r="D99" s="48">
        <v>90</v>
      </c>
      <c r="E99" s="49"/>
      <c r="F99" s="50"/>
      <c r="G99" s="50"/>
      <c r="H99" s="50"/>
      <c r="I99" s="50"/>
      <c r="J99" s="50"/>
      <c r="K99" s="50"/>
      <c r="L99" s="50"/>
      <c r="M99" s="50"/>
      <c r="N99" s="50"/>
      <c r="O99" s="50"/>
      <c r="P99" s="50"/>
      <c r="Q99" s="50"/>
      <c r="R99" s="50"/>
      <c r="S99" s="50"/>
      <c r="T99" s="50"/>
      <c r="U99" s="50"/>
      <c r="V99" s="50"/>
      <c r="W99" s="50"/>
      <c r="X99" s="50"/>
      <c r="Y99" s="50"/>
      <c r="Z99" s="43" t="str">
        <f t="shared" si="1"/>
        <v>Очікую</v>
      </c>
      <c r="AA99" s="22"/>
      <c r="AB99" s="40"/>
    </row>
    <row r="100" spans="1:28" s="11" customFormat="1" ht="15" customHeight="1" x14ac:dyDescent="0.25">
      <c r="A100" s="41"/>
      <c r="B100" s="12"/>
      <c r="C100" s="48"/>
      <c r="D100" s="48">
        <v>91</v>
      </c>
      <c r="E100" s="49"/>
      <c r="F100" s="50"/>
      <c r="G100" s="50"/>
      <c r="H100" s="50"/>
      <c r="I100" s="50"/>
      <c r="J100" s="50"/>
      <c r="K100" s="50"/>
      <c r="L100" s="50"/>
      <c r="M100" s="50"/>
      <c r="N100" s="50"/>
      <c r="O100" s="50"/>
      <c r="P100" s="50"/>
      <c r="Q100" s="50"/>
      <c r="R100" s="50"/>
      <c r="S100" s="50"/>
      <c r="T100" s="50"/>
      <c r="U100" s="50"/>
      <c r="V100" s="50"/>
      <c r="W100" s="50"/>
      <c r="X100" s="50"/>
      <c r="Y100" s="50"/>
      <c r="Z100" s="43" t="str">
        <f t="shared" si="1"/>
        <v>Очікую</v>
      </c>
      <c r="AA100" s="22"/>
      <c r="AB100" s="40"/>
    </row>
    <row r="101" spans="1:28" s="11" customFormat="1" ht="15" customHeight="1" x14ac:dyDescent="0.25">
      <c r="A101" s="41"/>
      <c r="B101" s="12"/>
      <c r="C101" s="48"/>
      <c r="D101" s="48">
        <v>92</v>
      </c>
      <c r="E101" s="49"/>
      <c r="F101" s="50"/>
      <c r="G101" s="50"/>
      <c r="H101" s="50"/>
      <c r="I101" s="50"/>
      <c r="J101" s="50"/>
      <c r="K101" s="50"/>
      <c r="L101" s="50"/>
      <c r="M101" s="50"/>
      <c r="N101" s="50"/>
      <c r="O101" s="50"/>
      <c r="P101" s="50"/>
      <c r="Q101" s="50"/>
      <c r="R101" s="50"/>
      <c r="S101" s="50"/>
      <c r="T101" s="50"/>
      <c r="U101" s="50"/>
      <c r="V101" s="50"/>
      <c r="W101" s="50"/>
      <c r="X101" s="50"/>
      <c r="Y101" s="50"/>
      <c r="Z101" s="43" t="str">
        <f t="shared" si="1"/>
        <v>Очікую</v>
      </c>
      <c r="AA101" s="22"/>
      <c r="AB101" s="40"/>
    </row>
    <row r="102" spans="1:28" s="11" customFormat="1" ht="15" customHeight="1" x14ac:dyDescent="0.25">
      <c r="A102" s="41"/>
      <c r="B102" s="12"/>
      <c r="C102" s="48"/>
      <c r="D102" s="48">
        <v>93</v>
      </c>
      <c r="E102" s="49"/>
      <c r="F102" s="50"/>
      <c r="G102" s="50"/>
      <c r="H102" s="50"/>
      <c r="I102" s="50"/>
      <c r="J102" s="50"/>
      <c r="K102" s="50"/>
      <c r="L102" s="50"/>
      <c r="M102" s="50"/>
      <c r="N102" s="50"/>
      <c r="O102" s="50"/>
      <c r="P102" s="50"/>
      <c r="Q102" s="50"/>
      <c r="R102" s="50"/>
      <c r="S102" s="50"/>
      <c r="T102" s="50"/>
      <c r="U102" s="50"/>
      <c r="V102" s="50"/>
      <c r="W102" s="50"/>
      <c r="X102" s="50"/>
      <c r="Y102" s="50"/>
      <c r="Z102" s="43" t="str">
        <f t="shared" si="1"/>
        <v>Очікую</v>
      </c>
      <c r="AA102" s="22"/>
      <c r="AB102" s="40"/>
    </row>
    <row r="103" spans="1:28" s="11" customFormat="1" ht="15" customHeight="1" x14ac:dyDescent="0.25">
      <c r="A103" s="41"/>
      <c r="B103" s="12"/>
      <c r="C103" s="48"/>
      <c r="D103" s="48">
        <v>94</v>
      </c>
      <c r="E103" s="49"/>
      <c r="F103" s="50"/>
      <c r="G103" s="50"/>
      <c r="H103" s="50"/>
      <c r="I103" s="50"/>
      <c r="J103" s="50"/>
      <c r="K103" s="50"/>
      <c r="L103" s="50"/>
      <c r="M103" s="50"/>
      <c r="N103" s="50"/>
      <c r="O103" s="50"/>
      <c r="P103" s="50"/>
      <c r="Q103" s="50"/>
      <c r="R103" s="50"/>
      <c r="S103" s="50"/>
      <c r="T103" s="50"/>
      <c r="U103" s="50"/>
      <c r="V103" s="50"/>
      <c r="W103" s="50"/>
      <c r="X103" s="50"/>
      <c r="Y103" s="50"/>
      <c r="Z103" s="43" t="str">
        <f t="shared" si="1"/>
        <v>Очікую</v>
      </c>
      <c r="AA103" s="22"/>
      <c r="AB103" s="40"/>
    </row>
    <row r="104" spans="1:28" s="11" customFormat="1" ht="15" customHeight="1" x14ac:dyDescent="0.25">
      <c r="A104" s="41"/>
      <c r="B104" s="12"/>
      <c r="C104" s="48"/>
      <c r="D104" s="48">
        <v>95</v>
      </c>
      <c r="E104" s="49"/>
      <c r="F104" s="50"/>
      <c r="G104" s="50"/>
      <c r="H104" s="50"/>
      <c r="I104" s="50"/>
      <c r="J104" s="50"/>
      <c r="K104" s="50"/>
      <c r="L104" s="50"/>
      <c r="M104" s="50"/>
      <c r="N104" s="50"/>
      <c r="O104" s="50"/>
      <c r="P104" s="50"/>
      <c r="Q104" s="50"/>
      <c r="R104" s="50"/>
      <c r="S104" s="50"/>
      <c r="T104" s="50"/>
      <c r="U104" s="50"/>
      <c r="V104" s="50"/>
      <c r="W104" s="50"/>
      <c r="X104" s="50"/>
      <c r="Y104" s="50"/>
      <c r="Z104" s="43" t="str">
        <f t="shared" si="1"/>
        <v>Очікую</v>
      </c>
      <c r="AA104" s="22"/>
      <c r="AB104" s="40"/>
    </row>
    <row r="105" spans="1:28" s="11" customFormat="1" ht="15" customHeight="1" x14ac:dyDescent="0.25">
      <c r="A105" s="41"/>
      <c r="B105" s="12"/>
      <c r="C105" s="48"/>
      <c r="D105" s="48">
        <v>96</v>
      </c>
      <c r="E105" s="49"/>
      <c r="F105" s="50"/>
      <c r="G105" s="50"/>
      <c r="H105" s="50"/>
      <c r="I105" s="50"/>
      <c r="J105" s="50"/>
      <c r="K105" s="50"/>
      <c r="L105" s="50"/>
      <c r="M105" s="50"/>
      <c r="N105" s="50"/>
      <c r="O105" s="50"/>
      <c r="P105" s="50"/>
      <c r="Q105" s="50"/>
      <c r="R105" s="50"/>
      <c r="S105" s="50"/>
      <c r="T105" s="50"/>
      <c r="U105" s="50"/>
      <c r="V105" s="50"/>
      <c r="W105" s="50"/>
      <c r="X105" s="50"/>
      <c r="Y105" s="50"/>
      <c r="Z105" s="43" t="str">
        <f t="shared" si="1"/>
        <v>Очікую</v>
      </c>
      <c r="AA105" s="22"/>
      <c r="AB105" s="40"/>
    </row>
    <row r="106" spans="1:28" s="11" customFormat="1" ht="15" customHeight="1" x14ac:dyDescent="0.25">
      <c r="A106" s="41"/>
      <c r="B106" s="12"/>
      <c r="C106" s="48"/>
      <c r="D106" s="48">
        <v>97</v>
      </c>
      <c r="E106" s="49"/>
      <c r="F106" s="50"/>
      <c r="G106" s="50"/>
      <c r="H106" s="50"/>
      <c r="I106" s="50"/>
      <c r="J106" s="50"/>
      <c r="K106" s="50"/>
      <c r="L106" s="50"/>
      <c r="M106" s="50"/>
      <c r="N106" s="50"/>
      <c r="O106" s="50"/>
      <c r="P106" s="50"/>
      <c r="Q106" s="50"/>
      <c r="R106" s="50"/>
      <c r="S106" s="50"/>
      <c r="T106" s="50"/>
      <c r="U106" s="50"/>
      <c r="V106" s="50"/>
      <c r="W106" s="50"/>
      <c r="X106" s="50"/>
      <c r="Y106" s="50"/>
      <c r="Z106" s="43" t="str">
        <f t="shared" si="1"/>
        <v>Очікую</v>
      </c>
      <c r="AA106" s="22"/>
      <c r="AB106" s="40"/>
    </row>
    <row r="107" spans="1:28" s="11" customFormat="1" ht="15" customHeight="1" x14ac:dyDescent="0.25">
      <c r="A107" s="41"/>
      <c r="B107" s="12"/>
      <c r="C107" s="48"/>
      <c r="D107" s="48">
        <v>98</v>
      </c>
      <c r="E107" s="49"/>
      <c r="F107" s="50"/>
      <c r="G107" s="50"/>
      <c r="H107" s="50"/>
      <c r="I107" s="50"/>
      <c r="J107" s="50"/>
      <c r="K107" s="50"/>
      <c r="L107" s="50"/>
      <c r="M107" s="50"/>
      <c r="N107" s="50"/>
      <c r="O107" s="50"/>
      <c r="P107" s="50"/>
      <c r="Q107" s="50"/>
      <c r="R107" s="50"/>
      <c r="S107" s="50"/>
      <c r="T107" s="50"/>
      <c r="U107" s="50"/>
      <c r="V107" s="50"/>
      <c r="W107" s="50"/>
      <c r="X107" s="50"/>
      <c r="Y107" s="50"/>
      <c r="Z107" s="43" t="str">
        <f t="shared" si="1"/>
        <v>Очікую</v>
      </c>
      <c r="AA107" s="22"/>
      <c r="AB107" s="40"/>
    </row>
    <row r="108" spans="1:28" s="11" customFormat="1" ht="15" customHeight="1" x14ac:dyDescent="0.25">
      <c r="A108" s="41"/>
      <c r="B108" s="12"/>
      <c r="C108" s="48"/>
      <c r="D108" s="48">
        <v>99</v>
      </c>
      <c r="E108" s="49"/>
      <c r="F108" s="50"/>
      <c r="G108" s="50"/>
      <c r="H108" s="50"/>
      <c r="I108" s="50"/>
      <c r="J108" s="50"/>
      <c r="K108" s="50"/>
      <c r="L108" s="50"/>
      <c r="M108" s="50"/>
      <c r="N108" s="50"/>
      <c r="O108" s="50"/>
      <c r="P108" s="50"/>
      <c r="Q108" s="50"/>
      <c r="R108" s="50"/>
      <c r="S108" s="50"/>
      <c r="T108" s="50"/>
      <c r="U108" s="50"/>
      <c r="V108" s="50"/>
      <c r="W108" s="50"/>
      <c r="X108" s="50"/>
      <c r="Y108" s="50"/>
      <c r="Z108" s="43" t="str">
        <f t="shared" si="1"/>
        <v>Очікую</v>
      </c>
      <c r="AA108" s="22"/>
      <c r="AB108" s="40"/>
    </row>
    <row r="109" spans="1:28" s="11" customFormat="1" ht="15" customHeight="1" x14ac:dyDescent="0.25">
      <c r="A109" s="41"/>
      <c r="B109" s="12"/>
      <c r="C109" s="48"/>
      <c r="D109" s="48">
        <v>100</v>
      </c>
      <c r="E109" s="49"/>
      <c r="F109" s="50"/>
      <c r="G109" s="50"/>
      <c r="H109" s="50"/>
      <c r="I109" s="50"/>
      <c r="J109" s="50"/>
      <c r="K109" s="50"/>
      <c r="L109" s="50"/>
      <c r="M109" s="50"/>
      <c r="N109" s="50"/>
      <c r="O109" s="50"/>
      <c r="P109" s="50"/>
      <c r="Q109" s="50"/>
      <c r="R109" s="50"/>
      <c r="S109" s="50"/>
      <c r="T109" s="50"/>
      <c r="U109" s="50"/>
      <c r="V109" s="50"/>
      <c r="W109" s="50"/>
      <c r="X109" s="50"/>
      <c r="Y109" s="50"/>
      <c r="Z109" s="43" t="str">
        <f t="shared" si="1"/>
        <v>Очікую</v>
      </c>
      <c r="AA109" s="22"/>
      <c r="AB109" s="40"/>
    </row>
    <row r="110" spans="1:28" ht="15" customHeight="1" x14ac:dyDescent="0.25">
      <c r="A110" s="41"/>
      <c r="B110" s="12"/>
      <c r="C110" s="6"/>
      <c r="D110" s="6"/>
      <c r="E110" s="7" t="s">
        <v>4</v>
      </c>
      <c r="F110" s="8" t="str">
        <f>IF(SUM(F10:F109)=0,IF(COUNTA(F10:F109)=0,"Очікую",0),SUM(F10:F109)/$D109)</f>
        <v>Очікую</v>
      </c>
      <c r="G110" s="8" t="str">
        <f t="shared" ref="G110:Y110" si="2">IF(SUM(G10:G109)=0,IF(COUNTA(G10:G109)=0,"Очікую",0),SUM(G10:G109)/$D109)</f>
        <v>Очікую</v>
      </c>
      <c r="H110" s="8" t="str">
        <f t="shared" si="2"/>
        <v>Очікую</v>
      </c>
      <c r="I110" s="8" t="str">
        <f t="shared" si="2"/>
        <v>Очікую</v>
      </c>
      <c r="J110" s="8" t="str">
        <f t="shared" si="2"/>
        <v>Очікую</v>
      </c>
      <c r="K110" s="8" t="str">
        <f t="shared" si="2"/>
        <v>Очікую</v>
      </c>
      <c r="L110" s="8" t="str">
        <f t="shared" si="2"/>
        <v>Очікую</v>
      </c>
      <c r="M110" s="8" t="str">
        <f t="shared" si="2"/>
        <v>Очікую</v>
      </c>
      <c r="N110" s="8" t="str">
        <f t="shared" si="2"/>
        <v>Очікую</v>
      </c>
      <c r="O110" s="8" t="str">
        <f t="shared" si="2"/>
        <v>Очікую</v>
      </c>
      <c r="P110" s="8" t="str">
        <f t="shared" si="2"/>
        <v>Очікую</v>
      </c>
      <c r="Q110" s="8" t="str">
        <f t="shared" si="2"/>
        <v>Очікую</v>
      </c>
      <c r="R110" s="8" t="str">
        <f t="shared" si="2"/>
        <v>Очікую</v>
      </c>
      <c r="S110" s="8" t="str">
        <f t="shared" si="2"/>
        <v>Очікую</v>
      </c>
      <c r="T110" s="8" t="str">
        <f t="shared" si="2"/>
        <v>Очікую</v>
      </c>
      <c r="U110" s="8" t="str">
        <f t="shared" si="2"/>
        <v>Очікую</v>
      </c>
      <c r="V110" s="8" t="str">
        <f t="shared" si="2"/>
        <v>Очікую</v>
      </c>
      <c r="W110" s="8" t="str">
        <f t="shared" si="2"/>
        <v>Очікую</v>
      </c>
      <c r="X110" s="8" t="str">
        <f t="shared" si="2"/>
        <v>Очікую</v>
      </c>
      <c r="Y110" s="8" t="str">
        <f t="shared" si="2"/>
        <v>Очікую</v>
      </c>
      <c r="Z110" s="9" t="str">
        <f>IFERROR(AVERAGE(F110:Y110),"Очікую")</f>
        <v>Очікую</v>
      </c>
      <c r="AA110" s="20"/>
      <c r="AB110" s="40"/>
    </row>
    <row r="111" spans="1:28" ht="15" customHeight="1" x14ac:dyDescent="0.25">
      <c r="A111" s="41"/>
      <c r="B111" s="12"/>
      <c r="C111" s="6"/>
      <c r="D111" s="6"/>
      <c r="E111" s="7" t="s">
        <v>5</v>
      </c>
      <c r="F111" s="44" t="str">
        <f>IF(SUM(F10:F109)=0,IF(COUNTA(F10:F109)=0,"Очікую",0),IF(COUNTIF(F10:F109,"&gt;=4")=0,0,COUNTIF(F10:F109,"&gt;=4")/$D109*100))</f>
        <v>Очікую</v>
      </c>
      <c r="G111" s="44" t="str">
        <f t="shared" ref="G111:Y111" si="3">IF(SUM(G10:G109)=0,IF(COUNTA(G10:G109)=0,"Очікую",0),IF(COUNTIF(G10:G109,"&gt;=4")=0,0,COUNTIF(G10:G109,"&gt;=4")/$D109*100))</f>
        <v>Очікую</v>
      </c>
      <c r="H111" s="44" t="str">
        <f t="shared" si="3"/>
        <v>Очікую</v>
      </c>
      <c r="I111" s="44" t="str">
        <f t="shared" si="3"/>
        <v>Очікую</v>
      </c>
      <c r="J111" s="44" t="str">
        <f t="shared" si="3"/>
        <v>Очікую</v>
      </c>
      <c r="K111" s="44" t="str">
        <f t="shared" si="3"/>
        <v>Очікую</v>
      </c>
      <c r="L111" s="44" t="str">
        <f t="shared" si="3"/>
        <v>Очікую</v>
      </c>
      <c r="M111" s="44" t="str">
        <f t="shared" si="3"/>
        <v>Очікую</v>
      </c>
      <c r="N111" s="44" t="str">
        <f t="shared" si="3"/>
        <v>Очікую</v>
      </c>
      <c r="O111" s="44" t="str">
        <f t="shared" si="3"/>
        <v>Очікую</v>
      </c>
      <c r="P111" s="44" t="str">
        <f t="shared" si="3"/>
        <v>Очікую</v>
      </c>
      <c r="Q111" s="44" t="str">
        <f t="shared" si="3"/>
        <v>Очікую</v>
      </c>
      <c r="R111" s="44" t="str">
        <f t="shared" si="3"/>
        <v>Очікую</v>
      </c>
      <c r="S111" s="44" t="str">
        <f t="shared" si="3"/>
        <v>Очікую</v>
      </c>
      <c r="T111" s="44" t="str">
        <f t="shared" si="3"/>
        <v>Очікую</v>
      </c>
      <c r="U111" s="44" t="str">
        <f t="shared" si="3"/>
        <v>Очікую</v>
      </c>
      <c r="V111" s="44" t="str">
        <f t="shared" si="3"/>
        <v>Очікую</v>
      </c>
      <c r="W111" s="44" t="str">
        <f t="shared" si="3"/>
        <v>Очікую</v>
      </c>
      <c r="X111" s="44" t="str">
        <f t="shared" si="3"/>
        <v>Очікую</v>
      </c>
      <c r="Y111" s="44" t="str">
        <f t="shared" si="3"/>
        <v>Очікую</v>
      </c>
      <c r="Z111" s="6"/>
      <c r="AA111" s="20"/>
      <c r="AB111" s="40"/>
    </row>
    <row r="112" spans="1:28" ht="15" customHeight="1" x14ac:dyDescent="0.25">
      <c r="A112" s="41"/>
      <c r="B112" s="12"/>
      <c r="C112" s="6"/>
      <c r="D112" s="6"/>
      <c r="E112" s="7" t="s">
        <v>6</v>
      </c>
      <c r="F112" s="44" t="str">
        <f>IF(SUM(F10:F109)=0,IF(COUNTA(F10:F109)=0,"Очікую",0),IF(COUNTIF(F10:F109,"&gt;=7")=0,0,COUNTIF(F10:F109,"&gt;=7")/$D109*100))</f>
        <v>Очікую</v>
      </c>
      <c r="G112" s="44" t="str">
        <f t="shared" ref="G112:Y112" si="4">IF(SUM(G10:G109)=0,IF(COUNTA(G10:G109)=0,"Очікую",0),IF(COUNTIF(G10:G109,"&gt;=7")=0,0,COUNTIF(G10:G109,"&gt;=7")/$D109*100))</f>
        <v>Очікую</v>
      </c>
      <c r="H112" s="44" t="str">
        <f t="shared" si="4"/>
        <v>Очікую</v>
      </c>
      <c r="I112" s="44" t="str">
        <f t="shared" si="4"/>
        <v>Очікую</v>
      </c>
      <c r="J112" s="44" t="str">
        <f t="shared" si="4"/>
        <v>Очікую</v>
      </c>
      <c r="K112" s="44" t="str">
        <f t="shared" si="4"/>
        <v>Очікую</v>
      </c>
      <c r="L112" s="44" t="str">
        <f t="shared" si="4"/>
        <v>Очікую</v>
      </c>
      <c r="M112" s="44" t="str">
        <f>IF(SUM(M10:M109)=0,IF(COUNTA(M10:M109)=0,"Очікую",0),IF(COUNTIF(M10:M109,"&gt;=7")=0,0,COUNTIF(M10:M109,"&gt;=7")/$D109*100))</f>
        <v>Очікую</v>
      </c>
      <c r="N112" s="44" t="str">
        <f t="shared" si="4"/>
        <v>Очікую</v>
      </c>
      <c r="O112" s="44" t="str">
        <f t="shared" si="4"/>
        <v>Очікую</v>
      </c>
      <c r="P112" s="44" t="str">
        <f t="shared" si="4"/>
        <v>Очікую</v>
      </c>
      <c r="Q112" s="44" t="str">
        <f t="shared" si="4"/>
        <v>Очікую</v>
      </c>
      <c r="R112" s="44" t="str">
        <f t="shared" si="4"/>
        <v>Очікую</v>
      </c>
      <c r="S112" s="44" t="str">
        <f t="shared" si="4"/>
        <v>Очікую</v>
      </c>
      <c r="T112" s="44" t="str">
        <f t="shared" si="4"/>
        <v>Очікую</v>
      </c>
      <c r="U112" s="44" t="str">
        <f t="shared" si="4"/>
        <v>Очікую</v>
      </c>
      <c r="V112" s="44" t="str">
        <f t="shared" si="4"/>
        <v>Очікую</v>
      </c>
      <c r="W112" s="44" t="str">
        <f t="shared" si="4"/>
        <v>Очікую</v>
      </c>
      <c r="X112" s="44" t="str">
        <f t="shared" si="4"/>
        <v>Очікую</v>
      </c>
      <c r="Y112" s="44" t="str">
        <f t="shared" si="4"/>
        <v>Очікую</v>
      </c>
      <c r="Z112" s="6"/>
      <c r="AA112" s="20"/>
      <c r="AB112" s="40"/>
    </row>
    <row r="113" spans="1:28" ht="15" customHeight="1" x14ac:dyDescent="0.25">
      <c r="A113" s="41"/>
      <c r="B113" s="12"/>
      <c r="C113" s="6"/>
      <c r="D113" s="6"/>
      <c r="E113" s="7" t="s">
        <v>7</v>
      </c>
      <c r="F113" s="8" t="str">
        <f>IFERROR(AVERAGE(F111:Y111),"Очікую")</f>
        <v>Очікую</v>
      </c>
      <c r="G113" s="6"/>
      <c r="H113" s="6"/>
      <c r="I113" s="6"/>
      <c r="J113" s="6"/>
      <c r="K113" s="6"/>
      <c r="L113" s="6"/>
      <c r="M113" s="6"/>
      <c r="N113" s="6"/>
      <c r="O113" s="6"/>
      <c r="P113" s="6"/>
      <c r="Q113" s="6"/>
      <c r="R113" s="6"/>
      <c r="S113" s="6"/>
      <c r="T113" s="6"/>
      <c r="U113" s="6"/>
      <c r="V113" s="6"/>
      <c r="W113" s="6"/>
      <c r="X113" s="6"/>
      <c r="Y113" s="6"/>
      <c r="Z113" s="6"/>
      <c r="AA113" s="20"/>
      <c r="AB113" s="40"/>
    </row>
    <row r="114" spans="1:28" ht="15" customHeight="1" x14ac:dyDescent="0.25">
      <c r="A114" s="41"/>
      <c r="B114" s="12"/>
      <c r="C114" s="6"/>
      <c r="D114" s="6"/>
      <c r="E114" s="7" t="s">
        <v>8</v>
      </c>
      <c r="F114" s="8" t="str">
        <f>IFERROR(AVERAGE(F112:Y112),"Очікую")</f>
        <v>Очікую</v>
      </c>
      <c r="G114" s="6"/>
      <c r="H114" s="6"/>
      <c r="I114" s="6"/>
      <c r="J114" s="6"/>
      <c r="K114" s="6"/>
      <c r="L114" s="6"/>
      <c r="M114" s="6"/>
      <c r="N114" s="6"/>
      <c r="O114" s="6"/>
      <c r="P114" s="6"/>
      <c r="Q114" s="6"/>
      <c r="R114" s="6"/>
      <c r="S114" s="6"/>
      <c r="T114" s="6"/>
      <c r="U114" s="6"/>
      <c r="V114" s="6"/>
      <c r="W114" s="6"/>
      <c r="X114" s="6"/>
      <c r="Y114" s="6"/>
      <c r="Z114" s="6"/>
      <c r="AA114" s="20"/>
      <c r="AB114" s="40"/>
    </row>
    <row r="115" spans="1:28" ht="15" customHeight="1" x14ac:dyDescent="0.25">
      <c r="A115" s="41"/>
      <c r="B115" s="12"/>
      <c r="C115" s="6"/>
      <c r="D115" s="6"/>
      <c r="E115" s="7" t="s">
        <v>9</v>
      </c>
      <c r="F115" s="5" t="str">
        <f>IF(COUNTIF(C10:C109,"=Б")=0,IF(COUNTIF(C10:C109,"=К")=0,"Очікую",0),COUNTIF(C10:C109,"=Б"))</f>
        <v>Очікую</v>
      </c>
      <c r="G115" s="6"/>
      <c r="H115" s="6"/>
      <c r="I115" s="6"/>
      <c r="J115" s="6"/>
      <c r="K115" s="6"/>
      <c r="L115" s="6"/>
      <c r="M115" s="6"/>
      <c r="N115" s="6"/>
      <c r="O115" s="6"/>
      <c r="P115" s="6"/>
      <c r="Q115" s="6"/>
      <c r="R115" s="6"/>
      <c r="S115" s="6"/>
      <c r="T115" s="6"/>
      <c r="U115" s="6"/>
      <c r="V115" s="6"/>
      <c r="W115" s="60"/>
      <c r="X115" s="60"/>
      <c r="Y115" s="60"/>
      <c r="Z115" s="60"/>
      <c r="AA115" s="20"/>
      <c r="AB115" s="40"/>
    </row>
    <row r="116" spans="1:28" ht="15" customHeight="1" x14ac:dyDescent="0.3">
      <c r="A116" s="41"/>
      <c r="B116" s="12"/>
      <c r="C116" s="6"/>
      <c r="D116" s="6"/>
      <c r="E116" s="7" t="s">
        <v>10</v>
      </c>
      <c r="F116" s="5" t="str">
        <f>IF(COUNTIF(C10:C109,"=К")=0,IF(COUNTIF(C10:C109,"=Б")=0,"Очікую",0),COUNTIF(C10:C109,"=К"))</f>
        <v>Очікую</v>
      </c>
      <c r="G116" s="6"/>
      <c r="H116" s="66" t="s">
        <v>11</v>
      </c>
      <c r="I116" s="66"/>
      <c r="J116" s="66"/>
      <c r="K116" s="66"/>
      <c r="L116" s="66"/>
      <c r="M116" s="6"/>
      <c r="N116" s="6"/>
      <c r="O116" s="6"/>
      <c r="P116" s="6"/>
      <c r="Q116" s="6"/>
      <c r="R116" s="6"/>
      <c r="S116" s="6"/>
      <c r="T116" s="6"/>
      <c r="U116" s="62"/>
      <c r="V116" s="62"/>
      <c r="W116" s="62"/>
      <c r="X116" s="62"/>
      <c r="Y116" s="62"/>
      <c r="Z116" s="62"/>
      <c r="AA116" s="20"/>
      <c r="AB116" s="40"/>
    </row>
    <row r="117" spans="1:28" ht="15" customHeight="1" x14ac:dyDescent="0.25">
      <c r="A117" s="41"/>
      <c r="B117" s="12"/>
      <c r="C117" s="6"/>
      <c r="D117" s="6"/>
      <c r="E117" s="7" t="s">
        <v>12</v>
      </c>
      <c r="F117" s="4"/>
      <c r="G117" s="6"/>
      <c r="H117" s="61"/>
      <c r="I117" s="61"/>
      <c r="J117" s="61"/>
      <c r="K117" s="61"/>
      <c r="L117" s="61"/>
      <c r="M117" s="6"/>
      <c r="N117" s="6"/>
      <c r="O117" s="6"/>
      <c r="P117" s="6"/>
      <c r="Q117" s="6"/>
      <c r="R117" s="6"/>
      <c r="S117" s="6"/>
      <c r="T117" s="6"/>
      <c r="U117" s="60"/>
      <c r="V117" s="60"/>
      <c r="W117" s="60"/>
      <c r="X117" s="60"/>
      <c r="Y117" s="60"/>
      <c r="Z117" s="60"/>
      <c r="AA117" s="20"/>
      <c r="AB117" s="40"/>
    </row>
    <row r="118" spans="1:28" ht="15" customHeight="1" x14ac:dyDescent="0.3">
      <c r="A118" s="41"/>
      <c r="B118" s="12"/>
      <c r="C118" s="6"/>
      <c r="D118" s="6"/>
      <c r="E118" s="7" t="s">
        <v>13</v>
      </c>
      <c r="F118" s="5" t="str">
        <f>IF(F115="Очікую","Очікую",IF(F115-COUNTIF(Z10:Z109," - ")&lt;ROUNDDOWN(F115*0.4,0),F115-COUNTIF(Z10:Z109," - "),ROUNDDOWN(F115*0.4,0)))</f>
        <v>Очікую</v>
      </c>
      <c r="G118" s="6"/>
      <c r="H118" s="62" t="s">
        <v>14</v>
      </c>
      <c r="I118" s="62"/>
      <c r="J118" s="62"/>
      <c r="K118" s="62"/>
      <c r="L118" s="62"/>
      <c r="M118" s="6"/>
      <c r="N118" s="6"/>
      <c r="O118" s="6"/>
      <c r="P118" s="6"/>
      <c r="Q118" s="6"/>
      <c r="R118" s="6"/>
      <c r="S118" s="6"/>
      <c r="T118" s="6"/>
      <c r="U118" s="62"/>
      <c r="V118" s="62"/>
      <c r="W118" s="62"/>
      <c r="X118" s="62"/>
      <c r="Y118" s="62"/>
      <c r="Z118" s="62"/>
      <c r="AA118" s="20"/>
      <c r="AB118" s="40"/>
    </row>
    <row r="119" spans="1:28" ht="12" customHeight="1" thickBot="1" x14ac:dyDescent="0.3">
      <c r="A119" s="41"/>
      <c r="B119" s="21"/>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5"/>
      <c r="AB119" s="40"/>
    </row>
    <row r="120" spans="1:28" ht="12" customHeight="1" x14ac:dyDescent="0.25">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c r="AA120" s="39"/>
      <c r="AB120" s="40"/>
    </row>
  </sheetData>
  <sheetProtection insertRows="0" deleteRows="0"/>
  <mergeCells count="6">
    <mergeCell ref="C3:Z7"/>
    <mergeCell ref="C8:C9"/>
    <mergeCell ref="D8:D9"/>
    <mergeCell ref="E8:E9"/>
    <mergeCell ref="F8:Y8"/>
    <mergeCell ref="Z8:Z9"/>
  </mergeCells>
  <printOptions horizontalCentered="1"/>
  <pageMargins left="0.19685039370078741" right="0.19685039370078741" top="0.19685039370078741" bottom="0.19685039370078741" header="0" footer="0"/>
  <pageSetup paperSize="9" scale="3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11">
    <tabColor rgb="FF0070C0"/>
    <pageSetUpPr fitToPage="1"/>
  </sheetPr>
  <dimension ref="A1:BP120"/>
  <sheetViews>
    <sheetView zoomScaleNormal="100" workbookViewId="0"/>
  </sheetViews>
  <sheetFormatPr defaultColWidth="0" defaultRowHeight="0" customHeight="1" zeroHeight="1" x14ac:dyDescent="0.25"/>
  <cols>
    <col min="1" max="2" width="2.7109375" style="1" customWidth="1"/>
    <col min="3" max="3" width="4.140625" style="1" customWidth="1"/>
    <col min="4" max="4" width="6.5703125" style="1" customWidth="1"/>
    <col min="5" max="5" width="40.42578125" style="1" customWidth="1"/>
    <col min="6" max="25" width="6.7109375" style="1" customWidth="1"/>
    <col min="26" max="26" width="11.28515625" style="1" customWidth="1"/>
    <col min="27" max="28" width="2.7109375" style="1" customWidth="1"/>
    <col min="29" max="34" width="14.42578125" style="1" hidden="1" customWidth="1"/>
    <col min="35" max="35" width="14.85546875" style="1" hidden="1" customWidth="1"/>
    <col min="36" max="49" width="3.7109375" style="1" hidden="1" customWidth="1"/>
    <col min="50" max="68" width="5.7109375" style="1" hidden="1" customWidth="1"/>
    <col min="69" max="16384" width="14.42578125" style="1" hidden="1"/>
  </cols>
  <sheetData>
    <row r="1" spans="1:28" ht="12" customHeight="1" thickBot="1" x14ac:dyDescent="0.3">
      <c r="A1" s="38" t="s">
        <v>18</v>
      </c>
      <c r="B1" s="39"/>
      <c r="C1" s="39"/>
      <c r="D1" s="39"/>
      <c r="E1" s="39"/>
      <c r="F1" s="39"/>
      <c r="G1" s="39"/>
      <c r="H1" s="39"/>
      <c r="I1" s="39"/>
      <c r="J1" s="39"/>
      <c r="K1" s="39"/>
      <c r="L1" s="39"/>
      <c r="M1" s="39"/>
      <c r="N1" s="39"/>
      <c r="O1" s="39"/>
      <c r="P1" s="39"/>
      <c r="Q1" s="39"/>
      <c r="R1" s="39"/>
      <c r="S1" s="39"/>
      <c r="T1" s="39"/>
      <c r="U1" s="39"/>
      <c r="V1" s="39"/>
      <c r="W1" s="39"/>
      <c r="X1" s="39"/>
      <c r="Y1" s="39"/>
      <c r="Z1" s="39"/>
      <c r="AA1" s="39"/>
      <c r="AB1" s="39"/>
    </row>
    <row r="2" spans="1:28" ht="12" customHeight="1" x14ac:dyDescent="0.25">
      <c r="A2" s="41"/>
      <c r="B2" s="17"/>
      <c r="C2" s="18"/>
      <c r="D2" s="18"/>
      <c r="E2" s="18"/>
      <c r="F2" s="18"/>
      <c r="G2" s="18"/>
      <c r="H2" s="18"/>
      <c r="I2" s="18"/>
      <c r="J2" s="18"/>
      <c r="K2" s="18"/>
      <c r="L2" s="18"/>
      <c r="M2" s="18"/>
      <c r="N2" s="18"/>
      <c r="O2" s="18"/>
      <c r="P2" s="18"/>
      <c r="Q2" s="18"/>
      <c r="R2" s="18"/>
      <c r="S2" s="18"/>
      <c r="T2" s="18"/>
      <c r="U2" s="18"/>
      <c r="V2" s="18"/>
      <c r="W2" s="18"/>
      <c r="X2" s="18"/>
      <c r="Y2" s="18"/>
      <c r="Z2" s="18"/>
      <c r="AA2" s="19"/>
      <c r="AB2" s="40"/>
    </row>
    <row r="3" spans="1:28" s="2" customFormat="1" ht="54.95" customHeight="1" x14ac:dyDescent="0.3">
      <c r="A3" s="41"/>
      <c r="B3" s="12"/>
      <c r="C3" s="70" t="s">
        <v>19</v>
      </c>
      <c r="D3" s="70"/>
      <c r="E3" s="70"/>
      <c r="F3" s="70"/>
      <c r="G3" s="70"/>
      <c r="H3" s="70"/>
      <c r="I3" s="70"/>
      <c r="J3" s="70"/>
      <c r="K3" s="70"/>
      <c r="L3" s="70"/>
      <c r="M3" s="70"/>
      <c r="N3" s="70"/>
      <c r="O3" s="70"/>
      <c r="P3" s="70"/>
      <c r="Q3" s="70"/>
      <c r="R3" s="70"/>
      <c r="S3" s="70"/>
      <c r="T3" s="70"/>
      <c r="U3" s="70"/>
      <c r="V3" s="70"/>
      <c r="W3" s="70"/>
      <c r="X3" s="70"/>
      <c r="Y3" s="70"/>
      <c r="Z3" s="70"/>
      <c r="AA3" s="20"/>
      <c r="AB3" s="40"/>
    </row>
    <row r="4" spans="1:28" s="3" customFormat="1" ht="15" customHeight="1" x14ac:dyDescent="0.25">
      <c r="A4" s="41"/>
      <c r="B4" s="12"/>
      <c r="C4" s="71" t="s">
        <v>16</v>
      </c>
      <c r="D4" s="71"/>
      <c r="E4" s="71"/>
      <c r="F4" s="71"/>
      <c r="G4" s="71"/>
      <c r="H4" s="71"/>
      <c r="I4" s="71"/>
      <c r="J4" s="71"/>
      <c r="K4" s="71"/>
      <c r="L4" s="71"/>
      <c r="M4" s="71"/>
      <c r="N4" s="71"/>
      <c r="O4" s="71"/>
      <c r="P4" s="71"/>
      <c r="Q4" s="71"/>
      <c r="R4" s="71"/>
      <c r="S4" s="71"/>
      <c r="T4" s="71"/>
      <c r="U4" s="71"/>
      <c r="V4" s="71"/>
      <c r="W4" s="71"/>
      <c r="X4" s="71"/>
      <c r="Y4" s="71"/>
      <c r="Z4" s="71"/>
      <c r="AA4" s="20"/>
      <c r="AB4" s="40"/>
    </row>
    <row r="5" spans="1:28" s="2" customFormat="1" ht="15" customHeight="1" x14ac:dyDescent="0.25">
      <c r="A5" s="41"/>
      <c r="B5" s="12"/>
      <c r="C5" s="72" t="s">
        <v>20</v>
      </c>
      <c r="D5" s="72"/>
      <c r="E5" s="72"/>
      <c r="F5" s="72"/>
      <c r="G5" s="72"/>
      <c r="H5" s="72"/>
      <c r="I5" s="72"/>
      <c r="J5" s="72"/>
      <c r="K5" s="72"/>
      <c r="L5" s="72"/>
      <c r="M5" s="72"/>
      <c r="N5" s="72"/>
      <c r="O5" s="72"/>
      <c r="P5" s="72"/>
      <c r="Q5" s="72"/>
      <c r="R5" s="72"/>
      <c r="S5" s="72"/>
      <c r="T5" s="72"/>
      <c r="U5" s="72"/>
      <c r="V5" s="72"/>
      <c r="W5" s="72"/>
      <c r="X5" s="72"/>
      <c r="Y5" s="72"/>
      <c r="Z5" s="72"/>
      <c r="AA5" s="20"/>
      <c r="AB5" s="40"/>
    </row>
    <row r="6" spans="1:28" s="2" customFormat="1" ht="15" customHeight="1" x14ac:dyDescent="0.25">
      <c r="A6" s="41"/>
      <c r="B6" s="12"/>
      <c r="C6" s="72" t="s">
        <v>22</v>
      </c>
      <c r="D6" s="72"/>
      <c r="E6" s="72"/>
      <c r="F6" s="72"/>
      <c r="G6" s="72"/>
      <c r="H6" s="72"/>
      <c r="I6" s="72"/>
      <c r="J6" s="72"/>
      <c r="K6" s="72"/>
      <c r="L6" s="72"/>
      <c r="M6" s="72"/>
      <c r="N6" s="72"/>
      <c r="O6" s="72"/>
      <c r="P6" s="72"/>
      <c r="Q6" s="72"/>
      <c r="R6" s="72"/>
      <c r="S6" s="72"/>
      <c r="T6" s="72"/>
      <c r="U6" s="72"/>
      <c r="V6" s="72"/>
      <c r="W6" s="72"/>
      <c r="X6" s="72"/>
      <c r="Y6" s="72"/>
      <c r="Z6" s="72"/>
      <c r="AA6" s="20"/>
      <c r="AB6" s="40"/>
    </row>
    <row r="7" spans="1:28" s="2" customFormat="1" ht="15" customHeight="1" x14ac:dyDescent="0.25">
      <c r="A7" s="41"/>
      <c r="B7" s="12"/>
      <c r="C7" s="73" t="s">
        <v>21</v>
      </c>
      <c r="D7" s="73"/>
      <c r="E7" s="73"/>
      <c r="F7" s="73"/>
      <c r="G7" s="73"/>
      <c r="H7" s="73"/>
      <c r="I7" s="73"/>
      <c r="J7" s="73"/>
      <c r="K7" s="73"/>
      <c r="L7" s="73"/>
      <c r="M7" s="73"/>
      <c r="N7" s="73"/>
      <c r="O7" s="73"/>
      <c r="P7" s="73"/>
      <c r="Q7" s="73"/>
      <c r="R7" s="73"/>
      <c r="S7" s="73"/>
      <c r="T7" s="73"/>
      <c r="U7" s="73"/>
      <c r="V7" s="73"/>
      <c r="W7" s="73"/>
      <c r="X7" s="73"/>
      <c r="Y7" s="73"/>
      <c r="Z7" s="73"/>
      <c r="AA7" s="20"/>
      <c r="AB7" s="40"/>
    </row>
    <row r="8" spans="1:28" ht="15" customHeight="1" x14ac:dyDescent="0.25">
      <c r="A8" s="41"/>
      <c r="B8" s="12"/>
      <c r="C8" s="74" t="s">
        <v>0</v>
      </c>
      <c r="D8" s="76" t="s">
        <v>1</v>
      </c>
      <c r="E8" s="76" t="s">
        <v>2</v>
      </c>
      <c r="F8" s="77" t="s">
        <v>17</v>
      </c>
      <c r="G8" s="78"/>
      <c r="H8" s="78"/>
      <c r="I8" s="78"/>
      <c r="J8" s="78"/>
      <c r="K8" s="78"/>
      <c r="L8" s="78"/>
      <c r="M8" s="78"/>
      <c r="N8" s="78"/>
      <c r="O8" s="78"/>
      <c r="P8" s="78"/>
      <c r="Q8" s="78"/>
      <c r="R8" s="78"/>
      <c r="S8" s="78"/>
      <c r="T8" s="78"/>
      <c r="U8" s="78"/>
      <c r="V8" s="78"/>
      <c r="W8" s="78"/>
      <c r="X8" s="78"/>
      <c r="Y8" s="79"/>
      <c r="Z8" s="80" t="s">
        <v>3</v>
      </c>
      <c r="AA8" s="20"/>
      <c r="AB8" s="40"/>
    </row>
    <row r="9" spans="1:28" ht="125.1" customHeight="1" x14ac:dyDescent="0.25">
      <c r="A9" s="41"/>
      <c r="B9" s="12"/>
      <c r="C9" s="75"/>
      <c r="D9" s="75"/>
      <c r="E9" s="75"/>
      <c r="F9" s="13">
        <v>1</v>
      </c>
      <c r="G9" s="13">
        <v>2</v>
      </c>
      <c r="H9" s="13">
        <v>3</v>
      </c>
      <c r="I9" s="13">
        <v>4</v>
      </c>
      <c r="J9" s="13">
        <v>5</v>
      </c>
      <c r="K9" s="13">
        <v>6</v>
      </c>
      <c r="L9" s="13">
        <v>7</v>
      </c>
      <c r="M9" s="13">
        <v>8</v>
      </c>
      <c r="N9" s="13">
        <v>9</v>
      </c>
      <c r="O9" s="13">
        <v>10</v>
      </c>
      <c r="P9" s="13">
        <v>11</v>
      </c>
      <c r="Q9" s="13">
        <v>12</v>
      </c>
      <c r="R9" s="13">
        <v>13</v>
      </c>
      <c r="S9" s="13">
        <v>14</v>
      </c>
      <c r="T9" s="13">
        <v>15</v>
      </c>
      <c r="U9" s="13">
        <v>16</v>
      </c>
      <c r="V9" s="13">
        <v>17</v>
      </c>
      <c r="W9" s="13">
        <v>18</v>
      </c>
      <c r="X9" s="13">
        <v>19</v>
      </c>
      <c r="Y9" s="13">
        <v>20</v>
      </c>
      <c r="Z9" s="81"/>
      <c r="AA9" s="20"/>
      <c r="AB9" s="40"/>
    </row>
    <row r="10" spans="1:28" s="11" customFormat="1" ht="15" customHeight="1" x14ac:dyDescent="0.25">
      <c r="A10" s="41"/>
      <c r="B10" s="12"/>
      <c r="C10" s="48"/>
      <c r="D10" s="48">
        <v>1</v>
      </c>
      <c r="E10" s="49"/>
      <c r="F10" s="50"/>
      <c r="G10" s="50"/>
      <c r="H10" s="50"/>
      <c r="I10" s="50"/>
      <c r="J10" s="50"/>
      <c r="K10" s="50"/>
      <c r="L10" s="50"/>
      <c r="M10" s="50"/>
      <c r="N10" s="50"/>
      <c r="O10" s="50"/>
      <c r="P10" s="50"/>
      <c r="Q10" s="50"/>
      <c r="R10" s="50"/>
      <c r="S10" s="50"/>
      <c r="T10" s="50"/>
      <c r="U10" s="50"/>
      <c r="V10" s="50"/>
      <c r="W10" s="50"/>
      <c r="X10" s="50"/>
      <c r="Y10" s="50"/>
      <c r="Z10" s="43" t="str">
        <f>IF(COUNTIF(F10:Y10,"=*")&gt;0,IF($C10="К","-"," - "),IF(COUNTIF(F10:Y10,"&lt;4")&gt;0,IF(C10="К","-"," - "),(IFERROR(AVERAGE(F10:Y10),"Очікую"))))</f>
        <v>Очікую</v>
      </c>
      <c r="AA10" s="22"/>
      <c r="AB10" s="40"/>
    </row>
    <row r="11" spans="1:28" s="11" customFormat="1" ht="15" customHeight="1" x14ac:dyDescent="0.25">
      <c r="A11" s="41"/>
      <c r="B11" s="12"/>
      <c r="C11" s="48"/>
      <c r="D11" s="48">
        <v>2</v>
      </c>
      <c r="E11" s="49"/>
      <c r="F11" s="50"/>
      <c r="G11" s="50"/>
      <c r="H11" s="50"/>
      <c r="I11" s="50"/>
      <c r="J11" s="50"/>
      <c r="K11" s="50"/>
      <c r="L11" s="50"/>
      <c r="M11" s="50"/>
      <c r="N11" s="50"/>
      <c r="O11" s="50"/>
      <c r="P11" s="50"/>
      <c r="Q11" s="50"/>
      <c r="R11" s="50"/>
      <c r="S11" s="50"/>
      <c r="T11" s="50"/>
      <c r="U11" s="50"/>
      <c r="V11" s="50"/>
      <c r="W11" s="50"/>
      <c r="X11" s="50"/>
      <c r="Y11" s="50"/>
      <c r="Z11" s="43" t="str">
        <f t="shared" ref="Z11:Z74" si="0">IF(COUNTIF(F11:Y11,"=*")&gt;0,IF($C11="К","-"," - "),IF(COUNTIF(F11:Y11,"&lt;4")&gt;0,IF(C11="К","-"," - "),(IFERROR(AVERAGE(F11:Y11),"Очікую"))))</f>
        <v>Очікую</v>
      </c>
      <c r="AA11" s="22"/>
      <c r="AB11" s="40"/>
    </row>
    <row r="12" spans="1:28" s="11" customFormat="1" ht="15" customHeight="1" x14ac:dyDescent="0.25">
      <c r="A12" s="41"/>
      <c r="B12" s="12"/>
      <c r="C12" s="48"/>
      <c r="D12" s="48">
        <v>3</v>
      </c>
      <c r="E12" s="49"/>
      <c r="F12" s="50"/>
      <c r="G12" s="50"/>
      <c r="H12" s="50"/>
      <c r="I12" s="50"/>
      <c r="J12" s="50"/>
      <c r="K12" s="50"/>
      <c r="L12" s="50"/>
      <c r="M12" s="50"/>
      <c r="N12" s="50"/>
      <c r="O12" s="50"/>
      <c r="P12" s="50"/>
      <c r="Q12" s="50"/>
      <c r="R12" s="50"/>
      <c r="S12" s="50"/>
      <c r="T12" s="50"/>
      <c r="U12" s="50"/>
      <c r="V12" s="50"/>
      <c r="W12" s="50"/>
      <c r="X12" s="50"/>
      <c r="Y12" s="50"/>
      <c r="Z12" s="43" t="str">
        <f t="shared" si="0"/>
        <v>Очікую</v>
      </c>
      <c r="AA12" s="22"/>
      <c r="AB12" s="40"/>
    </row>
    <row r="13" spans="1:28" s="11" customFormat="1" ht="15" customHeight="1" x14ac:dyDescent="0.25">
      <c r="A13" s="41"/>
      <c r="B13" s="12"/>
      <c r="C13" s="48"/>
      <c r="D13" s="48">
        <v>4</v>
      </c>
      <c r="E13" s="49"/>
      <c r="F13" s="50"/>
      <c r="G13" s="50"/>
      <c r="H13" s="50"/>
      <c r="I13" s="50"/>
      <c r="J13" s="50"/>
      <c r="K13" s="50"/>
      <c r="L13" s="50"/>
      <c r="M13" s="50"/>
      <c r="N13" s="50"/>
      <c r="O13" s="50"/>
      <c r="P13" s="50"/>
      <c r="Q13" s="50"/>
      <c r="R13" s="50"/>
      <c r="S13" s="50"/>
      <c r="T13" s="50"/>
      <c r="U13" s="50"/>
      <c r="V13" s="50"/>
      <c r="W13" s="50"/>
      <c r="X13" s="50"/>
      <c r="Y13" s="50"/>
      <c r="Z13" s="43" t="str">
        <f t="shared" si="0"/>
        <v>Очікую</v>
      </c>
      <c r="AA13" s="22"/>
      <c r="AB13" s="40"/>
    </row>
    <row r="14" spans="1:28" s="11" customFormat="1" ht="15" customHeight="1" x14ac:dyDescent="0.25">
      <c r="A14" s="41"/>
      <c r="B14" s="12"/>
      <c r="C14" s="48"/>
      <c r="D14" s="48">
        <v>5</v>
      </c>
      <c r="E14" s="49"/>
      <c r="F14" s="50"/>
      <c r="G14" s="50"/>
      <c r="H14" s="50"/>
      <c r="I14" s="50"/>
      <c r="J14" s="50"/>
      <c r="K14" s="50"/>
      <c r="L14" s="50"/>
      <c r="M14" s="50"/>
      <c r="N14" s="50"/>
      <c r="O14" s="50"/>
      <c r="P14" s="50"/>
      <c r="Q14" s="50"/>
      <c r="R14" s="50"/>
      <c r="S14" s="50"/>
      <c r="T14" s="50"/>
      <c r="U14" s="50"/>
      <c r="V14" s="50"/>
      <c r="W14" s="50"/>
      <c r="X14" s="50"/>
      <c r="Y14" s="50"/>
      <c r="Z14" s="43" t="str">
        <f t="shared" si="0"/>
        <v>Очікую</v>
      </c>
      <c r="AA14" s="22"/>
      <c r="AB14" s="40"/>
    </row>
    <row r="15" spans="1:28" s="11" customFormat="1" ht="15" customHeight="1" x14ac:dyDescent="0.25">
      <c r="A15" s="41"/>
      <c r="B15" s="12"/>
      <c r="C15" s="48"/>
      <c r="D15" s="48">
        <v>6</v>
      </c>
      <c r="E15" s="49"/>
      <c r="F15" s="50"/>
      <c r="G15" s="50"/>
      <c r="H15" s="50"/>
      <c r="I15" s="50"/>
      <c r="J15" s="50"/>
      <c r="K15" s="50"/>
      <c r="L15" s="50"/>
      <c r="M15" s="50"/>
      <c r="N15" s="50"/>
      <c r="O15" s="50"/>
      <c r="P15" s="50"/>
      <c r="Q15" s="50"/>
      <c r="R15" s="50"/>
      <c r="S15" s="50"/>
      <c r="T15" s="50"/>
      <c r="U15" s="50"/>
      <c r="V15" s="50"/>
      <c r="W15" s="50"/>
      <c r="X15" s="50"/>
      <c r="Y15" s="50"/>
      <c r="Z15" s="43" t="str">
        <f t="shared" si="0"/>
        <v>Очікую</v>
      </c>
      <c r="AA15" s="22"/>
      <c r="AB15" s="40"/>
    </row>
    <row r="16" spans="1:28" s="11" customFormat="1" ht="15" customHeight="1" x14ac:dyDescent="0.25">
      <c r="A16" s="41"/>
      <c r="B16" s="12"/>
      <c r="C16" s="48"/>
      <c r="D16" s="48">
        <v>7</v>
      </c>
      <c r="E16" s="49"/>
      <c r="F16" s="50"/>
      <c r="G16" s="50"/>
      <c r="H16" s="50"/>
      <c r="I16" s="50"/>
      <c r="J16" s="50"/>
      <c r="K16" s="50"/>
      <c r="L16" s="50"/>
      <c r="M16" s="50"/>
      <c r="N16" s="50"/>
      <c r="O16" s="50"/>
      <c r="P16" s="50"/>
      <c r="Q16" s="50"/>
      <c r="R16" s="50"/>
      <c r="S16" s="50"/>
      <c r="T16" s="50"/>
      <c r="U16" s="50"/>
      <c r="V16" s="50"/>
      <c r="W16" s="50"/>
      <c r="X16" s="50"/>
      <c r="Y16" s="50"/>
      <c r="Z16" s="43" t="str">
        <f t="shared" si="0"/>
        <v>Очікую</v>
      </c>
      <c r="AA16" s="22"/>
      <c r="AB16" s="40"/>
    </row>
    <row r="17" spans="1:28" s="11" customFormat="1" ht="15" customHeight="1" x14ac:dyDescent="0.25">
      <c r="A17" s="41"/>
      <c r="B17" s="12"/>
      <c r="C17" s="48"/>
      <c r="D17" s="48">
        <v>8</v>
      </c>
      <c r="E17" s="49"/>
      <c r="F17" s="50"/>
      <c r="G17" s="50"/>
      <c r="H17" s="50"/>
      <c r="I17" s="50"/>
      <c r="J17" s="50"/>
      <c r="K17" s="50"/>
      <c r="L17" s="50"/>
      <c r="M17" s="50"/>
      <c r="N17" s="50"/>
      <c r="O17" s="50"/>
      <c r="P17" s="50"/>
      <c r="Q17" s="50"/>
      <c r="R17" s="50"/>
      <c r="S17" s="50"/>
      <c r="T17" s="50"/>
      <c r="U17" s="50"/>
      <c r="V17" s="50"/>
      <c r="W17" s="50"/>
      <c r="X17" s="50"/>
      <c r="Y17" s="50"/>
      <c r="Z17" s="43" t="str">
        <f t="shared" si="0"/>
        <v>Очікую</v>
      </c>
      <c r="AA17" s="22"/>
      <c r="AB17" s="40"/>
    </row>
    <row r="18" spans="1:28" s="11" customFormat="1" ht="15" customHeight="1" x14ac:dyDescent="0.25">
      <c r="A18" s="41"/>
      <c r="B18" s="12"/>
      <c r="C18" s="48"/>
      <c r="D18" s="48">
        <v>9</v>
      </c>
      <c r="E18" s="49"/>
      <c r="F18" s="50"/>
      <c r="G18" s="50"/>
      <c r="H18" s="50"/>
      <c r="I18" s="50"/>
      <c r="J18" s="50"/>
      <c r="K18" s="50"/>
      <c r="L18" s="50"/>
      <c r="M18" s="50"/>
      <c r="N18" s="50"/>
      <c r="O18" s="50"/>
      <c r="P18" s="50"/>
      <c r="Q18" s="50"/>
      <c r="R18" s="50"/>
      <c r="S18" s="50"/>
      <c r="T18" s="50"/>
      <c r="U18" s="50"/>
      <c r="V18" s="50"/>
      <c r="W18" s="50"/>
      <c r="X18" s="50"/>
      <c r="Y18" s="50"/>
      <c r="Z18" s="43" t="str">
        <f t="shared" si="0"/>
        <v>Очікую</v>
      </c>
      <c r="AA18" s="22"/>
      <c r="AB18" s="40"/>
    </row>
    <row r="19" spans="1:28" s="11" customFormat="1" ht="15" customHeight="1" x14ac:dyDescent="0.25">
      <c r="A19" s="41"/>
      <c r="B19" s="12"/>
      <c r="C19" s="48"/>
      <c r="D19" s="48">
        <v>10</v>
      </c>
      <c r="E19" s="49"/>
      <c r="F19" s="50"/>
      <c r="G19" s="50"/>
      <c r="H19" s="50"/>
      <c r="I19" s="50"/>
      <c r="J19" s="50"/>
      <c r="K19" s="50"/>
      <c r="L19" s="50"/>
      <c r="M19" s="50"/>
      <c r="N19" s="50"/>
      <c r="O19" s="50"/>
      <c r="P19" s="50"/>
      <c r="Q19" s="50"/>
      <c r="R19" s="50"/>
      <c r="S19" s="50"/>
      <c r="T19" s="50"/>
      <c r="U19" s="50"/>
      <c r="V19" s="50"/>
      <c r="W19" s="50"/>
      <c r="X19" s="50"/>
      <c r="Y19" s="50"/>
      <c r="Z19" s="43" t="str">
        <f t="shared" si="0"/>
        <v>Очікую</v>
      </c>
      <c r="AA19" s="22"/>
      <c r="AB19" s="40"/>
    </row>
    <row r="20" spans="1:28" s="11" customFormat="1" ht="15" customHeight="1" x14ac:dyDescent="0.25">
      <c r="A20" s="41"/>
      <c r="B20" s="12"/>
      <c r="C20" s="48"/>
      <c r="D20" s="48">
        <v>11</v>
      </c>
      <c r="E20" s="49"/>
      <c r="F20" s="50"/>
      <c r="G20" s="50"/>
      <c r="H20" s="50"/>
      <c r="I20" s="50"/>
      <c r="J20" s="50"/>
      <c r="K20" s="50"/>
      <c r="L20" s="50"/>
      <c r="M20" s="50"/>
      <c r="N20" s="50"/>
      <c r="O20" s="50"/>
      <c r="P20" s="50"/>
      <c r="Q20" s="50"/>
      <c r="R20" s="50"/>
      <c r="S20" s="50"/>
      <c r="T20" s="50"/>
      <c r="U20" s="50"/>
      <c r="V20" s="50"/>
      <c r="W20" s="50"/>
      <c r="X20" s="50"/>
      <c r="Y20" s="50"/>
      <c r="Z20" s="43" t="str">
        <f t="shared" si="0"/>
        <v>Очікую</v>
      </c>
      <c r="AA20" s="22"/>
      <c r="AB20" s="40"/>
    </row>
    <row r="21" spans="1:28" s="11" customFormat="1" ht="15" customHeight="1" x14ac:dyDescent="0.25">
      <c r="A21" s="41"/>
      <c r="B21" s="12"/>
      <c r="C21" s="48"/>
      <c r="D21" s="48">
        <v>12</v>
      </c>
      <c r="E21" s="49"/>
      <c r="F21" s="50"/>
      <c r="G21" s="50"/>
      <c r="H21" s="50"/>
      <c r="I21" s="50"/>
      <c r="J21" s="50"/>
      <c r="K21" s="50"/>
      <c r="L21" s="50"/>
      <c r="M21" s="50"/>
      <c r="N21" s="50"/>
      <c r="O21" s="50"/>
      <c r="P21" s="50"/>
      <c r="Q21" s="50"/>
      <c r="R21" s="50"/>
      <c r="S21" s="50"/>
      <c r="T21" s="50"/>
      <c r="U21" s="50"/>
      <c r="V21" s="50"/>
      <c r="W21" s="50"/>
      <c r="X21" s="50"/>
      <c r="Y21" s="50"/>
      <c r="Z21" s="43" t="str">
        <f t="shared" si="0"/>
        <v>Очікую</v>
      </c>
      <c r="AA21" s="22"/>
      <c r="AB21" s="40"/>
    </row>
    <row r="22" spans="1:28" s="11" customFormat="1" ht="15" customHeight="1" x14ac:dyDescent="0.25">
      <c r="A22" s="41"/>
      <c r="B22" s="12"/>
      <c r="C22" s="48"/>
      <c r="D22" s="48">
        <v>13</v>
      </c>
      <c r="E22" s="49"/>
      <c r="F22" s="50"/>
      <c r="G22" s="50"/>
      <c r="H22" s="50"/>
      <c r="I22" s="50"/>
      <c r="J22" s="50"/>
      <c r="K22" s="50"/>
      <c r="L22" s="50"/>
      <c r="M22" s="50"/>
      <c r="N22" s="50"/>
      <c r="O22" s="50"/>
      <c r="P22" s="50"/>
      <c r="Q22" s="50"/>
      <c r="R22" s="50"/>
      <c r="S22" s="50"/>
      <c r="T22" s="50"/>
      <c r="U22" s="50"/>
      <c r="V22" s="50"/>
      <c r="W22" s="50"/>
      <c r="X22" s="50"/>
      <c r="Y22" s="50"/>
      <c r="Z22" s="43" t="str">
        <f t="shared" si="0"/>
        <v>Очікую</v>
      </c>
      <c r="AA22" s="22"/>
      <c r="AB22" s="40"/>
    </row>
    <row r="23" spans="1:28" s="11" customFormat="1" ht="15" customHeight="1" x14ac:dyDescent="0.25">
      <c r="A23" s="41"/>
      <c r="B23" s="12"/>
      <c r="C23" s="48"/>
      <c r="D23" s="48">
        <v>14</v>
      </c>
      <c r="E23" s="49"/>
      <c r="F23" s="50"/>
      <c r="G23" s="50"/>
      <c r="H23" s="50"/>
      <c r="I23" s="50"/>
      <c r="J23" s="50"/>
      <c r="K23" s="50"/>
      <c r="L23" s="50"/>
      <c r="M23" s="50"/>
      <c r="N23" s="50"/>
      <c r="O23" s="50"/>
      <c r="P23" s="50"/>
      <c r="Q23" s="50"/>
      <c r="R23" s="50"/>
      <c r="S23" s="50"/>
      <c r="T23" s="50"/>
      <c r="U23" s="50"/>
      <c r="V23" s="50"/>
      <c r="W23" s="50"/>
      <c r="X23" s="50"/>
      <c r="Y23" s="50"/>
      <c r="Z23" s="43" t="str">
        <f t="shared" si="0"/>
        <v>Очікую</v>
      </c>
      <c r="AA23" s="22"/>
      <c r="AB23" s="40"/>
    </row>
    <row r="24" spans="1:28" s="11" customFormat="1" ht="15" customHeight="1" x14ac:dyDescent="0.25">
      <c r="A24" s="41"/>
      <c r="B24" s="12"/>
      <c r="C24" s="48"/>
      <c r="D24" s="48">
        <v>15</v>
      </c>
      <c r="E24" s="49"/>
      <c r="F24" s="50"/>
      <c r="G24" s="50"/>
      <c r="H24" s="50"/>
      <c r="I24" s="50"/>
      <c r="J24" s="50"/>
      <c r="K24" s="50"/>
      <c r="L24" s="50"/>
      <c r="M24" s="50"/>
      <c r="N24" s="50"/>
      <c r="O24" s="50"/>
      <c r="P24" s="50"/>
      <c r="Q24" s="50"/>
      <c r="R24" s="50"/>
      <c r="S24" s="50"/>
      <c r="T24" s="50"/>
      <c r="U24" s="50"/>
      <c r="V24" s="50"/>
      <c r="W24" s="50"/>
      <c r="X24" s="50"/>
      <c r="Y24" s="50"/>
      <c r="Z24" s="43" t="str">
        <f t="shared" si="0"/>
        <v>Очікую</v>
      </c>
      <c r="AA24" s="22"/>
      <c r="AB24" s="40"/>
    </row>
    <row r="25" spans="1:28" s="11" customFormat="1" ht="15" customHeight="1" x14ac:dyDescent="0.25">
      <c r="A25" s="41"/>
      <c r="B25" s="12"/>
      <c r="C25" s="48"/>
      <c r="D25" s="48">
        <v>16</v>
      </c>
      <c r="E25" s="49"/>
      <c r="F25" s="50"/>
      <c r="G25" s="50"/>
      <c r="H25" s="50"/>
      <c r="I25" s="50"/>
      <c r="J25" s="50"/>
      <c r="K25" s="50"/>
      <c r="L25" s="50"/>
      <c r="M25" s="50"/>
      <c r="N25" s="50"/>
      <c r="O25" s="50"/>
      <c r="P25" s="50"/>
      <c r="Q25" s="50"/>
      <c r="R25" s="50"/>
      <c r="S25" s="50"/>
      <c r="T25" s="50"/>
      <c r="U25" s="50"/>
      <c r="V25" s="50"/>
      <c r="W25" s="50"/>
      <c r="X25" s="50"/>
      <c r="Y25" s="50"/>
      <c r="Z25" s="43" t="str">
        <f t="shared" si="0"/>
        <v>Очікую</v>
      </c>
      <c r="AA25" s="22"/>
      <c r="AB25" s="40"/>
    </row>
    <row r="26" spans="1:28" s="11" customFormat="1" ht="15" customHeight="1" x14ac:dyDescent="0.25">
      <c r="A26" s="41"/>
      <c r="B26" s="12"/>
      <c r="C26" s="48"/>
      <c r="D26" s="48">
        <v>17</v>
      </c>
      <c r="E26" s="49"/>
      <c r="F26" s="50"/>
      <c r="G26" s="50"/>
      <c r="H26" s="50"/>
      <c r="I26" s="50"/>
      <c r="J26" s="50"/>
      <c r="K26" s="50"/>
      <c r="L26" s="50"/>
      <c r="M26" s="50"/>
      <c r="N26" s="50"/>
      <c r="O26" s="50"/>
      <c r="P26" s="50"/>
      <c r="Q26" s="50"/>
      <c r="R26" s="50"/>
      <c r="S26" s="50"/>
      <c r="T26" s="50"/>
      <c r="U26" s="50"/>
      <c r="V26" s="50"/>
      <c r="W26" s="50"/>
      <c r="X26" s="50"/>
      <c r="Y26" s="50"/>
      <c r="Z26" s="43" t="str">
        <f t="shared" si="0"/>
        <v>Очікую</v>
      </c>
      <c r="AA26" s="22"/>
      <c r="AB26" s="40"/>
    </row>
    <row r="27" spans="1:28" s="11" customFormat="1" ht="15" customHeight="1" x14ac:dyDescent="0.25">
      <c r="A27" s="41"/>
      <c r="B27" s="12"/>
      <c r="C27" s="48"/>
      <c r="D27" s="48">
        <v>18</v>
      </c>
      <c r="E27" s="49"/>
      <c r="F27" s="50"/>
      <c r="G27" s="50"/>
      <c r="H27" s="50"/>
      <c r="I27" s="50"/>
      <c r="J27" s="50"/>
      <c r="K27" s="50"/>
      <c r="L27" s="50"/>
      <c r="M27" s="50"/>
      <c r="N27" s="50"/>
      <c r="O27" s="50"/>
      <c r="P27" s="50"/>
      <c r="Q27" s="50"/>
      <c r="R27" s="50"/>
      <c r="S27" s="50"/>
      <c r="T27" s="50"/>
      <c r="U27" s="50"/>
      <c r="V27" s="50"/>
      <c r="W27" s="50"/>
      <c r="X27" s="50"/>
      <c r="Y27" s="50"/>
      <c r="Z27" s="43" t="str">
        <f t="shared" si="0"/>
        <v>Очікую</v>
      </c>
      <c r="AA27" s="22"/>
      <c r="AB27" s="40"/>
    </row>
    <row r="28" spans="1:28" s="11" customFormat="1" ht="15" customHeight="1" x14ac:dyDescent="0.25">
      <c r="A28" s="41"/>
      <c r="B28" s="12"/>
      <c r="C28" s="48"/>
      <c r="D28" s="48">
        <v>19</v>
      </c>
      <c r="E28" s="49"/>
      <c r="F28" s="50"/>
      <c r="G28" s="50"/>
      <c r="H28" s="50"/>
      <c r="I28" s="50"/>
      <c r="J28" s="50"/>
      <c r="K28" s="50"/>
      <c r="L28" s="50"/>
      <c r="M28" s="50"/>
      <c r="N28" s="50"/>
      <c r="O28" s="50"/>
      <c r="P28" s="50"/>
      <c r="Q28" s="50"/>
      <c r="R28" s="50"/>
      <c r="S28" s="50"/>
      <c r="T28" s="50"/>
      <c r="U28" s="50"/>
      <c r="V28" s="50"/>
      <c r="W28" s="50"/>
      <c r="X28" s="50"/>
      <c r="Y28" s="50"/>
      <c r="Z28" s="43" t="str">
        <f t="shared" si="0"/>
        <v>Очікую</v>
      </c>
      <c r="AA28" s="22"/>
      <c r="AB28" s="40"/>
    </row>
    <row r="29" spans="1:28" s="11" customFormat="1" ht="15" customHeight="1" x14ac:dyDescent="0.25">
      <c r="A29" s="41"/>
      <c r="B29" s="12"/>
      <c r="C29" s="48"/>
      <c r="D29" s="48">
        <v>20</v>
      </c>
      <c r="E29" s="49"/>
      <c r="F29" s="50"/>
      <c r="G29" s="50"/>
      <c r="H29" s="50"/>
      <c r="I29" s="50"/>
      <c r="J29" s="50"/>
      <c r="K29" s="50"/>
      <c r="L29" s="50"/>
      <c r="M29" s="50"/>
      <c r="N29" s="50"/>
      <c r="O29" s="50"/>
      <c r="P29" s="50"/>
      <c r="Q29" s="50"/>
      <c r="R29" s="50"/>
      <c r="S29" s="50"/>
      <c r="T29" s="50"/>
      <c r="U29" s="50"/>
      <c r="V29" s="50"/>
      <c r="W29" s="50"/>
      <c r="X29" s="50"/>
      <c r="Y29" s="50"/>
      <c r="Z29" s="43" t="str">
        <f t="shared" si="0"/>
        <v>Очікую</v>
      </c>
      <c r="AA29" s="22"/>
      <c r="AB29" s="40"/>
    </row>
    <row r="30" spans="1:28" s="11" customFormat="1" ht="15" customHeight="1" x14ac:dyDescent="0.25">
      <c r="A30" s="41"/>
      <c r="B30" s="12"/>
      <c r="C30" s="48"/>
      <c r="D30" s="48">
        <v>21</v>
      </c>
      <c r="E30" s="49"/>
      <c r="F30" s="50"/>
      <c r="G30" s="50"/>
      <c r="H30" s="50"/>
      <c r="I30" s="50"/>
      <c r="J30" s="50"/>
      <c r="K30" s="50"/>
      <c r="L30" s="50"/>
      <c r="M30" s="50"/>
      <c r="N30" s="50"/>
      <c r="O30" s="50"/>
      <c r="P30" s="50"/>
      <c r="Q30" s="50"/>
      <c r="R30" s="50"/>
      <c r="S30" s="50"/>
      <c r="T30" s="50"/>
      <c r="U30" s="50"/>
      <c r="V30" s="50"/>
      <c r="W30" s="50"/>
      <c r="X30" s="50"/>
      <c r="Y30" s="50"/>
      <c r="Z30" s="43" t="str">
        <f t="shared" si="0"/>
        <v>Очікую</v>
      </c>
      <c r="AA30" s="22"/>
      <c r="AB30" s="40"/>
    </row>
    <row r="31" spans="1:28" s="11" customFormat="1" ht="15" customHeight="1" x14ac:dyDescent="0.25">
      <c r="A31" s="41"/>
      <c r="B31" s="12"/>
      <c r="C31" s="48"/>
      <c r="D31" s="48">
        <v>22</v>
      </c>
      <c r="E31" s="49"/>
      <c r="F31" s="50"/>
      <c r="G31" s="50"/>
      <c r="H31" s="50"/>
      <c r="I31" s="50"/>
      <c r="J31" s="50"/>
      <c r="K31" s="50"/>
      <c r="L31" s="50"/>
      <c r="M31" s="50"/>
      <c r="N31" s="50"/>
      <c r="O31" s="50"/>
      <c r="P31" s="50"/>
      <c r="Q31" s="50"/>
      <c r="R31" s="50"/>
      <c r="S31" s="50"/>
      <c r="T31" s="50"/>
      <c r="U31" s="50"/>
      <c r="V31" s="50"/>
      <c r="W31" s="50"/>
      <c r="X31" s="50"/>
      <c r="Y31" s="50"/>
      <c r="Z31" s="43" t="str">
        <f t="shared" si="0"/>
        <v>Очікую</v>
      </c>
      <c r="AA31" s="22"/>
      <c r="AB31" s="40"/>
    </row>
    <row r="32" spans="1:28" s="11" customFormat="1" ht="15" customHeight="1" x14ac:dyDescent="0.25">
      <c r="A32" s="41"/>
      <c r="B32" s="12"/>
      <c r="C32" s="48"/>
      <c r="D32" s="48">
        <v>23</v>
      </c>
      <c r="E32" s="49"/>
      <c r="F32" s="50"/>
      <c r="G32" s="50"/>
      <c r="H32" s="50"/>
      <c r="I32" s="50"/>
      <c r="J32" s="50"/>
      <c r="K32" s="50"/>
      <c r="L32" s="50"/>
      <c r="M32" s="50"/>
      <c r="N32" s="50"/>
      <c r="O32" s="50"/>
      <c r="P32" s="50"/>
      <c r="Q32" s="50"/>
      <c r="R32" s="50"/>
      <c r="S32" s="50"/>
      <c r="T32" s="50"/>
      <c r="U32" s="50"/>
      <c r="V32" s="50"/>
      <c r="W32" s="50"/>
      <c r="X32" s="50"/>
      <c r="Y32" s="50"/>
      <c r="Z32" s="43" t="str">
        <f t="shared" si="0"/>
        <v>Очікую</v>
      </c>
      <c r="AA32" s="22"/>
      <c r="AB32" s="40"/>
    </row>
    <row r="33" spans="1:28" s="11" customFormat="1" ht="15" customHeight="1" x14ac:dyDescent="0.25">
      <c r="A33" s="41"/>
      <c r="B33" s="12"/>
      <c r="C33" s="48"/>
      <c r="D33" s="48">
        <v>24</v>
      </c>
      <c r="E33" s="49"/>
      <c r="F33" s="50"/>
      <c r="G33" s="50"/>
      <c r="H33" s="50"/>
      <c r="I33" s="50"/>
      <c r="J33" s="50"/>
      <c r="K33" s="50"/>
      <c r="L33" s="50"/>
      <c r="M33" s="50"/>
      <c r="N33" s="50"/>
      <c r="O33" s="50"/>
      <c r="P33" s="50"/>
      <c r="Q33" s="50"/>
      <c r="R33" s="50"/>
      <c r="S33" s="50"/>
      <c r="T33" s="50"/>
      <c r="U33" s="50"/>
      <c r="V33" s="50"/>
      <c r="W33" s="50"/>
      <c r="X33" s="50"/>
      <c r="Y33" s="50"/>
      <c r="Z33" s="43" t="str">
        <f t="shared" si="0"/>
        <v>Очікую</v>
      </c>
      <c r="AA33" s="22"/>
      <c r="AB33" s="40"/>
    </row>
    <row r="34" spans="1:28" s="11" customFormat="1" ht="15" customHeight="1" x14ac:dyDescent="0.25">
      <c r="A34" s="41"/>
      <c r="B34" s="12"/>
      <c r="C34" s="48"/>
      <c r="D34" s="48">
        <v>25</v>
      </c>
      <c r="E34" s="49"/>
      <c r="F34" s="50"/>
      <c r="G34" s="50"/>
      <c r="H34" s="50"/>
      <c r="I34" s="50"/>
      <c r="J34" s="50"/>
      <c r="K34" s="50"/>
      <c r="L34" s="50"/>
      <c r="M34" s="50"/>
      <c r="N34" s="50"/>
      <c r="O34" s="50"/>
      <c r="P34" s="50"/>
      <c r="Q34" s="50"/>
      <c r="R34" s="50"/>
      <c r="S34" s="50"/>
      <c r="T34" s="50"/>
      <c r="U34" s="50"/>
      <c r="V34" s="50"/>
      <c r="W34" s="50"/>
      <c r="X34" s="50"/>
      <c r="Y34" s="50"/>
      <c r="Z34" s="43" t="str">
        <f t="shared" si="0"/>
        <v>Очікую</v>
      </c>
      <c r="AA34" s="22"/>
      <c r="AB34" s="40"/>
    </row>
    <row r="35" spans="1:28" s="11" customFormat="1" ht="15" customHeight="1" x14ac:dyDescent="0.25">
      <c r="A35" s="41"/>
      <c r="B35" s="12"/>
      <c r="C35" s="48"/>
      <c r="D35" s="48">
        <v>26</v>
      </c>
      <c r="E35" s="49"/>
      <c r="F35" s="50"/>
      <c r="G35" s="50"/>
      <c r="H35" s="50"/>
      <c r="I35" s="50"/>
      <c r="J35" s="50"/>
      <c r="K35" s="50"/>
      <c r="L35" s="50"/>
      <c r="M35" s="50"/>
      <c r="N35" s="50"/>
      <c r="O35" s="50"/>
      <c r="P35" s="50"/>
      <c r="Q35" s="50"/>
      <c r="R35" s="50"/>
      <c r="S35" s="50"/>
      <c r="T35" s="50"/>
      <c r="U35" s="50"/>
      <c r="V35" s="50"/>
      <c r="W35" s="50"/>
      <c r="X35" s="50"/>
      <c r="Y35" s="50"/>
      <c r="Z35" s="43" t="str">
        <f t="shared" si="0"/>
        <v>Очікую</v>
      </c>
      <c r="AA35" s="22"/>
      <c r="AB35" s="40"/>
    </row>
    <row r="36" spans="1:28" s="11" customFormat="1" ht="15" customHeight="1" x14ac:dyDescent="0.25">
      <c r="A36" s="41"/>
      <c r="B36" s="12"/>
      <c r="C36" s="48"/>
      <c r="D36" s="48">
        <v>27</v>
      </c>
      <c r="E36" s="49"/>
      <c r="F36" s="50"/>
      <c r="G36" s="50"/>
      <c r="H36" s="50"/>
      <c r="I36" s="50"/>
      <c r="J36" s="50"/>
      <c r="K36" s="50"/>
      <c r="L36" s="50"/>
      <c r="M36" s="50"/>
      <c r="N36" s="50"/>
      <c r="O36" s="50"/>
      <c r="P36" s="50"/>
      <c r="Q36" s="50"/>
      <c r="R36" s="50"/>
      <c r="S36" s="50"/>
      <c r="T36" s="50"/>
      <c r="U36" s="50"/>
      <c r="V36" s="50"/>
      <c r="W36" s="50"/>
      <c r="X36" s="50"/>
      <c r="Y36" s="50"/>
      <c r="Z36" s="43" t="str">
        <f t="shared" si="0"/>
        <v>Очікую</v>
      </c>
      <c r="AA36" s="22"/>
      <c r="AB36" s="40"/>
    </row>
    <row r="37" spans="1:28" s="11" customFormat="1" ht="15" customHeight="1" x14ac:dyDescent="0.25">
      <c r="A37" s="41"/>
      <c r="B37" s="12"/>
      <c r="C37" s="48"/>
      <c r="D37" s="48">
        <v>28</v>
      </c>
      <c r="E37" s="49"/>
      <c r="F37" s="50"/>
      <c r="G37" s="50"/>
      <c r="H37" s="50"/>
      <c r="I37" s="50"/>
      <c r="J37" s="50"/>
      <c r="K37" s="50"/>
      <c r="L37" s="50"/>
      <c r="M37" s="50"/>
      <c r="N37" s="50"/>
      <c r="O37" s="50"/>
      <c r="P37" s="50"/>
      <c r="Q37" s="50"/>
      <c r="R37" s="50"/>
      <c r="S37" s="50"/>
      <c r="T37" s="50"/>
      <c r="U37" s="50"/>
      <c r="V37" s="50"/>
      <c r="W37" s="50"/>
      <c r="X37" s="50"/>
      <c r="Y37" s="50"/>
      <c r="Z37" s="43" t="str">
        <f t="shared" si="0"/>
        <v>Очікую</v>
      </c>
      <c r="AA37" s="22"/>
      <c r="AB37" s="40"/>
    </row>
    <row r="38" spans="1:28" s="11" customFormat="1" ht="15" customHeight="1" x14ac:dyDescent="0.25">
      <c r="A38" s="41"/>
      <c r="B38" s="12"/>
      <c r="C38" s="48"/>
      <c r="D38" s="48">
        <v>29</v>
      </c>
      <c r="E38" s="49"/>
      <c r="F38" s="50"/>
      <c r="G38" s="50"/>
      <c r="H38" s="50"/>
      <c r="I38" s="50"/>
      <c r="J38" s="50"/>
      <c r="K38" s="50"/>
      <c r="L38" s="50"/>
      <c r="M38" s="50"/>
      <c r="N38" s="50"/>
      <c r="O38" s="50"/>
      <c r="P38" s="50"/>
      <c r="Q38" s="50"/>
      <c r="R38" s="50"/>
      <c r="S38" s="50"/>
      <c r="T38" s="50"/>
      <c r="U38" s="50"/>
      <c r="V38" s="50"/>
      <c r="W38" s="50"/>
      <c r="X38" s="50"/>
      <c r="Y38" s="50"/>
      <c r="Z38" s="43" t="str">
        <f t="shared" si="0"/>
        <v>Очікую</v>
      </c>
      <c r="AA38" s="22"/>
      <c r="AB38" s="40"/>
    </row>
    <row r="39" spans="1:28" s="11" customFormat="1" ht="15" customHeight="1" x14ac:dyDescent="0.25">
      <c r="A39" s="41"/>
      <c r="B39" s="12"/>
      <c r="C39" s="48"/>
      <c r="D39" s="48">
        <v>30</v>
      </c>
      <c r="E39" s="49"/>
      <c r="F39" s="50"/>
      <c r="G39" s="50"/>
      <c r="H39" s="50"/>
      <c r="I39" s="50"/>
      <c r="J39" s="50"/>
      <c r="K39" s="50"/>
      <c r="L39" s="50"/>
      <c r="M39" s="50"/>
      <c r="N39" s="50"/>
      <c r="O39" s="50"/>
      <c r="P39" s="50"/>
      <c r="Q39" s="50"/>
      <c r="R39" s="50"/>
      <c r="S39" s="50"/>
      <c r="T39" s="50"/>
      <c r="U39" s="50"/>
      <c r="V39" s="50"/>
      <c r="W39" s="50"/>
      <c r="X39" s="50"/>
      <c r="Y39" s="50"/>
      <c r="Z39" s="43" t="str">
        <f t="shared" si="0"/>
        <v>Очікую</v>
      </c>
      <c r="AA39" s="22"/>
      <c r="AB39" s="40"/>
    </row>
    <row r="40" spans="1:28" s="11" customFormat="1" ht="15" customHeight="1" x14ac:dyDescent="0.25">
      <c r="A40" s="41"/>
      <c r="B40" s="12"/>
      <c r="C40" s="48"/>
      <c r="D40" s="48">
        <v>31</v>
      </c>
      <c r="E40" s="49"/>
      <c r="F40" s="50"/>
      <c r="G40" s="50"/>
      <c r="H40" s="50"/>
      <c r="I40" s="50"/>
      <c r="J40" s="50"/>
      <c r="K40" s="50"/>
      <c r="L40" s="50"/>
      <c r="M40" s="50"/>
      <c r="N40" s="50"/>
      <c r="O40" s="50"/>
      <c r="P40" s="50"/>
      <c r="Q40" s="50"/>
      <c r="R40" s="50"/>
      <c r="S40" s="50"/>
      <c r="T40" s="50"/>
      <c r="U40" s="50"/>
      <c r="V40" s="50"/>
      <c r="W40" s="50"/>
      <c r="X40" s="50"/>
      <c r="Y40" s="50"/>
      <c r="Z40" s="43" t="str">
        <f t="shared" si="0"/>
        <v>Очікую</v>
      </c>
      <c r="AA40" s="22"/>
      <c r="AB40" s="40"/>
    </row>
    <row r="41" spans="1:28" s="11" customFormat="1" ht="15" customHeight="1" x14ac:dyDescent="0.25">
      <c r="A41" s="41"/>
      <c r="B41" s="12"/>
      <c r="C41" s="48"/>
      <c r="D41" s="48">
        <v>32</v>
      </c>
      <c r="E41" s="49"/>
      <c r="F41" s="50"/>
      <c r="G41" s="50"/>
      <c r="H41" s="50"/>
      <c r="I41" s="50"/>
      <c r="J41" s="50"/>
      <c r="K41" s="50"/>
      <c r="L41" s="50"/>
      <c r="M41" s="50"/>
      <c r="N41" s="50"/>
      <c r="O41" s="50"/>
      <c r="P41" s="50"/>
      <c r="Q41" s="50"/>
      <c r="R41" s="50"/>
      <c r="S41" s="50"/>
      <c r="T41" s="50"/>
      <c r="U41" s="50"/>
      <c r="V41" s="50"/>
      <c r="W41" s="50"/>
      <c r="X41" s="50"/>
      <c r="Y41" s="50"/>
      <c r="Z41" s="43" t="str">
        <f t="shared" si="0"/>
        <v>Очікую</v>
      </c>
      <c r="AA41" s="22"/>
      <c r="AB41" s="40"/>
    </row>
    <row r="42" spans="1:28" s="11" customFormat="1" ht="15" customHeight="1" x14ac:dyDescent="0.25">
      <c r="A42" s="41"/>
      <c r="B42" s="12"/>
      <c r="C42" s="48"/>
      <c r="D42" s="48">
        <v>33</v>
      </c>
      <c r="E42" s="49"/>
      <c r="F42" s="50"/>
      <c r="G42" s="50"/>
      <c r="H42" s="50"/>
      <c r="I42" s="50"/>
      <c r="J42" s="50"/>
      <c r="K42" s="50"/>
      <c r="L42" s="50"/>
      <c r="M42" s="50"/>
      <c r="N42" s="50"/>
      <c r="O42" s="50"/>
      <c r="P42" s="50"/>
      <c r="Q42" s="50"/>
      <c r="R42" s="50"/>
      <c r="S42" s="50"/>
      <c r="T42" s="50"/>
      <c r="U42" s="50"/>
      <c r="V42" s="50"/>
      <c r="W42" s="50"/>
      <c r="X42" s="50"/>
      <c r="Y42" s="50"/>
      <c r="Z42" s="43" t="str">
        <f t="shared" si="0"/>
        <v>Очікую</v>
      </c>
      <c r="AA42" s="22"/>
      <c r="AB42" s="40"/>
    </row>
    <row r="43" spans="1:28" s="11" customFormat="1" ht="15" customHeight="1" x14ac:dyDescent="0.25">
      <c r="A43" s="41"/>
      <c r="B43" s="12"/>
      <c r="C43" s="48"/>
      <c r="D43" s="48">
        <v>34</v>
      </c>
      <c r="E43" s="49"/>
      <c r="F43" s="50"/>
      <c r="G43" s="50"/>
      <c r="H43" s="50"/>
      <c r="I43" s="50"/>
      <c r="J43" s="50"/>
      <c r="K43" s="50"/>
      <c r="L43" s="50"/>
      <c r="M43" s="50"/>
      <c r="N43" s="50"/>
      <c r="O43" s="50"/>
      <c r="P43" s="50"/>
      <c r="Q43" s="50"/>
      <c r="R43" s="50"/>
      <c r="S43" s="50"/>
      <c r="T43" s="50"/>
      <c r="U43" s="50"/>
      <c r="V43" s="50"/>
      <c r="W43" s="50"/>
      <c r="X43" s="50"/>
      <c r="Y43" s="50"/>
      <c r="Z43" s="43" t="str">
        <f t="shared" si="0"/>
        <v>Очікую</v>
      </c>
      <c r="AA43" s="22"/>
      <c r="AB43" s="40"/>
    </row>
    <row r="44" spans="1:28" s="11" customFormat="1" ht="15" customHeight="1" x14ac:dyDescent="0.25">
      <c r="A44" s="41"/>
      <c r="B44" s="12"/>
      <c r="C44" s="48"/>
      <c r="D44" s="48">
        <v>35</v>
      </c>
      <c r="E44" s="49"/>
      <c r="F44" s="50"/>
      <c r="G44" s="50"/>
      <c r="H44" s="50"/>
      <c r="I44" s="50"/>
      <c r="J44" s="50"/>
      <c r="K44" s="50"/>
      <c r="L44" s="50"/>
      <c r="M44" s="50"/>
      <c r="N44" s="50"/>
      <c r="O44" s="50"/>
      <c r="P44" s="50"/>
      <c r="Q44" s="50"/>
      <c r="R44" s="50"/>
      <c r="S44" s="50"/>
      <c r="T44" s="50"/>
      <c r="U44" s="50"/>
      <c r="V44" s="50"/>
      <c r="W44" s="50"/>
      <c r="X44" s="50"/>
      <c r="Y44" s="50"/>
      <c r="Z44" s="43" t="str">
        <f t="shared" si="0"/>
        <v>Очікую</v>
      </c>
      <c r="AA44" s="22"/>
      <c r="AB44" s="40"/>
    </row>
    <row r="45" spans="1:28" s="11" customFormat="1" ht="15" customHeight="1" x14ac:dyDescent="0.25">
      <c r="A45" s="41"/>
      <c r="B45" s="12"/>
      <c r="C45" s="48"/>
      <c r="D45" s="48">
        <v>36</v>
      </c>
      <c r="E45" s="49"/>
      <c r="F45" s="50"/>
      <c r="G45" s="50"/>
      <c r="H45" s="50"/>
      <c r="I45" s="50"/>
      <c r="J45" s="50"/>
      <c r="K45" s="50"/>
      <c r="L45" s="50"/>
      <c r="M45" s="50"/>
      <c r="N45" s="50"/>
      <c r="O45" s="50"/>
      <c r="P45" s="50"/>
      <c r="Q45" s="50"/>
      <c r="R45" s="50"/>
      <c r="S45" s="50"/>
      <c r="T45" s="50"/>
      <c r="U45" s="50"/>
      <c r="V45" s="50"/>
      <c r="W45" s="50"/>
      <c r="X45" s="50"/>
      <c r="Y45" s="50"/>
      <c r="Z45" s="43" t="str">
        <f t="shared" si="0"/>
        <v>Очікую</v>
      </c>
      <c r="AA45" s="22"/>
      <c r="AB45" s="40"/>
    </row>
    <row r="46" spans="1:28" s="11" customFormat="1" ht="15" customHeight="1" x14ac:dyDescent="0.25">
      <c r="A46" s="41"/>
      <c r="B46" s="12"/>
      <c r="C46" s="48"/>
      <c r="D46" s="48">
        <v>37</v>
      </c>
      <c r="E46" s="49"/>
      <c r="F46" s="50"/>
      <c r="G46" s="50"/>
      <c r="H46" s="50"/>
      <c r="I46" s="50"/>
      <c r="J46" s="50"/>
      <c r="K46" s="50"/>
      <c r="L46" s="50"/>
      <c r="M46" s="50"/>
      <c r="N46" s="50"/>
      <c r="O46" s="50"/>
      <c r="P46" s="50"/>
      <c r="Q46" s="50"/>
      <c r="R46" s="50"/>
      <c r="S46" s="50"/>
      <c r="T46" s="50"/>
      <c r="U46" s="50"/>
      <c r="V46" s="50"/>
      <c r="W46" s="50"/>
      <c r="X46" s="50"/>
      <c r="Y46" s="50"/>
      <c r="Z46" s="43" t="str">
        <f t="shared" si="0"/>
        <v>Очікую</v>
      </c>
      <c r="AA46" s="22"/>
      <c r="AB46" s="40"/>
    </row>
    <row r="47" spans="1:28" s="11" customFormat="1" ht="15" customHeight="1" x14ac:dyDescent="0.25">
      <c r="A47" s="41"/>
      <c r="B47" s="12"/>
      <c r="C47" s="48"/>
      <c r="D47" s="48">
        <v>38</v>
      </c>
      <c r="E47" s="49"/>
      <c r="F47" s="50"/>
      <c r="G47" s="50"/>
      <c r="H47" s="50"/>
      <c r="I47" s="50"/>
      <c r="J47" s="50"/>
      <c r="K47" s="50"/>
      <c r="L47" s="50"/>
      <c r="M47" s="50"/>
      <c r="N47" s="50"/>
      <c r="O47" s="50"/>
      <c r="P47" s="50"/>
      <c r="Q47" s="50"/>
      <c r="R47" s="50"/>
      <c r="S47" s="50"/>
      <c r="T47" s="50"/>
      <c r="U47" s="50"/>
      <c r="V47" s="50"/>
      <c r="W47" s="50"/>
      <c r="X47" s="50"/>
      <c r="Y47" s="50"/>
      <c r="Z47" s="43" t="str">
        <f t="shared" si="0"/>
        <v>Очікую</v>
      </c>
      <c r="AA47" s="22"/>
      <c r="AB47" s="40"/>
    </row>
    <row r="48" spans="1:28" s="11" customFormat="1" ht="15" customHeight="1" x14ac:dyDescent="0.25">
      <c r="A48" s="41"/>
      <c r="B48" s="12"/>
      <c r="C48" s="48"/>
      <c r="D48" s="48">
        <v>39</v>
      </c>
      <c r="E48" s="49"/>
      <c r="F48" s="50"/>
      <c r="G48" s="50"/>
      <c r="H48" s="50"/>
      <c r="I48" s="50"/>
      <c r="J48" s="50"/>
      <c r="K48" s="50"/>
      <c r="L48" s="50"/>
      <c r="M48" s="50"/>
      <c r="N48" s="50"/>
      <c r="O48" s="50"/>
      <c r="P48" s="50"/>
      <c r="Q48" s="50"/>
      <c r="R48" s="50"/>
      <c r="S48" s="50"/>
      <c r="T48" s="50"/>
      <c r="U48" s="50"/>
      <c r="V48" s="50"/>
      <c r="W48" s="50"/>
      <c r="X48" s="50"/>
      <c r="Y48" s="50"/>
      <c r="Z48" s="43" t="str">
        <f t="shared" si="0"/>
        <v>Очікую</v>
      </c>
      <c r="AA48" s="22"/>
      <c r="AB48" s="40"/>
    </row>
    <row r="49" spans="1:28" s="11" customFormat="1" ht="15" customHeight="1" x14ac:dyDescent="0.25">
      <c r="A49" s="41"/>
      <c r="B49" s="12"/>
      <c r="C49" s="48"/>
      <c r="D49" s="48">
        <v>40</v>
      </c>
      <c r="E49" s="49"/>
      <c r="F49" s="50"/>
      <c r="G49" s="50"/>
      <c r="H49" s="50"/>
      <c r="I49" s="50"/>
      <c r="J49" s="50"/>
      <c r="K49" s="50"/>
      <c r="L49" s="50"/>
      <c r="M49" s="50"/>
      <c r="N49" s="50"/>
      <c r="O49" s="50"/>
      <c r="P49" s="50"/>
      <c r="Q49" s="50"/>
      <c r="R49" s="50"/>
      <c r="S49" s="50"/>
      <c r="T49" s="50"/>
      <c r="U49" s="50"/>
      <c r="V49" s="50"/>
      <c r="W49" s="50"/>
      <c r="X49" s="50"/>
      <c r="Y49" s="50"/>
      <c r="Z49" s="43" t="str">
        <f t="shared" si="0"/>
        <v>Очікую</v>
      </c>
      <c r="AA49" s="22"/>
      <c r="AB49" s="40"/>
    </row>
    <row r="50" spans="1:28" s="11" customFormat="1" ht="15" customHeight="1" x14ac:dyDescent="0.25">
      <c r="A50" s="41"/>
      <c r="B50" s="12"/>
      <c r="C50" s="48"/>
      <c r="D50" s="48">
        <v>41</v>
      </c>
      <c r="E50" s="49"/>
      <c r="F50" s="50"/>
      <c r="G50" s="50"/>
      <c r="H50" s="50"/>
      <c r="I50" s="50"/>
      <c r="J50" s="50"/>
      <c r="K50" s="50"/>
      <c r="L50" s="50"/>
      <c r="M50" s="50"/>
      <c r="N50" s="50"/>
      <c r="O50" s="50"/>
      <c r="P50" s="50"/>
      <c r="Q50" s="50"/>
      <c r="R50" s="50"/>
      <c r="S50" s="50"/>
      <c r="T50" s="50"/>
      <c r="U50" s="50"/>
      <c r="V50" s="50"/>
      <c r="W50" s="50"/>
      <c r="X50" s="50"/>
      <c r="Y50" s="50"/>
      <c r="Z50" s="43" t="str">
        <f t="shared" si="0"/>
        <v>Очікую</v>
      </c>
      <c r="AA50" s="22"/>
      <c r="AB50" s="40"/>
    </row>
    <row r="51" spans="1:28" s="11" customFormat="1" ht="15" customHeight="1" x14ac:dyDescent="0.25">
      <c r="A51" s="41"/>
      <c r="B51" s="12"/>
      <c r="C51" s="48"/>
      <c r="D51" s="48">
        <v>42</v>
      </c>
      <c r="E51" s="49"/>
      <c r="F51" s="50"/>
      <c r="G51" s="50"/>
      <c r="H51" s="50"/>
      <c r="I51" s="50"/>
      <c r="J51" s="50"/>
      <c r="K51" s="50"/>
      <c r="L51" s="50"/>
      <c r="M51" s="50"/>
      <c r="N51" s="50"/>
      <c r="O51" s="50"/>
      <c r="P51" s="50"/>
      <c r="Q51" s="50"/>
      <c r="R51" s="50"/>
      <c r="S51" s="50"/>
      <c r="T51" s="50"/>
      <c r="U51" s="50"/>
      <c r="V51" s="50"/>
      <c r="W51" s="50"/>
      <c r="X51" s="50"/>
      <c r="Y51" s="50"/>
      <c r="Z51" s="43" t="str">
        <f t="shared" si="0"/>
        <v>Очікую</v>
      </c>
      <c r="AA51" s="22"/>
      <c r="AB51" s="40"/>
    </row>
    <row r="52" spans="1:28" s="11" customFormat="1" ht="15" customHeight="1" x14ac:dyDescent="0.25">
      <c r="A52" s="41"/>
      <c r="B52" s="12"/>
      <c r="C52" s="48"/>
      <c r="D52" s="48">
        <v>43</v>
      </c>
      <c r="E52" s="49"/>
      <c r="F52" s="50"/>
      <c r="G52" s="50"/>
      <c r="H52" s="50"/>
      <c r="I52" s="50"/>
      <c r="J52" s="50"/>
      <c r="K52" s="50"/>
      <c r="L52" s="50"/>
      <c r="M52" s="50"/>
      <c r="N52" s="50"/>
      <c r="O52" s="50"/>
      <c r="P52" s="50"/>
      <c r="Q52" s="50"/>
      <c r="R52" s="50"/>
      <c r="S52" s="50"/>
      <c r="T52" s="50"/>
      <c r="U52" s="50"/>
      <c r="V52" s="50"/>
      <c r="W52" s="50"/>
      <c r="X52" s="50"/>
      <c r="Y52" s="50"/>
      <c r="Z52" s="43" t="str">
        <f t="shared" si="0"/>
        <v>Очікую</v>
      </c>
      <c r="AA52" s="22"/>
      <c r="AB52" s="40"/>
    </row>
    <row r="53" spans="1:28" s="11" customFormat="1" ht="15" customHeight="1" x14ac:dyDescent="0.25">
      <c r="A53" s="41"/>
      <c r="B53" s="12"/>
      <c r="C53" s="48"/>
      <c r="D53" s="48">
        <v>44</v>
      </c>
      <c r="E53" s="49"/>
      <c r="F53" s="50"/>
      <c r="G53" s="50"/>
      <c r="H53" s="50"/>
      <c r="I53" s="50"/>
      <c r="J53" s="50"/>
      <c r="K53" s="50"/>
      <c r="L53" s="50"/>
      <c r="M53" s="50"/>
      <c r="N53" s="50"/>
      <c r="O53" s="50"/>
      <c r="P53" s="50"/>
      <c r="Q53" s="50"/>
      <c r="R53" s="50"/>
      <c r="S53" s="50"/>
      <c r="T53" s="50"/>
      <c r="U53" s="50"/>
      <c r="V53" s="50"/>
      <c r="W53" s="50"/>
      <c r="X53" s="50"/>
      <c r="Y53" s="50"/>
      <c r="Z53" s="43" t="str">
        <f t="shared" si="0"/>
        <v>Очікую</v>
      </c>
      <c r="AA53" s="22"/>
      <c r="AB53" s="40"/>
    </row>
    <row r="54" spans="1:28" s="11" customFormat="1" ht="15" customHeight="1" x14ac:dyDescent="0.25">
      <c r="A54" s="41"/>
      <c r="B54" s="12"/>
      <c r="C54" s="48"/>
      <c r="D54" s="48">
        <v>45</v>
      </c>
      <c r="E54" s="49"/>
      <c r="F54" s="50"/>
      <c r="G54" s="50"/>
      <c r="H54" s="50"/>
      <c r="I54" s="50"/>
      <c r="J54" s="50"/>
      <c r="K54" s="50"/>
      <c r="L54" s="50"/>
      <c r="M54" s="50"/>
      <c r="N54" s="50"/>
      <c r="O54" s="50"/>
      <c r="P54" s="50"/>
      <c r="Q54" s="50"/>
      <c r="R54" s="50"/>
      <c r="S54" s="50"/>
      <c r="T54" s="50"/>
      <c r="U54" s="50"/>
      <c r="V54" s="50"/>
      <c r="W54" s="50"/>
      <c r="X54" s="50"/>
      <c r="Y54" s="50"/>
      <c r="Z54" s="43" t="str">
        <f t="shared" si="0"/>
        <v>Очікую</v>
      </c>
      <c r="AA54" s="22"/>
      <c r="AB54" s="40"/>
    </row>
    <row r="55" spans="1:28" s="11" customFormat="1" ht="15" customHeight="1" x14ac:dyDescent="0.25">
      <c r="A55" s="41"/>
      <c r="B55" s="12"/>
      <c r="C55" s="48"/>
      <c r="D55" s="48">
        <v>46</v>
      </c>
      <c r="E55" s="49"/>
      <c r="F55" s="50"/>
      <c r="G55" s="50"/>
      <c r="H55" s="50"/>
      <c r="I55" s="50"/>
      <c r="J55" s="50"/>
      <c r="K55" s="50"/>
      <c r="L55" s="50"/>
      <c r="M55" s="50"/>
      <c r="N55" s="50"/>
      <c r="O55" s="50"/>
      <c r="P55" s="50"/>
      <c r="Q55" s="50"/>
      <c r="R55" s="50"/>
      <c r="S55" s="50"/>
      <c r="T55" s="50"/>
      <c r="U55" s="50"/>
      <c r="V55" s="50"/>
      <c r="W55" s="50"/>
      <c r="X55" s="50"/>
      <c r="Y55" s="50"/>
      <c r="Z55" s="43" t="str">
        <f t="shared" si="0"/>
        <v>Очікую</v>
      </c>
      <c r="AA55" s="22"/>
      <c r="AB55" s="40"/>
    </row>
    <row r="56" spans="1:28" s="11" customFormat="1" ht="15" customHeight="1" x14ac:dyDescent="0.25">
      <c r="A56" s="41"/>
      <c r="B56" s="12"/>
      <c r="C56" s="48"/>
      <c r="D56" s="48">
        <v>47</v>
      </c>
      <c r="E56" s="49"/>
      <c r="F56" s="50"/>
      <c r="G56" s="50"/>
      <c r="H56" s="50"/>
      <c r="I56" s="50"/>
      <c r="J56" s="50"/>
      <c r="K56" s="50"/>
      <c r="L56" s="50"/>
      <c r="M56" s="50"/>
      <c r="N56" s="50"/>
      <c r="O56" s="50"/>
      <c r="P56" s="50"/>
      <c r="Q56" s="50"/>
      <c r="R56" s="50"/>
      <c r="S56" s="50"/>
      <c r="T56" s="50"/>
      <c r="U56" s="50"/>
      <c r="V56" s="50"/>
      <c r="W56" s="50"/>
      <c r="X56" s="50"/>
      <c r="Y56" s="50"/>
      <c r="Z56" s="43" t="str">
        <f t="shared" si="0"/>
        <v>Очікую</v>
      </c>
      <c r="AA56" s="22"/>
      <c r="AB56" s="40"/>
    </row>
    <row r="57" spans="1:28" s="11" customFormat="1" ht="15" customHeight="1" x14ac:dyDescent="0.25">
      <c r="A57" s="41"/>
      <c r="B57" s="12"/>
      <c r="C57" s="48"/>
      <c r="D57" s="48">
        <v>48</v>
      </c>
      <c r="E57" s="49"/>
      <c r="F57" s="50"/>
      <c r="G57" s="50"/>
      <c r="H57" s="50"/>
      <c r="I57" s="50"/>
      <c r="J57" s="50"/>
      <c r="K57" s="50"/>
      <c r="L57" s="50"/>
      <c r="M57" s="50"/>
      <c r="N57" s="50"/>
      <c r="O57" s="50"/>
      <c r="P57" s="50"/>
      <c r="Q57" s="50"/>
      <c r="R57" s="50"/>
      <c r="S57" s="50"/>
      <c r="T57" s="50"/>
      <c r="U57" s="50"/>
      <c r="V57" s="50"/>
      <c r="W57" s="50"/>
      <c r="X57" s="50"/>
      <c r="Y57" s="50"/>
      <c r="Z57" s="43" t="str">
        <f t="shared" si="0"/>
        <v>Очікую</v>
      </c>
      <c r="AA57" s="22"/>
      <c r="AB57" s="40"/>
    </row>
    <row r="58" spans="1:28" s="11" customFormat="1" ht="15" customHeight="1" x14ac:dyDescent="0.25">
      <c r="A58" s="41"/>
      <c r="B58" s="12"/>
      <c r="C58" s="48"/>
      <c r="D58" s="48">
        <v>49</v>
      </c>
      <c r="E58" s="49"/>
      <c r="F58" s="50"/>
      <c r="G58" s="50"/>
      <c r="H58" s="50"/>
      <c r="I58" s="50"/>
      <c r="J58" s="50"/>
      <c r="K58" s="50"/>
      <c r="L58" s="50"/>
      <c r="M58" s="50"/>
      <c r="N58" s="50"/>
      <c r="O58" s="50"/>
      <c r="P58" s="50"/>
      <c r="Q58" s="50"/>
      <c r="R58" s="50"/>
      <c r="S58" s="50"/>
      <c r="T58" s="50"/>
      <c r="U58" s="50"/>
      <c r="V58" s="50"/>
      <c r="W58" s="50"/>
      <c r="X58" s="50"/>
      <c r="Y58" s="50"/>
      <c r="Z58" s="43" t="str">
        <f t="shared" si="0"/>
        <v>Очікую</v>
      </c>
      <c r="AA58" s="22"/>
      <c r="AB58" s="40"/>
    </row>
    <row r="59" spans="1:28" s="11" customFormat="1" ht="15" customHeight="1" x14ac:dyDescent="0.25">
      <c r="A59" s="41"/>
      <c r="B59" s="12"/>
      <c r="C59" s="48"/>
      <c r="D59" s="48">
        <v>50</v>
      </c>
      <c r="E59" s="49"/>
      <c r="F59" s="50"/>
      <c r="G59" s="50"/>
      <c r="H59" s="50"/>
      <c r="I59" s="50"/>
      <c r="J59" s="50"/>
      <c r="K59" s="50"/>
      <c r="L59" s="50"/>
      <c r="M59" s="50"/>
      <c r="N59" s="50"/>
      <c r="O59" s="50"/>
      <c r="P59" s="50"/>
      <c r="Q59" s="50"/>
      <c r="R59" s="50"/>
      <c r="S59" s="50"/>
      <c r="T59" s="50"/>
      <c r="U59" s="50"/>
      <c r="V59" s="50"/>
      <c r="W59" s="50"/>
      <c r="X59" s="50"/>
      <c r="Y59" s="50"/>
      <c r="Z59" s="43" t="str">
        <f t="shared" si="0"/>
        <v>Очікую</v>
      </c>
      <c r="AA59" s="22"/>
      <c r="AB59" s="40"/>
    </row>
    <row r="60" spans="1:28" s="11" customFormat="1" ht="15" customHeight="1" x14ac:dyDescent="0.25">
      <c r="A60" s="41"/>
      <c r="B60" s="12"/>
      <c r="C60" s="48"/>
      <c r="D60" s="48">
        <v>51</v>
      </c>
      <c r="E60" s="49"/>
      <c r="F60" s="50"/>
      <c r="G60" s="50"/>
      <c r="H60" s="50"/>
      <c r="I60" s="50"/>
      <c r="J60" s="50"/>
      <c r="K60" s="50"/>
      <c r="L60" s="50"/>
      <c r="M60" s="50"/>
      <c r="N60" s="50"/>
      <c r="O60" s="50"/>
      <c r="P60" s="50"/>
      <c r="Q60" s="50"/>
      <c r="R60" s="50"/>
      <c r="S60" s="50"/>
      <c r="T60" s="50"/>
      <c r="U60" s="50"/>
      <c r="V60" s="50"/>
      <c r="W60" s="50"/>
      <c r="X60" s="50"/>
      <c r="Y60" s="50"/>
      <c r="Z60" s="43" t="str">
        <f t="shared" si="0"/>
        <v>Очікую</v>
      </c>
      <c r="AA60" s="22"/>
      <c r="AB60" s="40"/>
    </row>
    <row r="61" spans="1:28" s="11" customFormat="1" ht="15" customHeight="1" x14ac:dyDescent="0.25">
      <c r="A61" s="41"/>
      <c r="B61" s="12"/>
      <c r="C61" s="48"/>
      <c r="D61" s="48">
        <v>52</v>
      </c>
      <c r="E61" s="49"/>
      <c r="F61" s="50"/>
      <c r="G61" s="50"/>
      <c r="H61" s="50"/>
      <c r="I61" s="50"/>
      <c r="J61" s="50"/>
      <c r="K61" s="50"/>
      <c r="L61" s="50"/>
      <c r="M61" s="50"/>
      <c r="N61" s="50"/>
      <c r="O61" s="50"/>
      <c r="P61" s="50"/>
      <c r="Q61" s="50"/>
      <c r="R61" s="50"/>
      <c r="S61" s="50"/>
      <c r="T61" s="50"/>
      <c r="U61" s="50"/>
      <c r="V61" s="50"/>
      <c r="W61" s="50"/>
      <c r="X61" s="50"/>
      <c r="Y61" s="50"/>
      <c r="Z61" s="43" t="str">
        <f t="shared" si="0"/>
        <v>Очікую</v>
      </c>
      <c r="AA61" s="22"/>
      <c r="AB61" s="40"/>
    </row>
    <row r="62" spans="1:28" s="11" customFormat="1" ht="15" customHeight="1" x14ac:dyDescent="0.25">
      <c r="A62" s="41"/>
      <c r="B62" s="12"/>
      <c r="C62" s="48"/>
      <c r="D62" s="48">
        <v>53</v>
      </c>
      <c r="E62" s="49"/>
      <c r="F62" s="50"/>
      <c r="G62" s="50"/>
      <c r="H62" s="50"/>
      <c r="I62" s="50"/>
      <c r="J62" s="50"/>
      <c r="K62" s="50"/>
      <c r="L62" s="50"/>
      <c r="M62" s="50"/>
      <c r="N62" s="50"/>
      <c r="O62" s="50"/>
      <c r="P62" s="50"/>
      <c r="Q62" s="50"/>
      <c r="R62" s="50"/>
      <c r="S62" s="50"/>
      <c r="T62" s="50"/>
      <c r="U62" s="50"/>
      <c r="V62" s="50"/>
      <c r="W62" s="50"/>
      <c r="X62" s="50"/>
      <c r="Y62" s="50"/>
      <c r="Z62" s="43" t="str">
        <f t="shared" si="0"/>
        <v>Очікую</v>
      </c>
      <c r="AA62" s="22"/>
      <c r="AB62" s="40"/>
    </row>
    <row r="63" spans="1:28" s="11" customFormat="1" ht="15" customHeight="1" x14ac:dyDescent="0.25">
      <c r="A63" s="41"/>
      <c r="B63" s="12"/>
      <c r="C63" s="48"/>
      <c r="D63" s="48">
        <v>54</v>
      </c>
      <c r="E63" s="49"/>
      <c r="F63" s="50"/>
      <c r="G63" s="50"/>
      <c r="H63" s="50"/>
      <c r="I63" s="50"/>
      <c r="J63" s="50"/>
      <c r="K63" s="50"/>
      <c r="L63" s="50"/>
      <c r="M63" s="50"/>
      <c r="N63" s="50"/>
      <c r="O63" s="50"/>
      <c r="P63" s="50"/>
      <c r="Q63" s="50"/>
      <c r="R63" s="50"/>
      <c r="S63" s="50"/>
      <c r="T63" s="50"/>
      <c r="U63" s="50"/>
      <c r="V63" s="50"/>
      <c r="W63" s="50"/>
      <c r="X63" s="50"/>
      <c r="Y63" s="50"/>
      <c r="Z63" s="43" t="str">
        <f t="shared" si="0"/>
        <v>Очікую</v>
      </c>
      <c r="AA63" s="22"/>
      <c r="AB63" s="40"/>
    </row>
    <row r="64" spans="1:28" s="11" customFormat="1" ht="15" customHeight="1" x14ac:dyDescent="0.25">
      <c r="A64" s="41"/>
      <c r="B64" s="12"/>
      <c r="C64" s="48"/>
      <c r="D64" s="48">
        <v>55</v>
      </c>
      <c r="E64" s="49"/>
      <c r="F64" s="50"/>
      <c r="G64" s="50"/>
      <c r="H64" s="50"/>
      <c r="I64" s="50"/>
      <c r="J64" s="50"/>
      <c r="K64" s="50"/>
      <c r="L64" s="50"/>
      <c r="M64" s="50"/>
      <c r="N64" s="50"/>
      <c r="O64" s="50"/>
      <c r="P64" s="50"/>
      <c r="Q64" s="50"/>
      <c r="R64" s="50"/>
      <c r="S64" s="50"/>
      <c r="T64" s="50"/>
      <c r="U64" s="50"/>
      <c r="V64" s="50"/>
      <c r="W64" s="50"/>
      <c r="X64" s="50"/>
      <c r="Y64" s="50"/>
      <c r="Z64" s="43" t="str">
        <f t="shared" si="0"/>
        <v>Очікую</v>
      </c>
      <c r="AA64" s="22"/>
      <c r="AB64" s="40"/>
    </row>
    <row r="65" spans="1:28" s="11" customFormat="1" ht="15" customHeight="1" x14ac:dyDescent="0.25">
      <c r="A65" s="41"/>
      <c r="B65" s="12"/>
      <c r="C65" s="48"/>
      <c r="D65" s="48">
        <v>56</v>
      </c>
      <c r="E65" s="49"/>
      <c r="F65" s="50"/>
      <c r="G65" s="50"/>
      <c r="H65" s="50"/>
      <c r="I65" s="50"/>
      <c r="J65" s="50"/>
      <c r="K65" s="50"/>
      <c r="L65" s="50"/>
      <c r="M65" s="50"/>
      <c r="N65" s="50"/>
      <c r="O65" s="50"/>
      <c r="P65" s="50"/>
      <c r="Q65" s="50"/>
      <c r="R65" s="50"/>
      <c r="S65" s="50"/>
      <c r="T65" s="50"/>
      <c r="U65" s="50"/>
      <c r="V65" s="50"/>
      <c r="W65" s="50"/>
      <c r="X65" s="50"/>
      <c r="Y65" s="50"/>
      <c r="Z65" s="43" t="str">
        <f t="shared" si="0"/>
        <v>Очікую</v>
      </c>
      <c r="AA65" s="22"/>
      <c r="AB65" s="40"/>
    </row>
    <row r="66" spans="1:28" s="11" customFormat="1" ht="15" customHeight="1" x14ac:dyDescent="0.25">
      <c r="A66" s="41"/>
      <c r="B66" s="12"/>
      <c r="C66" s="48"/>
      <c r="D66" s="48">
        <v>57</v>
      </c>
      <c r="E66" s="49"/>
      <c r="F66" s="50"/>
      <c r="G66" s="50"/>
      <c r="H66" s="50"/>
      <c r="I66" s="50"/>
      <c r="J66" s="50"/>
      <c r="K66" s="50"/>
      <c r="L66" s="50"/>
      <c r="M66" s="50"/>
      <c r="N66" s="50"/>
      <c r="O66" s="50"/>
      <c r="P66" s="50"/>
      <c r="Q66" s="50"/>
      <c r="R66" s="50"/>
      <c r="S66" s="50"/>
      <c r="T66" s="50"/>
      <c r="U66" s="50"/>
      <c r="V66" s="50"/>
      <c r="W66" s="50"/>
      <c r="X66" s="50"/>
      <c r="Y66" s="50"/>
      <c r="Z66" s="43" t="str">
        <f t="shared" si="0"/>
        <v>Очікую</v>
      </c>
      <c r="AA66" s="22"/>
      <c r="AB66" s="40"/>
    </row>
    <row r="67" spans="1:28" s="11" customFormat="1" ht="15" customHeight="1" x14ac:dyDescent="0.25">
      <c r="A67" s="41"/>
      <c r="B67" s="12"/>
      <c r="C67" s="48"/>
      <c r="D67" s="48">
        <v>58</v>
      </c>
      <c r="E67" s="49"/>
      <c r="F67" s="50"/>
      <c r="G67" s="50"/>
      <c r="H67" s="50"/>
      <c r="I67" s="50"/>
      <c r="J67" s="50"/>
      <c r="K67" s="50"/>
      <c r="L67" s="50"/>
      <c r="M67" s="50"/>
      <c r="N67" s="50"/>
      <c r="O67" s="50"/>
      <c r="P67" s="50"/>
      <c r="Q67" s="50"/>
      <c r="R67" s="50"/>
      <c r="S67" s="50"/>
      <c r="T67" s="50"/>
      <c r="U67" s="50"/>
      <c r="V67" s="50"/>
      <c r="W67" s="50"/>
      <c r="X67" s="50"/>
      <c r="Y67" s="50"/>
      <c r="Z67" s="43" t="str">
        <f t="shared" si="0"/>
        <v>Очікую</v>
      </c>
      <c r="AA67" s="22"/>
      <c r="AB67" s="40"/>
    </row>
    <row r="68" spans="1:28" s="11" customFormat="1" ht="15" customHeight="1" x14ac:dyDescent="0.25">
      <c r="A68" s="41"/>
      <c r="B68" s="12"/>
      <c r="C68" s="48"/>
      <c r="D68" s="48">
        <v>59</v>
      </c>
      <c r="E68" s="49"/>
      <c r="F68" s="50"/>
      <c r="G68" s="50"/>
      <c r="H68" s="50"/>
      <c r="I68" s="50"/>
      <c r="J68" s="50"/>
      <c r="K68" s="50"/>
      <c r="L68" s="50"/>
      <c r="M68" s="50"/>
      <c r="N68" s="50"/>
      <c r="O68" s="50"/>
      <c r="P68" s="50"/>
      <c r="Q68" s="50"/>
      <c r="R68" s="50"/>
      <c r="S68" s="50"/>
      <c r="T68" s="50"/>
      <c r="U68" s="50"/>
      <c r="V68" s="50"/>
      <c r="W68" s="50"/>
      <c r="X68" s="50"/>
      <c r="Y68" s="50"/>
      <c r="Z68" s="43" t="str">
        <f t="shared" si="0"/>
        <v>Очікую</v>
      </c>
      <c r="AA68" s="22"/>
      <c r="AB68" s="40"/>
    </row>
    <row r="69" spans="1:28" s="11" customFormat="1" ht="15" customHeight="1" x14ac:dyDescent="0.25">
      <c r="A69" s="41"/>
      <c r="B69" s="12"/>
      <c r="C69" s="48"/>
      <c r="D69" s="48">
        <v>60</v>
      </c>
      <c r="E69" s="49"/>
      <c r="F69" s="50"/>
      <c r="G69" s="50"/>
      <c r="H69" s="50"/>
      <c r="I69" s="50"/>
      <c r="J69" s="50"/>
      <c r="K69" s="50"/>
      <c r="L69" s="50"/>
      <c r="M69" s="50"/>
      <c r="N69" s="50"/>
      <c r="O69" s="50"/>
      <c r="P69" s="50"/>
      <c r="Q69" s="50"/>
      <c r="R69" s="50"/>
      <c r="S69" s="50"/>
      <c r="T69" s="50"/>
      <c r="U69" s="50"/>
      <c r="V69" s="50"/>
      <c r="W69" s="50"/>
      <c r="X69" s="50"/>
      <c r="Y69" s="50"/>
      <c r="Z69" s="43" t="str">
        <f t="shared" si="0"/>
        <v>Очікую</v>
      </c>
      <c r="AA69" s="22"/>
      <c r="AB69" s="40"/>
    </row>
    <row r="70" spans="1:28" s="11" customFormat="1" ht="15" customHeight="1" x14ac:dyDescent="0.25">
      <c r="A70" s="41"/>
      <c r="B70" s="12"/>
      <c r="C70" s="48"/>
      <c r="D70" s="48">
        <v>61</v>
      </c>
      <c r="E70" s="49"/>
      <c r="F70" s="50"/>
      <c r="G70" s="50"/>
      <c r="H70" s="50"/>
      <c r="I70" s="50"/>
      <c r="J70" s="50"/>
      <c r="K70" s="50"/>
      <c r="L70" s="50"/>
      <c r="M70" s="50"/>
      <c r="N70" s="50"/>
      <c r="O70" s="50"/>
      <c r="P70" s="50"/>
      <c r="Q70" s="50"/>
      <c r="R70" s="50"/>
      <c r="S70" s="50"/>
      <c r="T70" s="50"/>
      <c r="U70" s="50"/>
      <c r="V70" s="50"/>
      <c r="W70" s="50"/>
      <c r="X70" s="50"/>
      <c r="Y70" s="50"/>
      <c r="Z70" s="43" t="str">
        <f t="shared" si="0"/>
        <v>Очікую</v>
      </c>
      <c r="AA70" s="22"/>
      <c r="AB70" s="40"/>
    </row>
    <row r="71" spans="1:28" s="11" customFormat="1" ht="15" customHeight="1" x14ac:dyDescent="0.25">
      <c r="A71" s="41"/>
      <c r="B71" s="12"/>
      <c r="C71" s="48"/>
      <c r="D71" s="48">
        <v>62</v>
      </c>
      <c r="E71" s="49"/>
      <c r="F71" s="50"/>
      <c r="G71" s="50"/>
      <c r="H71" s="50"/>
      <c r="I71" s="50"/>
      <c r="J71" s="50"/>
      <c r="K71" s="50"/>
      <c r="L71" s="50"/>
      <c r="M71" s="50"/>
      <c r="N71" s="50"/>
      <c r="O71" s="50"/>
      <c r="P71" s="50"/>
      <c r="Q71" s="50"/>
      <c r="R71" s="50"/>
      <c r="S71" s="50"/>
      <c r="T71" s="50"/>
      <c r="U71" s="50"/>
      <c r="V71" s="50"/>
      <c r="W71" s="50"/>
      <c r="X71" s="50"/>
      <c r="Y71" s="50"/>
      <c r="Z71" s="43" t="str">
        <f t="shared" si="0"/>
        <v>Очікую</v>
      </c>
      <c r="AA71" s="22"/>
      <c r="AB71" s="40"/>
    </row>
    <row r="72" spans="1:28" s="11" customFormat="1" ht="15" customHeight="1" x14ac:dyDescent="0.25">
      <c r="A72" s="41"/>
      <c r="B72" s="12"/>
      <c r="C72" s="48"/>
      <c r="D72" s="48">
        <v>63</v>
      </c>
      <c r="E72" s="49"/>
      <c r="F72" s="50"/>
      <c r="G72" s="50"/>
      <c r="H72" s="50"/>
      <c r="I72" s="50"/>
      <c r="J72" s="50"/>
      <c r="K72" s="50"/>
      <c r="L72" s="50"/>
      <c r="M72" s="50"/>
      <c r="N72" s="50"/>
      <c r="O72" s="50"/>
      <c r="P72" s="50"/>
      <c r="Q72" s="50"/>
      <c r="R72" s="50"/>
      <c r="S72" s="50"/>
      <c r="T72" s="50"/>
      <c r="U72" s="50"/>
      <c r="V72" s="50"/>
      <c r="W72" s="50"/>
      <c r="X72" s="50"/>
      <c r="Y72" s="50"/>
      <c r="Z72" s="43" t="str">
        <f t="shared" si="0"/>
        <v>Очікую</v>
      </c>
      <c r="AA72" s="22"/>
      <c r="AB72" s="40"/>
    </row>
    <row r="73" spans="1:28" s="11" customFormat="1" ht="15" customHeight="1" x14ac:dyDescent="0.25">
      <c r="A73" s="41"/>
      <c r="B73" s="12"/>
      <c r="C73" s="48"/>
      <c r="D73" s="48">
        <v>64</v>
      </c>
      <c r="E73" s="49"/>
      <c r="F73" s="50"/>
      <c r="G73" s="50"/>
      <c r="H73" s="50"/>
      <c r="I73" s="50"/>
      <c r="J73" s="50"/>
      <c r="K73" s="50"/>
      <c r="L73" s="50"/>
      <c r="M73" s="50"/>
      <c r="N73" s="50"/>
      <c r="O73" s="50"/>
      <c r="P73" s="50"/>
      <c r="Q73" s="50"/>
      <c r="R73" s="50"/>
      <c r="S73" s="50"/>
      <c r="T73" s="50"/>
      <c r="U73" s="50"/>
      <c r="V73" s="50"/>
      <c r="W73" s="50"/>
      <c r="X73" s="50"/>
      <c r="Y73" s="50"/>
      <c r="Z73" s="43" t="str">
        <f t="shared" si="0"/>
        <v>Очікую</v>
      </c>
      <c r="AA73" s="22"/>
      <c r="AB73" s="40"/>
    </row>
    <row r="74" spans="1:28" s="11" customFormat="1" ht="15" customHeight="1" x14ac:dyDescent="0.25">
      <c r="A74" s="41"/>
      <c r="B74" s="12"/>
      <c r="C74" s="48"/>
      <c r="D74" s="48">
        <v>65</v>
      </c>
      <c r="E74" s="49"/>
      <c r="F74" s="50"/>
      <c r="G74" s="50"/>
      <c r="H74" s="50"/>
      <c r="I74" s="50"/>
      <c r="J74" s="50"/>
      <c r="K74" s="50"/>
      <c r="L74" s="50"/>
      <c r="M74" s="50"/>
      <c r="N74" s="50"/>
      <c r="O74" s="50"/>
      <c r="P74" s="50"/>
      <c r="Q74" s="50"/>
      <c r="R74" s="50"/>
      <c r="S74" s="50"/>
      <c r="T74" s="50"/>
      <c r="U74" s="50"/>
      <c r="V74" s="50"/>
      <c r="W74" s="50"/>
      <c r="X74" s="50"/>
      <c r="Y74" s="50"/>
      <c r="Z74" s="43" t="str">
        <f t="shared" si="0"/>
        <v>Очікую</v>
      </c>
      <c r="AA74" s="22"/>
      <c r="AB74" s="40"/>
    </row>
    <row r="75" spans="1:28" s="11" customFormat="1" ht="15" customHeight="1" x14ac:dyDescent="0.25">
      <c r="A75" s="41"/>
      <c r="B75" s="12"/>
      <c r="C75" s="48"/>
      <c r="D75" s="48">
        <v>66</v>
      </c>
      <c r="E75" s="49"/>
      <c r="F75" s="50"/>
      <c r="G75" s="50"/>
      <c r="H75" s="50"/>
      <c r="I75" s="50"/>
      <c r="J75" s="50"/>
      <c r="K75" s="50"/>
      <c r="L75" s="50"/>
      <c r="M75" s="50"/>
      <c r="N75" s="50"/>
      <c r="O75" s="50"/>
      <c r="P75" s="50"/>
      <c r="Q75" s="50"/>
      <c r="R75" s="50"/>
      <c r="S75" s="50"/>
      <c r="T75" s="50"/>
      <c r="U75" s="50"/>
      <c r="V75" s="50"/>
      <c r="W75" s="50"/>
      <c r="X75" s="50"/>
      <c r="Y75" s="50"/>
      <c r="Z75" s="43" t="str">
        <f t="shared" ref="Z75:Z109" si="1">IF(COUNTIF(F75:Y75,"=*")&gt;0,IF($C75="К","-"," - "),IF(COUNTIF(F75:Y75,"&lt;4")&gt;0,IF(C75="К","-"," - "),(IFERROR(AVERAGE(F75:Y75),"Очікую"))))</f>
        <v>Очікую</v>
      </c>
      <c r="AA75" s="22"/>
      <c r="AB75" s="40"/>
    </row>
    <row r="76" spans="1:28" s="11" customFormat="1" ht="15" customHeight="1" x14ac:dyDescent="0.25">
      <c r="A76" s="41"/>
      <c r="B76" s="12"/>
      <c r="C76" s="48"/>
      <c r="D76" s="48">
        <v>67</v>
      </c>
      <c r="E76" s="49"/>
      <c r="F76" s="50"/>
      <c r="G76" s="50"/>
      <c r="H76" s="50"/>
      <c r="I76" s="50"/>
      <c r="J76" s="50"/>
      <c r="K76" s="50"/>
      <c r="L76" s="50"/>
      <c r="M76" s="50"/>
      <c r="N76" s="50"/>
      <c r="O76" s="50"/>
      <c r="P76" s="50"/>
      <c r="Q76" s="50"/>
      <c r="R76" s="50"/>
      <c r="S76" s="50"/>
      <c r="T76" s="50"/>
      <c r="U76" s="50"/>
      <c r="V76" s="50"/>
      <c r="W76" s="50"/>
      <c r="X76" s="50"/>
      <c r="Y76" s="50"/>
      <c r="Z76" s="43" t="str">
        <f t="shared" si="1"/>
        <v>Очікую</v>
      </c>
      <c r="AA76" s="22"/>
      <c r="AB76" s="40"/>
    </row>
    <row r="77" spans="1:28" s="11" customFormat="1" ht="15" customHeight="1" x14ac:dyDescent="0.25">
      <c r="A77" s="41"/>
      <c r="B77" s="12"/>
      <c r="C77" s="48"/>
      <c r="D77" s="48">
        <v>68</v>
      </c>
      <c r="E77" s="49"/>
      <c r="F77" s="50"/>
      <c r="G77" s="50"/>
      <c r="H77" s="50"/>
      <c r="I77" s="50"/>
      <c r="J77" s="50"/>
      <c r="K77" s="50"/>
      <c r="L77" s="50"/>
      <c r="M77" s="50"/>
      <c r="N77" s="50"/>
      <c r="O77" s="50"/>
      <c r="P77" s="50"/>
      <c r="Q77" s="50"/>
      <c r="R77" s="50"/>
      <c r="S77" s="50"/>
      <c r="T77" s="50"/>
      <c r="U77" s="50"/>
      <c r="V77" s="50"/>
      <c r="W77" s="50"/>
      <c r="X77" s="50"/>
      <c r="Y77" s="50"/>
      <c r="Z77" s="43" t="str">
        <f t="shared" si="1"/>
        <v>Очікую</v>
      </c>
      <c r="AA77" s="22"/>
      <c r="AB77" s="40"/>
    </row>
    <row r="78" spans="1:28" s="11" customFormat="1" ht="15" customHeight="1" x14ac:dyDescent="0.25">
      <c r="A78" s="41"/>
      <c r="B78" s="12"/>
      <c r="C78" s="48"/>
      <c r="D78" s="48">
        <v>69</v>
      </c>
      <c r="E78" s="49"/>
      <c r="F78" s="50"/>
      <c r="G78" s="50"/>
      <c r="H78" s="50"/>
      <c r="I78" s="50"/>
      <c r="J78" s="50"/>
      <c r="K78" s="50"/>
      <c r="L78" s="50"/>
      <c r="M78" s="50"/>
      <c r="N78" s="50"/>
      <c r="O78" s="50"/>
      <c r="P78" s="50"/>
      <c r="Q78" s="50"/>
      <c r="R78" s="50"/>
      <c r="S78" s="50"/>
      <c r="T78" s="50"/>
      <c r="U78" s="50"/>
      <c r="V78" s="50"/>
      <c r="W78" s="50"/>
      <c r="X78" s="50"/>
      <c r="Y78" s="50"/>
      <c r="Z78" s="43" t="str">
        <f t="shared" si="1"/>
        <v>Очікую</v>
      </c>
      <c r="AA78" s="22"/>
      <c r="AB78" s="40"/>
    </row>
    <row r="79" spans="1:28" s="11" customFormat="1" ht="15" customHeight="1" x14ac:dyDescent="0.25">
      <c r="A79" s="41"/>
      <c r="B79" s="12"/>
      <c r="C79" s="48"/>
      <c r="D79" s="48">
        <v>70</v>
      </c>
      <c r="E79" s="49"/>
      <c r="F79" s="50"/>
      <c r="G79" s="50"/>
      <c r="H79" s="50"/>
      <c r="I79" s="50"/>
      <c r="J79" s="50"/>
      <c r="K79" s="50"/>
      <c r="L79" s="50"/>
      <c r="M79" s="50"/>
      <c r="N79" s="50"/>
      <c r="O79" s="50"/>
      <c r="P79" s="50"/>
      <c r="Q79" s="50"/>
      <c r="R79" s="50"/>
      <c r="S79" s="50"/>
      <c r="T79" s="50"/>
      <c r="U79" s="50"/>
      <c r="V79" s="50"/>
      <c r="W79" s="50"/>
      <c r="X79" s="50"/>
      <c r="Y79" s="50"/>
      <c r="Z79" s="43" t="str">
        <f t="shared" si="1"/>
        <v>Очікую</v>
      </c>
      <c r="AA79" s="22"/>
      <c r="AB79" s="40"/>
    </row>
    <row r="80" spans="1:28" s="11" customFormat="1" ht="15" customHeight="1" x14ac:dyDescent="0.25">
      <c r="A80" s="41"/>
      <c r="B80" s="12"/>
      <c r="C80" s="48"/>
      <c r="D80" s="48">
        <v>71</v>
      </c>
      <c r="E80" s="49"/>
      <c r="F80" s="50"/>
      <c r="G80" s="50"/>
      <c r="H80" s="50"/>
      <c r="I80" s="50"/>
      <c r="J80" s="50"/>
      <c r="K80" s="50"/>
      <c r="L80" s="50"/>
      <c r="M80" s="50"/>
      <c r="N80" s="50"/>
      <c r="O80" s="50"/>
      <c r="P80" s="50"/>
      <c r="Q80" s="50"/>
      <c r="R80" s="50"/>
      <c r="S80" s="50"/>
      <c r="T80" s="50"/>
      <c r="U80" s="50"/>
      <c r="V80" s="50"/>
      <c r="W80" s="50"/>
      <c r="X80" s="50"/>
      <c r="Y80" s="50"/>
      <c r="Z80" s="43" t="str">
        <f t="shared" si="1"/>
        <v>Очікую</v>
      </c>
      <c r="AA80" s="22"/>
      <c r="AB80" s="40"/>
    </row>
    <row r="81" spans="1:28" s="11" customFormat="1" ht="15" customHeight="1" x14ac:dyDescent="0.25">
      <c r="A81" s="41"/>
      <c r="B81" s="12"/>
      <c r="C81" s="48"/>
      <c r="D81" s="48">
        <v>72</v>
      </c>
      <c r="E81" s="49"/>
      <c r="F81" s="50"/>
      <c r="G81" s="50"/>
      <c r="H81" s="50"/>
      <c r="I81" s="50"/>
      <c r="J81" s="50"/>
      <c r="K81" s="50"/>
      <c r="L81" s="50"/>
      <c r="M81" s="50"/>
      <c r="N81" s="50"/>
      <c r="O81" s="50"/>
      <c r="P81" s="50"/>
      <c r="Q81" s="50"/>
      <c r="R81" s="50"/>
      <c r="S81" s="50"/>
      <c r="T81" s="50"/>
      <c r="U81" s="50"/>
      <c r="V81" s="50"/>
      <c r="W81" s="50"/>
      <c r="X81" s="50"/>
      <c r="Y81" s="50"/>
      <c r="Z81" s="43" t="str">
        <f t="shared" si="1"/>
        <v>Очікую</v>
      </c>
      <c r="AA81" s="22"/>
      <c r="AB81" s="40"/>
    </row>
    <row r="82" spans="1:28" s="11" customFormat="1" ht="15" customHeight="1" x14ac:dyDescent="0.25">
      <c r="A82" s="41"/>
      <c r="B82" s="12"/>
      <c r="C82" s="48"/>
      <c r="D82" s="48">
        <v>73</v>
      </c>
      <c r="E82" s="49"/>
      <c r="F82" s="50"/>
      <c r="G82" s="50"/>
      <c r="H82" s="50"/>
      <c r="I82" s="50"/>
      <c r="J82" s="50"/>
      <c r="K82" s="50"/>
      <c r="L82" s="50"/>
      <c r="M82" s="50"/>
      <c r="N82" s="50"/>
      <c r="O82" s="50"/>
      <c r="P82" s="50"/>
      <c r="Q82" s="50"/>
      <c r="R82" s="50"/>
      <c r="S82" s="50"/>
      <c r="T82" s="50"/>
      <c r="U82" s="50"/>
      <c r="V82" s="50"/>
      <c r="W82" s="50"/>
      <c r="X82" s="50"/>
      <c r="Y82" s="50"/>
      <c r="Z82" s="43" t="str">
        <f t="shared" si="1"/>
        <v>Очікую</v>
      </c>
      <c r="AA82" s="22"/>
      <c r="AB82" s="40"/>
    </row>
    <row r="83" spans="1:28" s="11" customFormat="1" ht="15" customHeight="1" x14ac:dyDescent="0.25">
      <c r="A83" s="41"/>
      <c r="B83" s="12"/>
      <c r="C83" s="48"/>
      <c r="D83" s="48">
        <v>74</v>
      </c>
      <c r="E83" s="49"/>
      <c r="F83" s="50"/>
      <c r="G83" s="50"/>
      <c r="H83" s="50"/>
      <c r="I83" s="50"/>
      <c r="J83" s="50"/>
      <c r="K83" s="50"/>
      <c r="L83" s="50"/>
      <c r="M83" s="50"/>
      <c r="N83" s="50"/>
      <c r="O83" s="50"/>
      <c r="P83" s="50"/>
      <c r="Q83" s="50"/>
      <c r="R83" s="50"/>
      <c r="S83" s="50"/>
      <c r="T83" s="50"/>
      <c r="U83" s="50"/>
      <c r="V83" s="50"/>
      <c r="W83" s="50"/>
      <c r="X83" s="50"/>
      <c r="Y83" s="50"/>
      <c r="Z83" s="43" t="str">
        <f t="shared" si="1"/>
        <v>Очікую</v>
      </c>
      <c r="AA83" s="22"/>
      <c r="AB83" s="40"/>
    </row>
    <row r="84" spans="1:28" s="11" customFormat="1" ht="15" customHeight="1" x14ac:dyDescent="0.25">
      <c r="A84" s="41"/>
      <c r="B84" s="12"/>
      <c r="C84" s="48"/>
      <c r="D84" s="48">
        <v>75</v>
      </c>
      <c r="E84" s="49"/>
      <c r="F84" s="50"/>
      <c r="G84" s="50"/>
      <c r="H84" s="50"/>
      <c r="I84" s="50"/>
      <c r="J84" s="50"/>
      <c r="K84" s="50"/>
      <c r="L84" s="50"/>
      <c r="M84" s="50"/>
      <c r="N84" s="50"/>
      <c r="O84" s="50"/>
      <c r="P84" s="50"/>
      <c r="Q84" s="50"/>
      <c r="R84" s="50"/>
      <c r="S84" s="50"/>
      <c r="T84" s="50"/>
      <c r="U84" s="50"/>
      <c r="V84" s="50"/>
      <c r="W84" s="50"/>
      <c r="X84" s="50"/>
      <c r="Y84" s="50"/>
      <c r="Z84" s="43" t="str">
        <f t="shared" si="1"/>
        <v>Очікую</v>
      </c>
      <c r="AA84" s="22"/>
      <c r="AB84" s="40"/>
    </row>
    <row r="85" spans="1:28" s="11" customFormat="1" ht="15" customHeight="1" x14ac:dyDescent="0.25">
      <c r="A85" s="41"/>
      <c r="B85" s="12"/>
      <c r="C85" s="48"/>
      <c r="D85" s="48">
        <v>76</v>
      </c>
      <c r="E85" s="49"/>
      <c r="F85" s="50"/>
      <c r="G85" s="50"/>
      <c r="H85" s="50"/>
      <c r="I85" s="50"/>
      <c r="J85" s="50"/>
      <c r="K85" s="50"/>
      <c r="L85" s="50"/>
      <c r="M85" s="50"/>
      <c r="N85" s="50"/>
      <c r="O85" s="50"/>
      <c r="P85" s="50"/>
      <c r="Q85" s="50"/>
      <c r="R85" s="50"/>
      <c r="S85" s="50"/>
      <c r="T85" s="50"/>
      <c r="U85" s="50"/>
      <c r="V85" s="50"/>
      <c r="W85" s="50"/>
      <c r="X85" s="50"/>
      <c r="Y85" s="50"/>
      <c r="Z85" s="43" t="str">
        <f t="shared" si="1"/>
        <v>Очікую</v>
      </c>
      <c r="AA85" s="22"/>
      <c r="AB85" s="40"/>
    </row>
    <row r="86" spans="1:28" s="11" customFormat="1" ht="15" customHeight="1" x14ac:dyDescent="0.25">
      <c r="A86" s="41"/>
      <c r="B86" s="12"/>
      <c r="C86" s="48"/>
      <c r="D86" s="48">
        <v>77</v>
      </c>
      <c r="E86" s="49"/>
      <c r="F86" s="50"/>
      <c r="G86" s="50"/>
      <c r="H86" s="50"/>
      <c r="I86" s="50"/>
      <c r="J86" s="50"/>
      <c r="K86" s="50"/>
      <c r="L86" s="50"/>
      <c r="M86" s="50"/>
      <c r="N86" s="50"/>
      <c r="O86" s="50"/>
      <c r="P86" s="50"/>
      <c r="Q86" s="50"/>
      <c r="R86" s="50"/>
      <c r="S86" s="50"/>
      <c r="T86" s="50"/>
      <c r="U86" s="50"/>
      <c r="V86" s="50"/>
      <c r="W86" s="50"/>
      <c r="X86" s="50"/>
      <c r="Y86" s="50"/>
      <c r="Z86" s="43" t="str">
        <f t="shared" si="1"/>
        <v>Очікую</v>
      </c>
      <c r="AA86" s="22"/>
      <c r="AB86" s="40"/>
    </row>
    <row r="87" spans="1:28" s="11" customFormat="1" ht="15" customHeight="1" x14ac:dyDescent="0.25">
      <c r="A87" s="41"/>
      <c r="B87" s="12"/>
      <c r="C87" s="48"/>
      <c r="D87" s="48">
        <v>78</v>
      </c>
      <c r="E87" s="49"/>
      <c r="F87" s="50"/>
      <c r="G87" s="50"/>
      <c r="H87" s="50"/>
      <c r="I87" s="50"/>
      <c r="J87" s="50"/>
      <c r="K87" s="50"/>
      <c r="L87" s="50"/>
      <c r="M87" s="50"/>
      <c r="N87" s="50"/>
      <c r="O87" s="50"/>
      <c r="P87" s="50"/>
      <c r="Q87" s="50"/>
      <c r="R87" s="50"/>
      <c r="S87" s="50"/>
      <c r="T87" s="50"/>
      <c r="U87" s="50"/>
      <c r="V87" s="50"/>
      <c r="W87" s="50"/>
      <c r="X87" s="50"/>
      <c r="Y87" s="50"/>
      <c r="Z87" s="43" t="str">
        <f t="shared" si="1"/>
        <v>Очікую</v>
      </c>
      <c r="AA87" s="22"/>
      <c r="AB87" s="40"/>
    </row>
    <row r="88" spans="1:28" s="11" customFormat="1" ht="15" customHeight="1" x14ac:dyDescent="0.25">
      <c r="A88" s="41"/>
      <c r="B88" s="12"/>
      <c r="C88" s="48"/>
      <c r="D88" s="48">
        <v>79</v>
      </c>
      <c r="E88" s="49"/>
      <c r="F88" s="50"/>
      <c r="G88" s="50"/>
      <c r="H88" s="50"/>
      <c r="I88" s="50"/>
      <c r="J88" s="50"/>
      <c r="K88" s="50"/>
      <c r="L88" s="50"/>
      <c r="M88" s="50"/>
      <c r="N88" s="50"/>
      <c r="O88" s="50"/>
      <c r="P88" s="50"/>
      <c r="Q88" s="50"/>
      <c r="R88" s="50"/>
      <c r="S88" s="50"/>
      <c r="T88" s="50"/>
      <c r="U88" s="50"/>
      <c r="V88" s="50"/>
      <c r="W88" s="50"/>
      <c r="X88" s="50"/>
      <c r="Y88" s="50"/>
      <c r="Z88" s="43" t="str">
        <f t="shared" si="1"/>
        <v>Очікую</v>
      </c>
      <c r="AA88" s="22"/>
      <c r="AB88" s="40"/>
    </row>
    <row r="89" spans="1:28" s="11" customFormat="1" ht="15" customHeight="1" x14ac:dyDescent="0.25">
      <c r="A89" s="41"/>
      <c r="B89" s="12"/>
      <c r="C89" s="48"/>
      <c r="D89" s="48">
        <v>80</v>
      </c>
      <c r="E89" s="49"/>
      <c r="F89" s="50"/>
      <c r="G89" s="50"/>
      <c r="H89" s="50"/>
      <c r="I89" s="50"/>
      <c r="J89" s="50"/>
      <c r="K89" s="50"/>
      <c r="L89" s="50"/>
      <c r="M89" s="50"/>
      <c r="N89" s="50"/>
      <c r="O89" s="50"/>
      <c r="P89" s="50"/>
      <c r="Q89" s="50"/>
      <c r="R89" s="50"/>
      <c r="S89" s="50"/>
      <c r="T89" s="50"/>
      <c r="U89" s="50"/>
      <c r="V89" s="50"/>
      <c r="W89" s="50"/>
      <c r="X89" s="50"/>
      <c r="Y89" s="50"/>
      <c r="Z89" s="43" t="str">
        <f t="shared" si="1"/>
        <v>Очікую</v>
      </c>
      <c r="AA89" s="22"/>
      <c r="AB89" s="40"/>
    </row>
    <row r="90" spans="1:28" s="11" customFormat="1" ht="15" customHeight="1" x14ac:dyDescent="0.25">
      <c r="A90" s="41"/>
      <c r="B90" s="12"/>
      <c r="C90" s="48"/>
      <c r="D90" s="48">
        <v>81</v>
      </c>
      <c r="E90" s="49"/>
      <c r="F90" s="50"/>
      <c r="G90" s="50"/>
      <c r="H90" s="50"/>
      <c r="I90" s="50"/>
      <c r="J90" s="50"/>
      <c r="K90" s="50"/>
      <c r="L90" s="50"/>
      <c r="M90" s="50"/>
      <c r="N90" s="50"/>
      <c r="O90" s="50"/>
      <c r="P90" s="50"/>
      <c r="Q90" s="50"/>
      <c r="R90" s="50"/>
      <c r="S90" s="50"/>
      <c r="T90" s="50"/>
      <c r="U90" s="50"/>
      <c r="V90" s="50"/>
      <c r="W90" s="50"/>
      <c r="X90" s="50"/>
      <c r="Y90" s="50"/>
      <c r="Z90" s="43" t="str">
        <f t="shared" si="1"/>
        <v>Очікую</v>
      </c>
      <c r="AA90" s="22"/>
      <c r="AB90" s="40"/>
    </row>
    <row r="91" spans="1:28" s="11" customFormat="1" ht="15" customHeight="1" x14ac:dyDescent="0.25">
      <c r="A91" s="41"/>
      <c r="B91" s="12"/>
      <c r="C91" s="48"/>
      <c r="D91" s="48">
        <v>82</v>
      </c>
      <c r="E91" s="49"/>
      <c r="F91" s="50"/>
      <c r="G91" s="50"/>
      <c r="H91" s="50"/>
      <c r="I91" s="50"/>
      <c r="J91" s="50"/>
      <c r="K91" s="50"/>
      <c r="L91" s="50"/>
      <c r="M91" s="50"/>
      <c r="N91" s="50"/>
      <c r="O91" s="50"/>
      <c r="P91" s="50"/>
      <c r="Q91" s="50"/>
      <c r="R91" s="50"/>
      <c r="S91" s="50"/>
      <c r="T91" s="50"/>
      <c r="U91" s="50"/>
      <c r="V91" s="50"/>
      <c r="W91" s="50"/>
      <c r="X91" s="50"/>
      <c r="Y91" s="50"/>
      <c r="Z91" s="43" t="str">
        <f t="shared" si="1"/>
        <v>Очікую</v>
      </c>
      <c r="AA91" s="22"/>
      <c r="AB91" s="40"/>
    </row>
    <row r="92" spans="1:28" s="11" customFormat="1" ht="15" customHeight="1" x14ac:dyDescent="0.25">
      <c r="A92" s="41"/>
      <c r="B92" s="12"/>
      <c r="C92" s="48"/>
      <c r="D92" s="48">
        <v>83</v>
      </c>
      <c r="E92" s="49"/>
      <c r="F92" s="50"/>
      <c r="G92" s="50"/>
      <c r="H92" s="50"/>
      <c r="I92" s="50"/>
      <c r="J92" s="50"/>
      <c r="K92" s="50"/>
      <c r="L92" s="50"/>
      <c r="M92" s="50"/>
      <c r="N92" s="50"/>
      <c r="O92" s="50"/>
      <c r="P92" s="50"/>
      <c r="Q92" s="50"/>
      <c r="R92" s="50"/>
      <c r="S92" s="50"/>
      <c r="T92" s="50"/>
      <c r="U92" s="50"/>
      <c r="V92" s="50"/>
      <c r="W92" s="50"/>
      <c r="X92" s="50"/>
      <c r="Y92" s="50"/>
      <c r="Z92" s="43" t="str">
        <f t="shared" si="1"/>
        <v>Очікую</v>
      </c>
      <c r="AA92" s="22"/>
      <c r="AB92" s="40"/>
    </row>
    <row r="93" spans="1:28" s="11" customFormat="1" ht="15" customHeight="1" x14ac:dyDescent="0.25">
      <c r="A93" s="41"/>
      <c r="B93" s="12"/>
      <c r="C93" s="48"/>
      <c r="D93" s="48">
        <v>84</v>
      </c>
      <c r="E93" s="49"/>
      <c r="F93" s="50"/>
      <c r="G93" s="50"/>
      <c r="H93" s="50"/>
      <c r="I93" s="50"/>
      <c r="J93" s="50"/>
      <c r="K93" s="50"/>
      <c r="L93" s="50"/>
      <c r="M93" s="50"/>
      <c r="N93" s="50"/>
      <c r="O93" s="50"/>
      <c r="P93" s="50"/>
      <c r="Q93" s="50"/>
      <c r="R93" s="50"/>
      <c r="S93" s="50"/>
      <c r="T93" s="50"/>
      <c r="U93" s="50"/>
      <c r="V93" s="50"/>
      <c r="W93" s="50"/>
      <c r="X93" s="50"/>
      <c r="Y93" s="50"/>
      <c r="Z93" s="43" t="str">
        <f t="shared" si="1"/>
        <v>Очікую</v>
      </c>
      <c r="AA93" s="22"/>
      <c r="AB93" s="40"/>
    </row>
    <row r="94" spans="1:28" s="11" customFormat="1" ht="15" customHeight="1" x14ac:dyDescent="0.25">
      <c r="A94" s="41"/>
      <c r="B94" s="12"/>
      <c r="C94" s="48"/>
      <c r="D94" s="48">
        <v>85</v>
      </c>
      <c r="E94" s="49"/>
      <c r="F94" s="50"/>
      <c r="G94" s="50"/>
      <c r="H94" s="50"/>
      <c r="I94" s="50"/>
      <c r="J94" s="50"/>
      <c r="K94" s="50"/>
      <c r="L94" s="50"/>
      <c r="M94" s="50"/>
      <c r="N94" s="50"/>
      <c r="O94" s="50"/>
      <c r="P94" s="50"/>
      <c r="Q94" s="50"/>
      <c r="R94" s="50"/>
      <c r="S94" s="50"/>
      <c r="T94" s="50"/>
      <c r="U94" s="50"/>
      <c r="V94" s="50"/>
      <c r="W94" s="50"/>
      <c r="X94" s="50"/>
      <c r="Y94" s="50"/>
      <c r="Z94" s="43" t="str">
        <f t="shared" si="1"/>
        <v>Очікую</v>
      </c>
      <c r="AA94" s="22"/>
      <c r="AB94" s="40"/>
    </row>
    <row r="95" spans="1:28" s="11" customFormat="1" ht="15" customHeight="1" x14ac:dyDescent="0.25">
      <c r="A95" s="41"/>
      <c r="B95" s="12"/>
      <c r="C95" s="48"/>
      <c r="D95" s="48">
        <v>86</v>
      </c>
      <c r="E95" s="49"/>
      <c r="F95" s="50"/>
      <c r="G95" s="50"/>
      <c r="H95" s="50"/>
      <c r="I95" s="50"/>
      <c r="J95" s="50"/>
      <c r="K95" s="50"/>
      <c r="L95" s="50"/>
      <c r="M95" s="50"/>
      <c r="N95" s="50"/>
      <c r="O95" s="50"/>
      <c r="P95" s="50"/>
      <c r="Q95" s="50"/>
      <c r="R95" s="50"/>
      <c r="S95" s="50"/>
      <c r="T95" s="50"/>
      <c r="U95" s="50"/>
      <c r="V95" s="50"/>
      <c r="W95" s="50"/>
      <c r="X95" s="50"/>
      <c r="Y95" s="50"/>
      <c r="Z95" s="43" t="str">
        <f t="shared" si="1"/>
        <v>Очікую</v>
      </c>
      <c r="AA95" s="22"/>
      <c r="AB95" s="40"/>
    </row>
    <row r="96" spans="1:28" s="11" customFormat="1" ht="15" customHeight="1" x14ac:dyDescent="0.25">
      <c r="A96" s="41"/>
      <c r="B96" s="12"/>
      <c r="C96" s="48"/>
      <c r="D96" s="48">
        <v>87</v>
      </c>
      <c r="E96" s="49"/>
      <c r="F96" s="50"/>
      <c r="G96" s="50"/>
      <c r="H96" s="50"/>
      <c r="I96" s="50"/>
      <c r="J96" s="50"/>
      <c r="K96" s="50"/>
      <c r="L96" s="50"/>
      <c r="M96" s="50"/>
      <c r="N96" s="50"/>
      <c r="O96" s="50"/>
      <c r="P96" s="50"/>
      <c r="Q96" s="50"/>
      <c r="R96" s="50"/>
      <c r="S96" s="50"/>
      <c r="T96" s="50"/>
      <c r="U96" s="50"/>
      <c r="V96" s="50"/>
      <c r="W96" s="50"/>
      <c r="X96" s="50"/>
      <c r="Y96" s="50"/>
      <c r="Z96" s="43" t="str">
        <f t="shared" si="1"/>
        <v>Очікую</v>
      </c>
      <c r="AA96" s="22"/>
      <c r="AB96" s="40"/>
    </row>
    <row r="97" spans="1:28" s="11" customFormat="1" ht="15" customHeight="1" x14ac:dyDescent="0.25">
      <c r="A97" s="41"/>
      <c r="B97" s="12"/>
      <c r="C97" s="48"/>
      <c r="D97" s="48">
        <v>88</v>
      </c>
      <c r="E97" s="49"/>
      <c r="F97" s="50"/>
      <c r="G97" s="50"/>
      <c r="H97" s="50"/>
      <c r="I97" s="50"/>
      <c r="J97" s="50"/>
      <c r="K97" s="50"/>
      <c r="L97" s="50"/>
      <c r="M97" s="50"/>
      <c r="N97" s="50"/>
      <c r="O97" s="50"/>
      <c r="P97" s="50"/>
      <c r="Q97" s="50"/>
      <c r="R97" s="50"/>
      <c r="S97" s="50"/>
      <c r="T97" s="50"/>
      <c r="U97" s="50"/>
      <c r="V97" s="50"/>
      <c r="W97" s="50"/>
      <c r="X97" s="50"/>
      <c r="Y97" s="50"/>
      <c r="Z97" s="43" t="str">
        <f t="shared" si="1"/>
        <v>Очікую</v>
      </c>
      <c r="AA97" s="22"/>
      <c r="AB97" s="40"/>
    </row>
    <row r="98" spans="1:28" s="11" customFormat="1" ht="15" customHeight="1" x14ac:dyDescent="0.25">
      <c r="A98" s="41"/>
      <c r="B98" s="12"/>
      <c r="C98" s="48"/>
      <c r="D98" s="48">
        <v>89</v>
      </c>
      <c r="E98" s="49"/>
      <c r="F98" s="50"/>
      <c r="G98" s="50"/>
      <c r="H98" s="50"/>
      <c r="I98" s="50"/>
      <c r="J98" s="50"/>
      <c r="K98" s="50"/>
      <c r="L98" s="50"/>
      <c r="M98" s="50"/>
      <c r="N98" s="50"/>
      <c r="O98" s="50"/>
      <c r="P98" s="50"/>
      <c r="Q98" s="50"/>
      <c r="R98" s="50"/>
      <c r="S98" s="50"/>
      <c r="T98" s="50"/>
      <c r="U98" s="50"/>
      <c r="V98" s="50"/>
      <c r="W98" s="50"/>
      <c r="X98" s="50"/>
      <c r="Y98" s="50"/>
      <c r="Z98" s="43" t="str">
        <f t="shared" si="1"/>
        <v>Очікую</v>
      </c>
      <c r="AA98" s="22"/>
      <c r="AB98" s="40"/>
    </row>
    <row r="99" spans="1:28" s="11" customFormat="1" ht="15" customHeight="1" x14ac:dyDescent="0.25">
      <c r="A99" s="41"/>
      <c r="B99" s="12"/>
      <c r="C99" s="48"/>
      <c r="D99" s="48">
        <v>90</v>
      </c>
      <c r="E99" s="49"/>
      <c r="F99" s="50"/>
      <c r="G99" s="50"/>
      <c r="H99" s="50"/>
      <c r="I99" s="50"/>
      <c r="J99" s="50"/>
      <c r="K99" s="50"/>
      <c r="L99" s="50"/>
      <c r="M99" s="50"/>
      <c r="N99" s="50"/>
      <c r="O99" s="50"/>
      <c r="P99" s="50"/>
      <c r="Q99" s="50"/>
      <c r="R99" s="50"/>
      <c r="S99" s="50"/>
      <c r="T99" s="50"/>
      <c r="U99" s="50"/>
      <c r="V99" s="50"/>
      <c r="W99" s="50"/>
      <c r="X99" s="50"/>
      <c r="Y99" s="50"/>
      <c r="Z99" s="43" t="str">
        <f t="shared" si="1"/>
        <v>Очікую</v>
      </c>
      <c r="AA99" s="22"/>
      <c r="AB99" s="40"/>
    </row>
    <row r="100" spans="1:28" s="11" customFormat="1" ht="15" customHeight="1" x14ac:dyDescent="0.25">
      <c r="A100" s="41"/>
      <c r="B100" s="12"/>
      <c r="C100" s="48"/>
      <c r="D100" s="48">
        <v>91</v>
      </c>
      <c r="E100" s="49"/>
      <c r="F100" s="50"/>
      <c r="G100" s="50"/>
      <c r="H100" s="50"/>
      <c r="I100" s="50"/>
      <c r="J100" s="50"/>
      <c r="K100" s="50"/>
      <c r="L100" s="50"/>
      <c r="M100" s="50"/>
      <c r="N100" s="50"/>
      <c r="O100" s="50"/>
      <c r="P100" s="50"/>
      <c r="Q100" s="50"/>
      <c r="R100" s="50"/>
      <c r="S100" s="50"/>
      <c r="T100" s="50"/>
      <c r="U100" s="50"/>
      <c r="V100" s="50"/>
      <c r="W100" s="50"/>
      <c r="X100" s="50"/>
      <c r="Y100" s="50"/>
      <c r="Z100" s="43" t="str">
        <f t="shared" si="1"/>
        <v>Очікую</v>
      </c>
      <c r="AA100" s="22"/>
      <c r="AB100" s="40"/>
    </row>
    <row r="101" spans="1:28" s="11" customFormat="1" ht="15" customHeight="1" x14ac:dyDescent="0.25">
      <c r="A101" s="41"/>
      <c r="B101" s="12"/>
      <c r="C101" s="48"/>
      <c r="D101" s="48">
        <v>92</v>
      </c>
      <c r="E101" s="49"/>
      <c r="F101" s="50"/>
      <c r="G101" s="50"/>
      <c r="H101" s="50"/>
      <c r="I101" s="50"/>
      <c r="J101" s="50"/>
      <c r="K101" s="50"/>
      <c r="L101" s="50"/>
      <c r="M101" s="50"/>
      <c r="N101" s="50"/>
      <c r="O101" s="50"/>
      <c r="P101" s="50"/>
      <c r="Q101" s="50"/>
      <c r="R101" s="50"/>
      <c r="S101" s="50"/>
      <c r="T101" s="50"/>
      <c r="U101" s="50"/>
      <c r="V101" s="50"/>
      <c r="W101" s="50"/>
      <c r="X101" s="50"/>
      <c r="Y101" s="50"/>
      <c r="Z101" s="43" t="str">
        <f t="shared" si="1"/>
        <v>Очікую</v>
      </c>
      <c r="AA101" s="22"/>
      <c r="AB101" s="40"/>
    </row>
    <row r="102" spans="1:28" s="11" customFormat="1" ht="15" customHeight="1" x14ac:dyDescent="0.25">
      <c r="A102" s="41"/>
      <c r="B102" s="12"/>
      <c r="C102" s="48"/>
      <c r="D102" s="48">
        <v>93</v>
      </c>
      <c r="E102" s="49"/>
      <c r="F102" s="50"/>
      <c r="G102" s="50"/>
      <c r="H102" s="50"/>
      <c r="I102" s="50"/>
      <c r="J102" s="50"/>
      <c r="K102" s="50"/>
      <c r="L102" s="50"/>
      <c r="M102" s="50"/>
      <c r="N102" s="50"/>
      <c r="O102" s="50"/>
      <c r="P102" s="50"/>
      <c r="Q102" s="50"/>
      <c r="R102" s="50"/>
      <c r="S102" s="50"/>
      <c r="T102" s="50"/>
      <c r="U102" s="50"/>
      <c r="V102" s="50"/>
      <c r="W102" s="50"/>
      <c r="X102" s="50"/>
      <c r="Y102" s="50"/>
      <c r="Z102" s="43" t="str">
        <f t="shared" si="1"/>
        <v>Очікую</v>
      </c>
      <c r="AA102" s="22"/>
      <c r="AB102" s="40"/>
    </row>
    <row r="103" spans="1:28" s="11" customFormat="1" ht="15" customHeight="1" x14ac:dyDescent="0.25">
      <c r="A103" s="41"/>
      <c r="B103" s="12"/>
      <c r="C103" s="48"/>
      <c r="D103" s="48">
        <v>94</v>
      </c>
      <c r="E103" s="49"/>
      <c r="F103" s="50"/>
      <c r="G103" s="50"/>
      <c r="H103" s="50"/>
      <c r="I103" s="50"/>
      <c r="J103" s="50"/>
      <c r="K103" s="50"/>
      <c r="L103" s="50"/>
      <c r="M103" s="50"/>
      <c r="N103" s="50"/>
      <c r="O103" s="50"/>
      <c r="P103" s="50"/>
      <c r="Q103" s="50"/>
      <c r="R103" s="50"/>
      <c r="S103" s="50"/>
      <c r="T103" s="50"/>
      <c r="U103" s="50"/>
      <c r="V103" s="50"/>
      <c r="W103" s="50"/>
      <c r="X103" s="50"/>
      <c r="Y103" s="50"/>
      <c r="Z103" s="43" t="str">
        <f t="shared" si="1"/>
        <v>Очікую</v>
      </c>
      <c r="AA103" s="22"/>
      <c r="AB103" s="40"/>
    </row>
    <row r="104" spans="1:28" s="11" customFormat="1" ht="15" customHeight="1" x14ac:dyDescent="0.25">
      <c r="A104" s="41"/>
      <c r="B104" s="12"/>
      <c r="C104" s="48"/>
      <c r="D104" s="48">
        <v>95</v>
      </c>
      <c r="E104" s="49"/>
      <c r="F104" s="50"/>
      <c r="G104" s="50"/>
      <c r="H104" s="50"/>
      <c r="I104" s="50"/>
      <c r="J104" s="50"/>
      <c r="K104" s="50"/>
      <c r="L104" s="50"/>
      <c r="M104" s="50"/>
      <c r="N104" s="50"/>
      <c r="O104" s="50"/>
      <c r="P104" s="50"/>
      <c r="Q104" s="50"/>
      <c r="R104" s="50"/>
      <c r="S104" s="50"/>
      <c r="T104" s="50"/>
      <c r="U104" s="50"/>
      <c r="V104" s="50"/>
      <c r="W104" s="50"/>
      <c r="X104" s="50"/>
      <c r="Y104" s="50"/>
      <c r="Z104" s="43" t="str">
        <f t="shared" si="1"/>
        <v>Очікую</v>
      </c>
      <c r="AA104" s="22"/>
      <c r="AB104" s="40"/>
    </row>
    <row r="105" spans="1:28" s="11" customFormat="1" ht="15" customHeight="1" x14ac:dyDescent="0.25">
      <c r="A105" s="41"/>
      <c r="B105" s="12"/>
      <c r="C105" s="48"/>
      <c r="D105" s="48">
        <v>96</v>
      </c>
      <c r="E105" s="49"/>
      <c r="F105" s="50"/>
      <c r="G105" s="50"/>
      <c r="H105" s="50"/>
      <c r="I105" s="50"/>
      <c r="J105" s="50"/>
      <c r="K105" s="50"/>
      <c r="L105" s="50"/>
      <c r="M105" s="50"/>
      <c r="N105" s="50"/>
      <c r="O105" s="50"/>
      <c r="P105" s="50"/>
      <c r="Q105" s="50"/>
      <c r="R105" s="50"/>
      <c r="S105" s="50"/>
      <c r="T105" s="50"/>
      <c r="U105" s="50"/>
      <c r="V105" s="50"/>
      <c r="W105" s="50"/>
      <c r="X105" s="50"/>
      <c r="Y105" s="50"/>
      <c r="Z105" s="43" t="str">
        <f t="shared" si="1"/>
        <v>Очікую</v>
      </c>
      <c r="AA105" s="22"/>
      <c r="AB105" s="40"/>
    </row>
    <row r="106" spans="1:28" s="11" customFormat="1" ht="15" customHeight="1" x14ac:dyDescent="0.25">
      <c r="A106" s="41"/>
      <c r="B106" s="12"/>
      <c r="C106" s="48"/>
      <c r="D106" s="48">
        <v>97</v>
      </c>
      <c r="E106" s="49"/>
      <c r="F106" s="50"/>
      <c r="G106" s="50"/>
      <c r="H106" s="50"/>
      <c r="I106" s="50"/>
      <c r="J106" s="50"/>
      <c r="K106" s="50"/>
      <c r="L106" s="50"/>
      <c r="M106" s="50"/>
      <c r="N106" s="50"/>
      <c r="O106" s="50"/>
      <c r="P106" s="50"/>
      <c r="Q106" s="50"/>
      <c r="R106" s="50"/>
      <c r="S106" s="50"/>
      <c r="T106" s="50"/>
      <c r="U106" s="50"/>
      <c r="V106" s="50"/>
      <c r="W106" s="50"/>
      <c r="X106" s="50"/>
      <c r="Y106" s="50"/>
      <c r="Z106" s="43" t="str">
        <f t="shared" si="1"/>
        <v>Очікую</v>
      </c>
      <c r="AA106" s="22"/>
      <c r="AB106" s="40"/>
    </row>
    <row r="107" spans="1:28" s="11" customFormat="1" ht="15" customHeight="1" x14ac:dyDescent="0.25">
      <c r="A107" s="41"/>
      <c r="B107" s="12"/>
      <c r="C107" s="48"/>
      <c r="D107" s="48">
        <v>98</v>
      </c>
      <c r="E107" s="49"/>
      <c r="F107" s="50"/>
      <c r="G107" s="50"/>
      <c r="H107" s="50"/>
      <c r="I107" s="50"/>
      <c r="J107" s="50"/>
      <c r="K107" s="50"/>
      <c r="L107" s="50"/>
      <c r="M107" s="50"/>
      <c r="N107" s="50"/>
      <c r="O107" s="50"/>
      <c r="P107" s="50"/>
      <c r="Q107" s="50"/>
      <c r="R107" s="50"/>
      <c r="S107" s="50"/>
      <c r="T107" s="50"/>
      <c r="U107" s="50"/>
      <c r="V107" s="50"/>
      <c r="W107" s="50"/>
      <c r="X107" s="50"/>
      <c r="Y107" s="50"/>
      <c r="Z107" s="43" t="str">
        <f t="shared" si="1"/>
        <v>Очікую</v>
      </c>
      <c r="AA107" s="22"/>
      <c r="AB107" s="40"/>
    </row>
    <row r="108" spans="1:28" s="11" customFormat="1" ht="15" customHeight="1" x14ac:dyDescent="0.25">
      <c r="A108" s="41"/>
      <c r="B108" s="12"/>
      <c r="C108" s="48"/>
      <c r="D108" s="48">
        <v>99</v>
      </c>
      <c r="E108" s="49"/>
      <c r="F108" s="50"/>
      <c r="G108" s="50"/>
      <c r="H108" s="50"/>
      <c r="I108" s="50"/>
      <c r="J108" s="50"/>
      <c r="K108" s="50"/>
      <c r="L108" s="50"/>
      <c r="M108" s="50"/>
      <c r="N108" s="50"/>
      <c r="O108" s="50"/>
      <c r="P108" s="50"/>
      <c r="Q108" s="50"/>
      <c r="R108" s="50"/>
      <c r="S108" s="50"/>
      <c r="T108" s="50"/>
      <c r="U108" s="50"/>
      <c r="V108" s="50"/>
      <c r="W108" s="50"/>
      <c r="X108" s="50"/>
      <c r="Y108" s="50"/>
      <c r="Z108" s="43" t="str">
        <f t="shared" si="1"/>
        <v>Очікую</v>
      </c>
      <c r="AA108" s="22"/>
      <c r="AB108" s="40"/>
    </row>
    <row r="109" spans="1:28" s="11" customFormat="1" ht="15" customHeight="1" x14ac:dyDescent="0.25">
      <c r="A109" s="41"/>
      <c r="B109" s="12"/>
      <c r="C109" s="48"/>
      <c r="D109" s="48">
        <v>100</v>
      </c>
      <c r="E109" s="49"/>
      <c r="F109" s="50"/>
      <c r="G109" s="50"/>
      <c r="H109" s="50"/>
      <c r="I109" s="50"/>
      <c r="J109" s="50"/>
      <c r="K109" s="50"/>
      <c r="L109" s="50"/>
      <c r="M109" s="50"/>
      <c r="N109" s="50"/>
      <c r="O109" s="50"/>
      <c r="P109" s="50"/>
      <c r="Q109" s="50"/>
      <c r="R109" s="50"/>
      <c r="S109" s="50"/>
      <c r="T109" s="50"/>
      <c r="U109" s="50"/>
      <c r="V109" s="50"/>
      <c r="W109" s="50"/>
      <c r="X109" s="50"/>
      <c r="Y109" s="50"/>
      <c r="Z109" s="43" t="str">
        <f t="shared" si="1"/>
        <v>Очікую</v>
      </c>
      <c r="AA109" s="22"/>
      <c r="AB109" s="40"/>
    </row>
    <row r="110" spans="1:28" ht="15" customHeight="1" x14ac:dyDescent="0.25">
      <c r="A110" s="41"/>
      <c r="B110" s="12"/>
      <c r="C110" s="6"/>
      <c r="D110" s="6"/>
      <c r="E110" s="7" t="s">
        <v>4</v>
      </c>
      <c r="F110" s="8" t="str">
        <f>IF(SUM(F10:F109)=0,IF(COUNTA(F10:F109)=0,"Очікую",0),SUM(F10:F109)/$D109)</f>
        <v>Очікую</v>
      </c>
      <c r="G110" s="8" t="str">
        <f t="shared" ref="G110:Y110" si="2">IF(SUM(G10:G109)=0,IF(COUNTA(G10:G109)=0,"Очікую",0),SUM(G10:G109)/$D109)</f>
        <v>Очікую</v>
      </c>
      <c r="H110" s="8" t="str">
        <f t="shared" si="2"/>
        <v>Очікую</v>
      </c>
      <c r="I110" s="8" t="str">
        <f t="shared" si="2"/>
        <v>Очікую</v>
      </c>
      <c r="J110" s="8" t="str">
        <f t="shared" si="2"/>
        <v>Очікую</v>
      </c>
      <c r="K110" s="8" t="str">
        <f t="shared" si="2"/>
        <v>Очікую</v>
      </c>
      <c r="L110" s="8" t="str">
        <f t="shared" si="2"/>
        <v>Очікую</v>
      </c>
      <c r="M110" s="8" t="str">
        <f t="shared" si="2"/>
        <v>Очікую</v>
      </c>
      <c r="N110" s="8" t="str">
        <f t="shared" si="2"/>
        <v>Очікую</v>
      </c>
      <c r="O110" s="8" t="str">
        <f t="shared" si="2"/>
        <v>Очікую</v>
      </c>
      <c r="P110" s="8" t="str">
        <f t="shared" si="2"/>
        <v>Очікую</v>
      </c>
      <c r="Q110" s="8" t="str">
        <f t="shared" si="2"/>
        <v>Очікую</v>
      </c>
      <c r="R110" s="8" t="str">
        <f t="shared" si="2"/>
        <v>Очікую</v>
      </c>
      <c r="S110" s="8" t="str">
        <f t="shared" si="2"/>
        <v>Очікую</v>
      </c>
      <c r="T110" s="8" t="str">
        <f t="shared" si="2"/>
        <v>Очікую</v>
      </c>
      <c r="U110" s="8" t="str">
        <f t="shared" si="2"/>
        <v>Очікую</v>
      </c>
      <c r="V110" s="8" t="str">
        <f t="shared" si="2"/>
        <v>Очікую</v>
      </c>
      <c r="W110" s="8" t="str">
        <f t="shared" si="2"/>
        <v>Очікую</v>
      </c>
      <c r="X110" s="8" t="str">
        <f t="shared" si="2"/>
        <v>Очікую</v>
      </c>
      <c r="Y110" s="8" t="str">
        <f t="shared" si="2"/>
        <v>Очікую</v>
      </c>
      <c r="Z110" s="9" t="str">
        <f>IFERROR(AVERAGE(F110:Y110),"Очікую")</f>
        <v>Очікую</v>
      </c>
      <c r="AA110" s="20"/>
      <c r="AB110" s="40"/>
    </row>
    <row r="111" spans="1:28" ht="15" customHeight="1" x14ac:dyDescent="0.25">
      <c r="A111" s="41"/>
      <c r="B111" s="12"/>
      <c r="C111" s="6"/>
      <c r="D111" s="6"/>
      <c r="E111" s="7" t="s">
        <v>5</v>
      </c>
      <c r="F111" s="44" t="str">
        <f>IF(SUM(F10:F109)=0,IF(COUNTA(F10:F109)=0,"Очікую",0),IF(COUNTIF(F10:F109,"&gt;=4")=0,0,COUNTIF(F10:F109,"&gt;=4")/$D109*100))</f>
        <v>Очікую</v>
      </c>
      <c r="G111" s="44" t="str">
        <f t="shared" ref="G111:Y111" si="3">IF(SUM(G10:G109)=0,IF(COUNTA(G10:G109)=0,"Очікую",0),IF(COUNTIF(G10:G109,"&gt;=4")=0,0,COUNTIF(G10:G109,"&gt;=4")/$D109*100))</f>
        <v>Очікую</v>
      </c>
      <c r="H111" s="44" t="str">
        <f t="shared" si="3"/>
        <v>Очікую</v>
      </c>
      <c r="I111" s="44" t="str">
        <f t="shared" si="3"/>
        <v>Очікую</v>
      </c>
      <c r="J111" s="44" t="str">
        <f t="shared" si="3"/>
        <v>Очікую</v>
      </c>
      <c r="K111" s="44" t="str">
        <f t="shared" si="3"/>
        <v>Очікую</v>
      </c>
      <c r="L111" s="44" t="str">
        <f t="shared" si="3"/>
        <v>Очікую</v>
      </c>
      <c r="M111" s="44" t="str">
        <f t="shared" si="3"/>
        <v>Очікую</v>
      </c>
      <c r="N111" s="44" t="str">
        <f t="shared" si="3"/>
        <v>Очікую</v>
      </c>
      <c r="O111" s="44" t="str">
        <f t="shared" si="3"/>
        <v>Очікую</v>
      </c>
      <c r="P111" s="44" t="str">
        <f t="shared" si="3"/>
        <v>Очікую</v>
      </c>
      <c r="Q111" s="44" t="str">
        <f t="shared" si="3"/>
        <v>Очікую</v>
      </c>
      <c r="R111" s="44" t="str">
        <f t="shared" si="3"/>
        <v>Очікую</v>
      </c>
      <c r="S111" s="44" t="str">
        <f t="shared" si="3"/>
        <v>Очікую</v>
      </c>
      <c r="T111" s="44" t="str">
        <f t="shared" si="3"/>
        <v>Очікую</v>
      </c>
      <c r="U111" s="44" t="str">
        <f t="shared" si="3"/>
        <v>Очікую</v>
      </c>
      <c r="V111" s="44" t="str">
        <f t="shared" si="3"/>
        <v>Очікую</v>
      </c>
      <c r="W111" s="44" t="str">
        <f t="shared" si="3"/>
        <v>Очікую</v>
      </c>
      <c r="X111" s="44" t="str">
        <f t="shared" si="3"/>
        <v>Очікую</v>
      </c>
      <c r="Y111" s="44" t="str">
        <f t="shared" si="3"/>
        <v>Очікую</v>
      </c>
      <c r="Z111" s="6"/>
      <c r="AA111" s="20"/>
      <c r="AB111" s="40"/>
    </row>
    <row r="112" spans="1:28" ht="15" customHeight="1" x14ac:dyDescent="0.25">
      <c r="A112" s="41"/>
      <c r="B112" s="12"/>
      <c r="C112" s="6"/>
      <c r="D112" s="6"/>
      <c r="E112" s="7" t="s">
        <v>6</v>
      </c>
      <c r="F112" s="44" t="str">
        <f>IF(SUM(F10:F109)=0,IF(COUNTA(F10:F109)=0,"Очікую",0),IF(COUNTIF(F10:F109,"&gt;=7")=0,0,COUNTIF(F10:F109,"&gt;=7")/$D109*100))</f>
        <v>Очікую</v>
      </c>
      <c r="G112" s="44" t="str">
        <f t="shared" ref="G112:Y112" si="4">IF(SUM(G10:G109)=0,IF(COUNTA(G10:G109)=0,"Очікую",0),IF(COUNTIF(G10:G109,"&gt;=7")=0,0,COUNTIF(G10:G109,"&gt;=7")/$D109*100))</f>
        <v>Очікую</v>
      </c>
      <c r="H112" s="44" t="str">
        <f t="shared" si="4"/>
        <v>Очікую</v>
      </c>
      <c r="I112" s="44" t="str">
        <f t="shared" si="4"/>
        <v>Очікую</v>
      </c>
      <c r="J112" s="44" t="str">
        <f t="shared" si="4"/>
        <v>Очікую</v>
      </c>
      <c r="K112" s="44" t="str">
        <f t="shared" si="4"/>
        <v>Очікую</v>
      </c>
      <c r="L112" s="44" t="str">
        <f t="shared" si="4"/>
        <v>Очікую</v>
      </c>
      <c r="M112" s="44" t="str">
        <f>IF(SUM(M10:M109)=0,IF(COUNTA(M10:M109)=0,"Очікую",0),IF(COUNTIF(M10:M109,"&gt;=7")=0,0,COUNTIF(M10:M109,"&gt;=7")/$D109*100))</f>
        <v>Очікую</v>
      </c>
      <c r="N112" s="44" t="str">
        <f t="shared" si="4"/>
        <v>Очікую</v>
      </c>
      <c r="O112" s="44" t="str">
        <f t="shared" si="4"/>
        <v>Очікую</v>
      </c>
      <c r="P112" s="44" t="str">
        <f t="shared" si="4"/>
        <v>Очікую</v>
      </c>
      <c r="Q112" s="44" t="str">
        <f t="shared" si="4"/>
        <v>Очікую</v>
      </c>
      <c r="R112" s="44" t="str">
        <f t="shared" si="4"/>
        <v>Очікую</v>
      </c>
      <c r="S112" s="44" t="str">
        <f t="shared" si="4"/>
        <v>Очікую</v>
      </c>
      <c r="T112" s="44" t="str">
        <f t="shared" si="4"/>
        <v>Очікую</v>
      </c>
      <c r="U112" s="44" t="str">
        <f t="shared" si="4"/>
        <v>Очікую</v>
      </c>
      <c r="V112" s="44" t="str">
        <f t="shared" si="4"/>
        <v>Очікую</v>
      </c>
      <c r="W112" s="44" t="str">
        <f t="shared" si="4"/>
        <v>Очікую</v>
      </c>
      <c r="X112" s="44" t="str">
        <f t="shared" si="4"/>
        <v>Очікую</v>
      </c>
      <c r="Y112" s="44" t="str">
        <f t="shared" si="4"/>
        <v>Очікую</v>
      </c>
      <c r="Z112" s="6"/>
      <c r="AA112" s="20"/>
      <c r="AB112" s="40"/>
    </row>
    <row r="113" spans="1:28" ht="15" customHeight="1" x14ac:dyDescent="0.25">
      <c r="A113" s="41"/>
      <c r="B113" s="12"/>
      <c r="C113" s="6"/>
      <c r="D113" s="6"/>
      <c r="E113" s="7" t="s">
        <v>7</v>
      </c>
      <c r="F113" s="8" t="str">
        <f>IFERROR(AVERAGE(F111:Y111),"Очікую")</f>
        <v>Очікую</v>
      </c>
      <c r="G113" s="6"/>
      <c r="H113" s="6"/>
      <c r="I113" s="6"/>
      <c r="J113" s="6"/>
      <c r="K113" s="6"/>
      <c r="L113" s="6"/>
      <c r="M113" s="6"/>
      <c r="N113" s="6"/>
      <c r="O113" s="6"/>
      <c r="P113" s="6"/>
      <c r="Q113" s="6"/>
      <c r="R113" s="6"/>
      <c r="S113" s="6"/>
      <c r="T113" s="6"/>
      <c r="U113" s="6"/>
      <c r="V113" s="6"/>
      <c r="W113" s="6"/>
      <c r="X113" s="6"/>
      <c r="Y113" s="6"/>
      <c r="Z113" s="6"/>
      <c r="AA113" s="20"/>
      <c r="AB113" s="40"/>
    </row>
    <row r="114" spans="1:28" ht="15" customHeight="1" x14ac:dyDescent="0.25">
      <c r="A114" s="41"/>
      <c r="B114" s="12"/>
      <c r="C114" s="6"/>
      <c r="D114" s="6"/>
      <c r="E114" s="7" t="s">
        <v>8</v>
      </c>
      <c r="F114" s="8" t="str">
        <f>IFERROR(AVERAGE(F112:Y112),"Очікую")</f>
        <v>Очікую</v>
      </c>
      <c r="G114" s="6"/>
      <c r="H114" s="6"/>
      <c r="I114" s="6"/>
      <c r="J114" s="6"/>
      <c r="K114" s="6"/>
      <c r="L114" s="6"/>
      <c r="M114" s="6"/>
      <c r="N114" s="6"/>
      <c r="O114" s="6"/>
      <c r="P114" s="6"/>
      <c r="Q114" s="6"/>
      <c r="R114" s="6"/>
      <c r="S114" s="6"/>
      <c r="T114" s="6"/>
      <c r="U114" s="6"/>
      <c r="V114" s="6"/>
      <c r="W114" s="6"/>
      <c r="X114" s="6"/>
      <c r="Y114" s="6"/>
      <c r="Z114" s="6"/>
      <c r="AA114" s="20"/>
      <c r="AB114" s="40"/>
    </row>
    <row r="115" spans="1:28" ht="15" customHeight="1" x14ac:dyDescent="0.25">
      <c r="A115" s="41"/>
      <c r="B115" s="12"/>
      <c r="C115" s="6"/>
      <c r="D115" s="6"/>
      <c r="E115" s="7" t="s">
        <v>9</v>
      </c>
      <c r="F115" s="5" t="str">
        <f>IF(COUNTIF(C10:C109,"=Б")=0,IF(COUNTIF(C10:C109,"=К")=0,"Очікую",0),COUNTIF(C10:C109,"=Б"))</f>
        <v>Очікую</v>
      </c>
      <c r="G115" s="6"/>
      <c r="H115" s="6"/>
      <c r="I115" s="6"/>
      <c r="J115" s="6"/>
      <c r="K115" s="6"/>
      <c r="L115" s="6"/>
      <c r="M115" s="6"/>
      <c r="N115" s="6"/>
      <c r="O115" s="6"/>
      <c r="P115" s="6"/>
      <c r="Q115" s="6"/>
      <c r="R115" s="6"/>
      <c r="S115" s="6"/>
      <c r="T115" s="6"/>
      <c r="U115" s="6"/>
      <c r="V115" s="6"/>
      <c r="W115" s="60"/>
      <c r="X115" s="60"/>
      <c r="Y115" s="60"/>
      <c r="Z115" s="60"/>
      <c r="AA115" s="20"/>
      <c r="AB115" s="40"/>
    </row>
    <row r="116" spans="1:28" ht="15" customHeight="1" x14ac:dyDescent="0.3">
      <c r="A116" s="41"/>
      <c r="B116" s="12"/>
      <c r="C116" s="6"/>
      <c r="D116" s="6"/>
      <c r="E116" s="7" t="s">
        <v>10</v>
      </c>
      <c r="F116" s="5" t="str">
        <f>IF(COUNTIF(C10:C109,"=К")=0,IF(COUNTIF(C10:C109,"=Б")=0,"Очікую",0),COUNTIF(C10:C109,"=К"))</f>
        <v>Очікую</v>
      </c>
      <c r="G116" s="6"/>
      <c r="H116" s="63" t="s">
        <v>11</v>
      </c>
      <c r="I116" s="6"/>
      <c r="J116" s="6"/>
      <c r="K116" s="6"/>
      <c r="L116" s="6"/>
      <c r="M116" s="6"/>
      <c r="N116" s="63"/>
      <c r="O116" s="63"/>
      <c r="P116" s="63"/>
      <c r="Q116" s="63"/>
      <c r="R116" s="6"/>
      <c r="S116" s="6"/>
      <c r="T116" s="6"/>
      <c r="U116" s="64"/>
      <c r="V116" s="62"/>
      <c r="W116" s="62"/>
      <c r="X116" s="62"/>
      <c r="Y116" s="62"/>
      <c r="Z116" s="62"/>
      <c r="AA116" s="20"/>
      <c r="AB116" s="40"/>
    </row>
    <row r="117" spans="1:28" ht="15" customHeight="1" x14ac:dyDescent="0.25">
      <c r="A117" s="41"/>
      <c r="B117" s="12"/>
      <c r="C117" s="6"/>
      <c r="D117" s="6"/>
      <c r="E117" s="7" t="s">
        <v>12</v>
      </c>
      <c r="F117" s="4"/>
      <c r="G117" s="6"/>
      <c r="H117" s="63"/>
      <c r="I117" s="6"/>
      <c r="J117" s="6"/>
      <c r="K117" s="6"/>
      <c r="L117" s="6"/>
      <c r="M117" s="6"/>
      <c r="N117" s="63"/>
      <c r="O117" s="63"/>
      <c r="P117" s="63"/>
      <c r="Q117" s="63"/>
      <c r="R117" s="6"/>
      <c r="S117" s="6"/>
      <c r="T117" s="6"/>
      <c r="U117" s="64"/>
      <c r="V117" s="60"/>
      <c r="W117" s="60"/>
      <c r="X117" s="60"/>
      <c r="Y117" s="60"/>
      <c r="Z117" s="60"/>
      <c r="AA117" s="20"/>
      <c r="AB117" s="40"/>
    </row>
    <row r="118" spans="1:28" ht="15" customHeight="1" x14ac:dyDescent="0.3">
      <c r="A118" s="41"/>
      <c r="B118" s="12"/>
      <c r="C118" s="6"/>
      <c r="D118" s="6"/>
      <c r="E118" s="7" t="s">
        <v>13</v>
      </c>
      <c r="F118" s="5" t="str">
        <f>IF(F115="Очікую","Очікую",IF(F115-COUNTIF(Z10:Z109," - ")&lt;ROUNDDOWN(F115*0.4,0),F115-COUNTIF(Z10:Z109," - "),ROUNDDOWN(F115*0.4,0)))</f>
        <v>Очікую</v>
      </c>
      <c r="G118" s="6"/>
      <c r="H118" s="64" t="s">
        <v>14</v>
      </c>
      <c r="I118" s="6"/>
      <c r="J118" s="6"/>
      <c r="K118" s="6"/>
      <c r="L118" s="6"/>
      <c r="M118" s="6"/>
      <c r="N118" s="64"/>
      <c r="O118" s="64"/>
      <c r="P118" s="64"/>
      <c r="Q118" s="64"/>
      <c r="R118" s="6"/>
      <c r="S118" s="6"/>
      <c r="T118" s="6"/>
      <c r="U118" s="64"/>
      <c r="V118" s="62"/>
      <c r="W118" s="62"/>
      <c r="X118" s="62"/>
      <c r="Y118" s="62"/>
      <c r="Z118" s="62"/>
      <c r="AA118" s="20"/>
      <c r="AB118" s="40"/>
    </row>
    <row r="119" spans="1:28" ht="12" customHeight="1" thickBot="1" x14ac:dyDescent="0.3">
      <c r="A119" s="41"/>
      <c r="B119" s="21"/>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5"/>
      <c r="AB119" s="40"/>
    </row>
    <row r="120" spans="1:28" ht="12" customHeight="1" x14ac:dyDescent="0.25">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c r="AA120" s="39"/>
      <c r="AB120" s="40"/>
    </row>
  </sheetData>
  <sheetProtection insertRows="0" deleteRows="0"/>
  <sortState xmlns:xlrd2="http://schemas.microsoft.com/office/spreadsheetml/2017/richdata2" ref="E10:E110">
    <sortCondition ref="E10"/>
  </sortState>
  <mergeCells count="10">
    <mergeCell ref="C3:Z3"/>
    <mergeCell ref="C8:C9"/>
    <mergeCell ref="D8:D9"/>
    <mergeCell ref="E8:E9"/>
    <mergeCell ref="C4:Z4"/>
    <mergeCell ref="F8:Y8"/>
    <mergeCell ref="Z8:Z9"/>
    <mergeCell ref="C7:Z7"/>
    <mergeCell ref="C6:Z6"/>
    <mergeCell ref="C5:Z5"/>
  </mergeCells>
  <printOptions horizontalCentered="1"/>
  <pageMargins left="0.19685039370078741" right="0.19685039370078741" top="0.19685039370078741" bottom="0.19685039370078741" header="0" footer="0"/>
  <pageSetup paperSize="9" scale="3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70C0"/>
    <pageSetUpPr fitToPage="1"/>
  </sheetPr>
  <dimension ref="A1:BP120"/>
  <sheetViews>
    <sheetView zoomScaleNormal="100" workbookViewId="0"/>
  </sheetViews>
  <sheetFormatPr defaultColWidth="0" defaultRowHeight="0" customHeight="1" zeroHeight="1" x14ac:dyDescent="0.25"/>
  <cols>
    <col min="1" max="2" width="2.7109375" style="1" customWidth="1"/>
    <col min="3" max="3" width="4.140625" style="1" customWidth="1"/>
    <col min="4" max="4" width="6.5703125" style="1" customWidth="1"/>
    <col min="5" max="5" width="40.42578125" style="1" customWidth="1"/>
    <col min="6" max="25" width="6.7109375" style="1" customWidth="1"/>
    <col min="26" max="26" width="11.28515625" style="1" customWidth="1"/>
    <col min="27" max="28" width="2.7109375" style="1" customWidth="1"/>
    <col min="29" max="34" width="14.42578125" style="1" hidden="1" customWidth="1"/>
    <col min="35" max="35" width="14.85546875" style="1" hidden="1" customWidth="1"/>
    <col min="36" max="49" width="3.7109375" style="1" hidden="1" customWidth="1"/>
    <col min="50" max="68" width="5.7109375" style="1" hidden="1" customWidth="1"/>
    <col min="69" max="16384" width="14.42578125" style="1" hidden="1"/>
  </cols>
  <sheetData>
    <row r="1" spans="1:28" ht="12" customHeight="1" thickBot="1" x14ac:dyDescent="0.3">
      <c r="A1" s="38" t="s">
        <v>18</v>
      </c>
      <c r="B1" s="39"/>
      <c r="C1" s="39"/>
      <c r="D1" s="39"/>
      <c r="E1" s="39"/>
      <c r="F1" s="39"/>
      <c r="G1" s="39"/>
      <c r="H1" s="39"/>
      <c r="I1" s="39"/>
      <c r="J1" s="39"/>
      <c r="K1" s="39"/>
      <c r="L1" s="39"/>
      <c r="M1" s="39"/>
      <c r="N1" s="39"/>
      <c r="O1" s="39"/>
      <c r="P1" s="39"/>
      <c r="Q1" s="39"/>
      <c r="R1" s="39"/>
      <c r="S1" s="39"/>
      <c r="T1" s="39"/>
      <c r="U1" s="39"/>
      <c r="V1" s="39"/>
      <c r="W1" s="39"/>
      <c r="X1" s="39"/>
      <c r="Y1" s="39"/>
      <c r="Z1" s="39"/>
      <c r="AA1" s="39"/>
      <c r="AB1" s="39"/>
    </row>
    <row r="2" spans="1:28" ht="12" customHeight="1" x14ac:dyDescent="0.25">
      <c r="A2" s="41"/>
      <c r="B2" s="17"/>
      <c r="C2" s="18"/>
      <c r="D2" s="18"/>
      <c r="E2" s="18"/>
      <c r="F2" s="18"/>
      <c r="G2" s="18"/>
      <c r="H2" s="18"/>
      <c r="I2" s="18"/>
      <c r="J2" s="18"/>
      <c r="K2" s="18"/>
      <c r="L2" s="18"/>
      <c r="M2" s="18"/>
      <c r="N2" s="18"/>
      <c r="O2" s="18"/>
      <c r="P2" s="18"/>
      <c r="Q2" s="18"/>
      <c r="R2" s="18"/>
      <c r="S2" s="18"/>
      <c r="T2" s="18"/>
      <c r="U2" s="18"/>
      <c r="V2" s="18"/>
      <c r="W2" s="18"/>
      <c r="X2" s="18"/>
      <c r="Y2" s="18"/>
      <c r="Z2" s="18"/>
      <c r="AA2" s="19"/>
      <c r="AB2" s="40"/>
    </row>
    <row r="3" spans="1:28" s="2" customFormat="1" ht="54.95" customHeight="1" x14ac:dyDescent="0.3">
      <c r="A3" s="41"/>
      <c r="B3" s="12"/>
      <c r="C3" s="70" t="s">
        <v>19</v>
      </c>
      <c r="D3" s="70"/>
      <c r="E3" s="70"/>
      <c r="F3" s="70"/>
      <c r="G3" s="70"/>
      <c r="H3" s="70"/>
      <c r="I3" s="70"/>
      <c r="J3" s="70"/>
      <c r="K3" s="70"/>
      <c r="L3" s="70"/>
      <c r="M3" s="70"/>
      <c r="N3" s="70"/>
      <c r="O3" s="70"/>
      <c r="P3" s="70"/>
      <c r="Q3" s="70"/>
      <c r="R3" s="70"/>
      <c r="S3" s="70"/>
      <c r="T3" s="70"/>
      <c r="U3" s="70"/>
      <c r="V3" s="70"/>
      <c r="W3" s="70"/>
      <c r="X3" s="70"/>
      <c r="Y3" s="70"/>
      <c r="Z3" s="70"/>
      <c r="AA3" s="20"/>
      <c r="AB3" s="40"/>
    </row>
    <row r="4" spans="1:28" s="3" customFormat="1" ht="15" customHeight="1" x14ac:dyDescent="0.25">
      <c r="A4" s="41"/>
      <c r="B4" s="12"/>
      <c r="C4" s="71" t="s">
        <v>16</v>
      </c>
      <c r="D4" s="71"/>
      <c r="E4" s="71"/>
      <c r="F4" s="71"/>
      <c r="G4" s="71"/>
      <c r="H4" s="71"/>
      <c r="I4" s="71"/>
      <c r="J4" s="71"/>
      <c r="K4" s="71"/>
      <c r="L4" s="71"/>
      <c r="M4" s="71"/>
      <c r="N4" s="71"/>
      <c r="O4" s="71"/>
      <c r="P4" s="71"/>
      <c r="Q4" s="71"/>
      <c r="R4" s="71"/>
      <c r="S4" s="71"/>
      <c r="T4" s="71"/>
      <c r="U4" s="71"/>
      <c r="V4" s="71"/>
      <c r="W4" s="71"/>
      <c r="X4" s="71"/>
      <c r="Y4" s="71"/>
      <c r="Z4" s="71"/>
      <c r="AA4" s="20"/>
      <c r="AB4" s="40"/>
    </row>
    <row r="5" spans="1:28" s="2" customFormat="1" ht="15" customHeight="1" x14ac:dyDescent="0.25">
      <c r="A5" s="41"/>
      <c r="B5" s="12"/>
      <c r="C5" s="72" t="s">
        <v>20</v>
      </c>
      <c r="D5" s="72"/>
      <c r="E5" s="72"/>
      <c r="F5" s="72"/>
      <c r="G5" s="72"/>
      <c r="H5" s="72"/>
      <c r="I5" s="72"/>
      <c r="J5" s="72"/>
      <c r="K5" s="72"/>
      <c r="L5" s="72"/>
      <c r="M5" s="72"/>
      <c r="N5" s="72"/>
      <c r="O5" s="72"/>
      <c r="P5" s="72"/>
      <c r="Q5" s="72"/>
      <c r="R5" s="72"/>
      <c r="S5" s="72"/>
      <c r="T5" s="72"/>
      <c r="U5" s="72"/>
      <c r="V5" s="72"/>
      <c r="W5" s="72"/>
      <c r="X5" s="72"/>
      <c r="Y5" s="72"/>
      <c r="Z5" s="72"/>
      <c r="AA5" s="20"/>
      <c r="AB5" s="40"/>
    </row>
    <row r="6" spans="1:28" s="2" customFormat="1" ht="15" customHeight="1" x14ac:dyDescent="0.25">
      <c r="A6" s="41"/>
      <c r="B6" s="12"/>
      <c r="C6" s="72" t="s">
        <v>22</v>
      </c>
      <c r="D6" s="72"/>
      <c r="E6" s="72"/>
      <c r="F6" s="72"/>
      <c r="G6" s="72"/>
      <c r="H6" s="72"/>
      <c r="I6" s="72"/>
      <c r="J6" s="72"/>
      <c r="K6" s="72"/>
      <c r="L6" s="72"/>
      <c r="M6" s="72"/>
      <c r="N6" s="72"/>
      <c r="O6" s="72"/>
      <c r="P6" s="72"/>
      <c r="Q6" s="72"/>
      <c r="R6" s="72"/>
      <c r="S6" s="72"/>
      <c r="T6" s="72"/>
      <c r="U6" s="72"/>
      <c r="V6" s="72"/>
      <c r="W6" s="72"/>
      <c r="X6" s="72"/>
      <c r="Y6" s="72"/>
      <c r="Z6" s="72"/>
      <c r="AA6" s="20"/>
      <c r="AB6" s="40"/>
    </row>
    <row r="7" spans="1:28" s="2" customFormat="1" ht="15" customHeight="1" x14ac:dyDescent="0.25">
      <c r="A7" s="41"/>
      <c r="B7" s="12"/>
      <c r="C7" s="73" t="s">
        <v>21</v>
      </c>
      <c r="D7" s="73"/>
      <c r="E7" s="73"/>
      <c r="F7" s="73"/>
      <c r="G7" s="73"/>
      <c r="H7" s="73"/>
      <c r="I7" s="73"/>
      <c r="J7" s="73"/>
      <c r="K7" s="73"/>
      <c r="L7" s="73"/>
      <c r="M7" s="73"/>
      <c r="N7" s="73"/>
      <c r="O7" s="73"/>
      <c r="P7" s="73"/>
      <c r="Q7" s="73"/>
      <c r="R7" s="73"/>
      <c r="S7" s="73"/>
      <c r="T7" s="73"/>
      <c r="U7" s="73"/>
      <c r="V7" s="73"/>
      <c r="W7" s="73"/>
      <c r="X7" s="73"/>
      <c r="Y7" s="73"/>
      <c r="Z7" s="73"/>
      <c r="AA7" s="20"/>
      <c r="AB7" s="40"/>
    </row>
    <row r="8" spans="1:28" ht="15" customHeight="1" x14ac:dyDescent="0.25">
      <c r="A8" s="41"/>
      <c r="B8" s="12"/>
      <c r="C8" s="74" t="s">
        <v>0</v>
      </c>
      <c r="D8" s="76" t="s">
        <v>1</v>
      </c>
      <c r="E8" s="76" t="s">
        <v>2</v>
      </c>
      <c r="F8" s="77" t="s">
        <v>17</v>
      </c>
      <c r="G8" s="78"/>
      <c r="H8" s="78"/>
      <c r="I8" s="78"/>
      <c r="J8" s="78"/>
      <c r="K8" s="78"/>
      <c r="L8" s="78"/>
      <c r="M8" s="78"/>
      <c r="N8" s="78"/>
      <c r="O8" s="78"/>
      <c r="P8" s="78"/>
      <c r="Q8" s="78"/>
      <c r="R8" s="78"/>
      <c r="S8" s="78"/>
      <c r="T8" s="78"/>
      <c r="U8" s="78"/>
      <c r="V8" s="78"/>
      <c r="W8" s="78"/>
      <c r="X8" s="78"/>
      <c r="Y8" s="79"/>
      <c r="Z8" s="80" t="s">
        <v>3</v>
      </c>
      <c r="AA8" s="20"/>
      <c r="AB8" s="40"/>
    </row>
    <row r="9" spans="1:28" ht="125.1" customHeight="1" x14ac:dyDescent="0.25">
      <c r="A9" s="41"/>
      <c r="B9" s="12"/>
      <c r="C9" s="75"/>
      <c r="D9" s="75"/>
      <c r="E9" s="75"/>
      <c r="F9" s="13">
        <v>1</v>
      </c>
      <c r="G9" s="13">
        <v>2</v>
      </c>
      <c r="H9" s="13">
        <v>3</v>
      </c>
      <c r="I9" s="13">
        <v>4</v>
      </c>
      <c r="J9" s="13">
        <v>5</v>
      </c>
      <c r="K9" s="13">
        <v>6</v>
      </c>
      <c r="L9" s="13">
        <v>7</v>
      </c>
      <c r="M9" s="13">
        <v>8</v>
      </c>
      <c r="N9" s="13">
        <v>9</v>
      </c>
      <c r="O9" s="13">
        <v>10</v>
      </c>
      <c r="P9" s="13">
        <v>11</v>
      </c>
      <c r="Q9" s="13">
        <v>12</v>
      </c>
      <c r="R9" s="13">
        <v>13</v>
      </c>
      <c r="S9" s="13">
        <v>14</v>
      </c>
      <c r="T9" s="13">
        <v>15</v>
      </c>
      <c r="U9" s="13">
        <v>16</v>
      </c>
      <c r="V9" s="13">
        <v>17</v>
      </c>
      <c r="W9" s="13">
        <v>18</v>
      </c>
      <c r="X9" s="13">
        <v>19</v>
      </c>
      <c r="Y9" s="13">
        <v>20</v>
      </c>
      <c r="Z9" s="81"/>
      <c r="AA9" s="20"/>
      <c r="AB9" s="40"/>
    </row>
    <row r="10" spans="1:28" s="11" customFormat="1" ht="15" customHeight="1" x14ac:dyDescent="0.25">
      <c r="A10" s="41"/>
      <c r="B10" s="12"/>
      <c r="C10" s="48"/>
      <c r="D10" s="48">
        <v>1</v>
      </c>
      <c r="E10" s="49"/>
      <c r="F10" s="50"/>
      <c r="G10" s="50"/>
      <c r="H10" s="50"/>
      <c r="I10" s="50"/>
      <c r="J10" s="50"/>
      <c r="K10" s="50"/>
      <c r="L10" s="50"/>
      <c r="M10" s="50"/>
      <c r="N10" s="50"/>
      <c r="O10" s="50"/>
      <c r="P10" s="50"/>
      <c r="Q10" s="50"/>
      <c r="R10" s="50"/>
      <c r="S10" s="50"/>
      <c r="T10" s="50"/>
      <c r="U10" s="50"/>
      <c r="V10" s="50"/>
      <c r="W10" s="50"/>
      <c r="X10" s="50"/>
      <c r="Y10" s="50"/>
      <c r="Z10" s="43" t="str">
        <f>IF(COUNTIF(F10:Y10,"=*")&gt;0,IF($C10="К","-"," - "),IF(COUNTIF(F10:Y10,"&lt;4")&gt;0,IF(C10="К","-"," - "),(IFERROR(AVERAGE(F10:Y10),"Очікую"))))</f>
        <v>Очікую</v>
      </c>
      <c r="AA10" s="22"/>
      <c r="AB10" s="40"/>
    </row>
    <row r="11" spans="1:28" s="11" customFormat="1" ht="15" customHeight="1" x14ac:dyDescent="0.25">
      <c r="A11" s="41"/>
      <c r="B11" s="12"/>
      <c r="C11" s="48"/>
      <c r="D11" s="48">
        <v>2</v>
      </c>
      <c r="E11" s="49"/>
      <c r="F11" s="50"/>
      <c r="G11" s="50"/>
      <c r="H11" s="50"/>
      <c r="I11" s="50"/>
      <c r="J11" s="50"/>
      <c r="K11" s="50"/>
      <c r="L11" s="50"/>
      <c r="M11" s="50"/>
      <c r="N11" s="50"/>
      <c r="O11" s="50"/>
      <c r="P11" s="50"/>
      <c r="Q11" s="50"/>
      <c r="R11" s="50"/>
      <c r="S11" s="50"/>
      <c r="T11" s="50"/>
      <c r="U11" s="50"/>
      <c r="V11" s="50"/>
      <c r="W11" s="50"/>
      <c r="X11" s="50"/>
      <c r="Y11" s="50"/>
      <c r="Z11" s="43" t="str">
        <f t="shared" ref="Z11:Z74" si="0">IF(COUNTIF(F11:Y11,"=*")&gt;0,IF($C11="К","-"," - "),IF(COUNTIF(F11:Y11,"&lt;4")&gt;0,IF(C11="К","-"," - "),(IFERROR(AVERAGE(F11:Y11),"Очікую"))))</f>
        <v>Очікую</v>
      </c>
      <c r="AA11" s="22"/>
      <c r="AB11" s="40"/>
    </row>
    <row r="12" spans="1:28" s="11" customFormat="1" ht="15" customHeight="1" x14ac:dyDescent="0.25">
      <c r="A12" s="41"/>
      <c r="B12" s="12"/>
      <c r="C12" s="48"/>
      <c r="D12" s="48">
        <v>3</v>
      </c>
      <c r="E12" s="49"/>
      <c r="F12" s="50"/>
      <c r="G12" s="50"/>
      <c r="H12" s="50"/>
      <c r="I12" s="50"/>
      <c r="J12" s="50"/>
      <c r="K12" s="50"/>
      <c r="L12" s="50"/>
      <c r="M12" s="50"/>
      <c r="N12" s="50"/>
      <c r="O12" s="50"/>
      <c r="P12" s="50"/>
      <c r="Q12" s="50"/>
      <c r="R12" s="50"/>
      <c r="S12" s="50"/>
      <c r="T12" s="50"/>
      <c r="U12" s="50"/>
      <c r="V12" s="50"/>
      <c r="W12" s="50"/>
      <c r="X12" s="50"/>
      <c r="Y12" s="50"/>
      <c r="Z12" s="43" t="str">
        <f t="shared" si="0"/>
        <v>Очікую</v>
      </c>
      <c r="AA12" s="22"/>
      <c r="AB12" s="40"/>
    </row>
    <row r="13" spans="1:28" s="11" customFormat="1" ht="15" customHeight="1" x14ac:dyDescent="0.25">
      <c r="A13" s="41"/>
      <c r="B13" s="12"/>
      <c r="C13" s="48"/>
      <c r="D13" s="48">
        <v>4</v>
      </c>
      <c r="E13" s="49"/>
      <c r="F13" s="50"/>
      <c r="G13" s="50"/>
      <c r="H13" s="50"/>
      <c r="I13" s="50"/>
      <c r="J13" s="50"/>
      <c r="K13" s="50"/>
      <c r="L13" s="50"/>
      <c r="M13" s="50"/>
      <c r="N13" s="50"/>
      <c r="O13" s="50"/>
      <c r="P13" s="50"/>
      <c r="Q13" s="50"/>
      <c r="R13" s="50"/>
      <c r="S13" s="50"/>
      <c r="T13" s="50"/>
      <c r="U13" s="50"/>
      <c r="V13" s="50"/>
      <c r="W13" s="50"/>
      <c r="X13" s="50"/>
      <c r="Y13" s="50"/>
      <c r="Z13" s="43" t="str">
        <f t="shared" si="0"/>
        <v>Очікую</v>
      </c>
      <c r="AA13" s="22"/>
      <c r="AB13" s="40"/>
    </row>
    <row r="14" spans="1:28" s="11" customFormat="1" ht="15" customHeight="1" x14ac:dyDescent="0.25">
      <c r="A14" s="41"/>
      <c r="B14" s="12"/>
      <c r="C14" s="48"/>
      <c r="D14" s="48">
        <v>5</v>
      </c>
      <c r="E14" s="49"/>
      <c r="F14" s="50"/>
      <c r="G14" s="50"/>
      <c r="H14" s="50"/>
      <c r="I14" s="50"/>
      <c r="J14" s="50"/>
      <c r="K14" s="50"/>
      <c r="L14" s="50"/>
      <c r="M14" s="50"/>
      <c r="N14" s="50"/>
      <c r="O14" s="50"/>
      <c r="P14" s="50"/>
      <c r="Q14" s="50"/>
      <c r="R14" s="50"/>
      <c r="S14" s="50"/>
      <c r="T14" s="50"/>
      <c r="U14" s="50"/>
      <c r="V14" s="50"/>
      <c r="W14" s="50"/>
      <c r="X14" s="50"/>
      <c r="Y14" s="50"/>
      <c r="Z14" s="43" t="str">
        <f t="shared" si="0"/>
        <v>Очікую</v>
      </c>
      <c r="AA14" s="22"/>
      <c r="AB14" s="40"/>
    </row>
    <row r="15" spans="1:28" s="11" customFormat="1" ht="15" customHeight="1" x14ac:dyDescent="0.25">
      <c r="A15" s="41"/>
      <c r="B15" s="12"/>
      <c r="C15" s="48"/>
      <c r="D15" s="48">
        <v>6</v>
      </c>
      <c r="E15" s="49"/>
      <c r="F15" s="50"/>
      <c r="G15" s="50"/>
      <c r="H15" s="50"/>
      <c r="I15" s="50"/>
      <c r="J15" s="50"/>
      <c r="K15" s="50"/>
      <c r="L15" s="50"/>
      <c r="M15" s="50"/>
      <c r="N15" s="50"/>
      <c r="O15" s="50"/>
      <c r="P15" s="50"/>
      <c r="Q15" s="50"/>
      <c r="R15" s="50"/>
      <c r="S15" s="50"/>
      <c r="T15" s="50"/>
      <c r="U15" s="50"/>
      <c r="V15" s="50"/>
      <c r="W15" s="50"/>
      <c r="X15" s="50"/>
      <c r="Y15" s="50"/>
      <c r="Z15" s="43" t="str">
        <f t="shared" si="0"/>
        <v>Очікую</v>
      </c>
      <c r="AA15" s="22"/>
      <c r="AB15" s="40"/>
    </row>
    <row r="16" spans="1:28" s="11" customFormat="1" ht="15" customHeight="1" x14ac:dyDescent="0.25">
      <c r="A16" s="41"/>
      <c r="B16" s="12"/>
      <c r="C16" s="48"/>
      <c r="D16" s="48">
        <v>7</v>
      </c>
      <c r="E16" s="49"/>
      <c r="F16" s="50"/>
      <c r="G16" s="50"/>
      <c r="H16" s="50"/>
      <c r="I16" s="50"/>
      <c r="J16" s="50"/>
      <c r="K16" s="50"/>
      <c r="L16" s="50"/>
      <c r="M16" s="50"/>
      <c r="N16" s="50"/>
      <c r="O16" s="50"/>
      <c r="P16" s="50"/>
      <c r="Q16" s="50"/>
      <c r="R16" s="50"/>
      <c r="S16" s="50"/>
      <c r="T16" s="50"/>
      <c r="U16" s="50"/>
      <c r="V16" s="50"/>
      <c r="W16" s="50"/>
      <c r="X16" s="50"/>
      <c r="Y16" s="50"/>
      <c r="Z16" s="43" t="str">
        <f t="shared" si="0"/>
        <v>Очікую</v>
      </c>
      <c r="AA16" s="22"/>
      <c r="AB16" s="40"/>
    </row>
    <row r="17" spans="1:28" s="11" customFormat="1" ht="15" customHeight="1" x14ac:dyDescent="0.25">
      <c r="A17" s="41"/>
      <c r="B17" s="12"/>
      <c r="C17" s="48"/>
      <c r="D17" s="48">
        <v>8</v>
      </c>
      <c r="E17" s="49"/>
      <c r="F17" s="50"/>
      <c r="G17" s="50"/>
      <c r="H17" s="50"/>
      <c r="I17" s="50"/>
      <c r="J17" s="50"/>
      <c r="K17" s="50"/>
      <c r="L17" s="50"/>
      <c r="M17" s="50"/>
      <c r="N17" s="50"/>
      <c r="O17" s="50"/>
      <c r="P17" s="50"/>
      <c r="Q17" s="50"/>
      <c r="R17" s="50"/>
      <c r="S17" s="50"/>
      <c r="T17" s="50"/>
      <c r="U17" s="50"/>
      <c r="V17" s="50"/>
      <c r="W17" s="50"/>
      <c r="X17" s="50"/>
      <c r="Y17" s="50"/>
      <c r="Z17" s="43" t="str">
        <f t="shared" si="0"/>
        <v>Очікую</v>
      </c>
      <c r="AA17" s="22"/>
      <c r="AB17" s="40"/>
    </row>
    <row r="18" spans="1:28" s="11" customFormat="1" ht="15" customHeight="1" x14ac:dyDescent="0.25">
      <c r="A18" s="41"/>
      <c r="B18" s="12"/>
      <c r="C18" s="48"/>
      <c r="D18" s="48">
        <v>9</v>
      </c>
      <c r="E18" s="49"/>
      <c r="F18" s="50"/>
      <c r="G18" s="50"/>
      <c r="H18" s="50"/>
      <c r="I18" s="50"/>
      <c r="J18" s="50"/>
      <c r="K18" s="50"/>
      <c r="L18" s="50"/>
      <c r="M18" s="50"/>
      <c r="N18" s="50"/>
      <c r="O18" s="50"/>
      <c r="P18" s="50"/>
      <c r="Q18" s="50"/>
      <c r="R18" s="50"/>
      <c r="S18" s="50"/>
      <c r="T18" s="50"/>
      <c r="U18" s="50"/>
      <c r="V18" s="50"/>
      <c r="W18" s="50"/>
      <c r="X18" s="50"/>
      <c r="Y18" s="50"/>
      <c r="Z18" s="43" t="str">
        <f t="shared" si="0"/>
        <v>Очікую</v>
      </c>
      <c r="AA18" s="22"/>
      <c r="AB18" s="40"/>
    </row>
    <row r="19" spans="1:28" s="11" customFormat="1" ht="15" customHeight="1" x14ac:dyDescent="0.25">
      <c r="A19" s="41"/>
      <c r="B19" s="12"/>
      <c r="C19" s="48"/>
      <c r="D19" s="48">
        <v>10</v>
      </c>
      <c r="E19" s="49"/>
      <c r="F19" s="50"/>
      <c r="G19" s="50"/>
      <c r="H19" s="50"/>
      <c r="I19" s="50"/>
      <c r="J19" s="50"/>
      <c r="K19" s="50"/>
      <c r="L19" s="50"/>
      <c r="M19" s="50"/>
      <c r="N19" s="50"/>
      <c r="O19" s="50"/>
      <c r="P19" s="50"/>
      <c r="Q19" s="50"/>
      <c r="R19" s="50"/>
      <c r="S19" s="50"/>
      <c r="T19" s="50"/>
      <c r="U19" s="50"/>
      <c r="V19" s="50"/>
      <c r="W19" s="50"/>
      <c r="X19" s="50"/>
      <c r="Y19" s="50"/>
      <c r="Z19" s="43" t="str">
        <f t="shared" si="0"/>
        <v>Очікую</v>
      </c>
      <c r="AA19" s="22"/>
      <c r="AB19" s="40"/>
    </row>
    <row r="20" spans="1:28" s="11" customFormat="1" ht="15" customHeight="1" x14ac:dyDescent="0.25">
      <c r="A20" s="41"/>
      <c r="B20" s="12"/>
      <c r="C20" s="48"/>
      <c r="D20" s="48">
        <v>11</v>
      </c>
      <c r="E20" s="49"/>
      <c r="F20" s="50"/>
      <c r="G20" s="50"/>
      <c r="H20" s="50"/>
      <c r="I20" s="50"/>
      <c r="J20" s="50"/>
      <c r="K20" s="50"/>
      <c r="L20" s="50"/>
      <c r="M20" s="50"/>
      <c r="N20" s="50"/>
      <c r="O20" s="50"/>
      <c r="P20" s="50"/>
      <c r="Q20" s="50"/>
      <c r="R20" s="50"/>
      <c r="S20" s="50"/>
      <c r="T20" s="50"/>
      <c r="U20" s="50"/>
      <c r="V20" s="50"/>
      <c r="W20" s="50"/>
      <c r="X20" s="50"/>
      <c r="Y20" s="50"/>
      <c r="Z20" s="43" t="str">
        <f t="shared" si="0"/>
        <v>Очікую</v>
      </c>
      <c r="AA20" s="22"/>
      <c r="AB20" s="40"/>
    </row>
    <row r="21" spans="1:28" s="11" customFormat="1" ht="15" customHeight="1" x14ac:dyDescent="0.25">
      <c r="A21" s="41"/>
      <c r="B21" s="12"/>
      <c r="C21" s="48"/>
      <c r="D21" s="48">
        <v>12</v>
      </c>
      <c r="E21" s="49"/>
      <c r="F21" s="50"/>
      <c r="G21" s="50"/>
      <c r="H21" s="50"/>
      <c r="I21" s="50"/>
      <c r="J21" s="50"/>
      <c r="K21" s="50"/>
      <c r="L21" s="50"/>
      <c r="M21" s="50"/>
      <c r="N21" s="50"/>
      <c r="O21" s="50"/>
      <c r="P21" s="50"/>
      <c r="Q21" s="50"/>
      <c r="R21" s="50"/>
      <c r="S21" s="50"/>
      <c r="T21" s="50"/>
      <c r="U21" s="50"/>
      <c r="V21" s="50"/>
      <c r="W21" s="50"/>
      <c r="X21" s="50"/>
      <c r="Y21" s="50"/>
      <c r="Z21" s="43" t="str">
        <f t="shared" si="0"/>
        <v>Очікую</v>
      </c>
      <c r="AA21" s="22"/>
      <c r="AB21" s="40"/>
    </row>
    <row r="22" spans="1:28" s="11" customFormat="1" ht="15" customHeight="1" x14ac:dyDescent="0.25">
      <c r="A22" s="41"/>
      <c r="B22" s="12"/>
      <c r="C22" s="48"/>
      <c r="D22" s="48">
        <v>13</v>
      </c>
      <c r="E22" s="49"/>
      <c r="F22" s="50"/>
      <c r="G22" s="50"/>
      <c r="H22" s="50"/>
      <c r="I22" s="50"/>
      <c r="J22" s="50"/>
      <c r="K22" s="50"/>
      <c r="L22" s="50"/>
      <c r="M22" s="50"/>
      <c r="N22" s="50"/>
      <c r="O22" s="50"/>
      <c r="P22" s="50"/>
      <c r="Q22" s="50"/>
      <c r="R22" s="50"/>
      <c r="S22" s="50"/>
      <c r="T22" s="50"/>
      <c r="U22" s="50"/>
      <c r="V22" s="50"/>
      <c r="W22" s="50"/>
      <c r="X22" s="50"/>
      <c r="Y22" s="50"/>
      <c r="Z22" s="43" t="str">
        <f t="shared" si="0"/>
        <v>Очікую</v>
      </c>
      <c r="AA22" s="22"/>
      <c r="AB22" s="40"/>
    </row>
    <row r="23" spans="1:28" s="11" customFormat="1" ht="15" customHeight="1" x14ac:dyDescent="0.25">
      <c r="A23" s="41"/>
      <c r="B23" s="12"/>
      <c r="C23" s="48"/>
      <c r="D23" s="48">
        <v>14</v>
      </c>
      <c r="E23" s="49"/>
      <c r="F23" s="50"/>
      <c r="G23" s="50"/>
      <c r="H23" s="50"/>
      <c r="I23" s="50"/>
      <c r="J23" s="50"/>
      <c r="K23" s="50"/>
      <c r="L23" s="50"/>
      <c r="M23" s="50"/>
      <c r="N23" s="50"/>
      <c r="O23" s="50"/>
      <c r="P23" s="50"/>
      <c r="Q23" s="50"/>
      <c r="R23" s="50"/>
      <c r="S23" s="50"/>
      <c r="T23" s="50"/>
      <c r="U23" s="50"/>
      <c r="V23" s="50"/>
      <c r="W23" s="50"/>
      <c r="X23" s="50"/>
      <c r="Y23" s="50"/>
      <c r="Z23" s="43" t="str">
        <f t="shared" si="0"/>
        <v>Очікую</v>
      </c>
      <c r="AA23" s="22"/>
      <c r="AB23" s="40"/>
    </row>
    <row r="24" spans="1:28" s="11" customFormat="1" ht="15" customHeight="1" x14ac:dyDescent="0.25">
      <c r="A24" s="41"/>
      <c r="B24" s="12"/>
      <c r="C24" s="48"/>
      <c r="D24" s="48">
        <v>15</v>
      </c>
      <c r="E24" s="49"/>
      <c r="F24" s="50"/>
      <c r="G24" s="50"/>
      <c r="H24" s="50"/>
      <c r="I24" s="50"/>
      <c r="J24" s="50"/>
      <c r="K24" s="50"/>
      <c r="L24" s="50"/>
      <c r="M24" s="50"/>
      <c r="N24" s="50"/>
      <c r="O24" s="50"/>
      <c r="P24" s="50"/>
      <c r="Q24" s="50"/>
      <c r="R24" s="50"/>
      <c r="S24" s="50"/>
      <c r="T24" s="50"/>
      <c r="U24" s="50"/>
      <c r="V24" s="50"/>
      <c r="W24" s="50"/>
      <c r="X24" s="50"/>
      <c r="Y24" s="50"/>
      <c r="Z24" s="43" t="str">
        <f t="shared" si="0"/>
        <v>Очікую</v>
      </c>
      <c r="AA24" s="22"/>
      <c r="AB24" s="40"/>
    </row>
    <row r="25" spans="1:28" s="11" customFormat="1" ht="15" customHeight="1" x14ac:dyDescent="0.25">
      <c r="A25" s="41"/>
      <c r="B25" s="12"/>
      <c r="C25" s="48"/>
      <c r="D25" s="48">
        <v>16</v>
      </c>
      <c r="E25" s="49"/>
      <c r="F25" s="50"/>
      <c r="G25" s="50"/>
      <c r="H25" s="50"/>
      <c r="I25" s="50"/>
      <c r="J25" s="50"/>
      <c r="K25" s="50"/>
      <c r="L25" s="50"/>
      <c r="M25" s="50"/>
      <c r="N25" s="50"/>
      <c r="O25" s="50"/>
      <c r="P25" s="50"/>
      <c r="Q25" s="50"/>
      <c r="R25" s="50"/>
      <c r="S25" s="50"/>
      <c r="T25" s="50"/>
      <c r="U25" s="50"/>
      <c r="V25" s="50"/>
      <c r="W25" s="50"/>
      <c r="X25" s="50"/>
      <c r="Y25" s="50"/>
      <c r="Z25" s="43" t="str">
        <f t="shared" si="0"/>
        <v>Очікую</v>
      </c>
      <c r="AA25" s="22"/>
      <c r="AB25" s="40"/>
    </row>
    <row r="26" spans="1:28" s="11" customFormat="1" ht="15" customHeight="1" x14ac:dyDescent="0.25">
      <c r="A26" s="41"/>
      <c r="B26" s="12"/>
      <c r="C26" s="48"/>
      <c r="D26" s="48">
        <v>17</v>
      </c>
      <c r="E26" s="49"/>
      <c r="F26" s="50"/>
      <c r="G26" s="50"/>
      <c r="H26" s="50"/>
      <c r="I26" s="50"/>
      <c r="J26" s="50"/>
      <c r="K26" s="50"/>
      <c r="L26" s="50"/>
      <c r="M26" s="50"/>
      <c r="N26" s="50"/>
      <c r="O26" s="50"/>
      <c r="P26" s="50"/>
      <c r="Q26" s="50"/>
      <c r="R26" s="50"/>
      <c r="S26" s="50"/>
      <c r="T26" s="50"/>
      <c r="U26" s="50"/>
      <c r="V26" s="50"/>
      <c r="W26" s="50"/>
      <c r="X26" s="50"/>
      <c r="Y26" s="50"/>
      <c r="Z26" s="43" t="str">
        <f t="shared" si="0"/>
        <v>Очікую</v>
      </c>
      <c r="AA26" s="22"/>
      <c r="AB26" s="40"/>
    </row>
    <row r="27" spans="1:28" s="11" customFormat="1" ht="15" customHeight="1" x14ac:dyDescent="0.25">
      <c r="A27" s="41"/>
      <c r="B27" s="12"/>
      <c r="C27" s="48"/>
      <c r="D27" s="48">
        <v>18</v>
      </c>
      <c r="E27" s="49"/>
      <c r="F27" s="50"/>
      <c r="G27" s="50"/>
      <c r="H27" s="50"/>
      <c r="I27" s="50"/>
      <c r="J27" s="50"/>
      <c r="K27" s="50"/>
      <c r="L27" s="50"/>
      <c r="M27" s="50"/>
      <c r="N27" s="50"/>
      <c r="O27" s="50"/>
      <c r="P27" s="50"/>
      <c r="Q27" s="50"/>
      <c r="R27" s="50"/>
      <c r="S27" s="50"/>
      <c r="T27" s="50"/>
      <c r="U27" s="50"/>
      <c r="V27" s="50"/>
      <c r="W27" s="50"/>
      <c r="X27" s="50"/>
      <c r="Y27" s="50"/>
      <c r="Z27" s="43" t="str">
        <f t="shared" si="0"/>
        <v>Очікую</v>
      </c>
      <c r="AA27" s="22"/>
      <c r="AB27" s="40"/>
    </row>
    <row r="28" spans="1:28" s="11" customFormat="1" ht="15" customHeight="1" x14ac:dyDescent="0.25">
      <c r="A28" s="41"/>
      <c r="B28" s="12"/>
      <c r="C28" s="48"/>
      <c r="D28" s="48">
        <v>19</v>
      </c>
      <c r="E28" s="49"/>
      <c r="F28" s="50"/>
      <c r="G28" s="50"/>
      <c r="H28" s="50"/>
      <c r="I28" s="50"/>
      <c r="J28" s="50"/>
      <c r="K28" s="50"/>
      <c r="L28" s="50"/>
      <c r="M28" s="50"/>
      <c r="N28" s="50"/>
      <c r="O28" s="50"/>
      <c r="P28" s="50"/>
      <c r="Q28" s="50"/>
      <c r="R28" s="50"/>
      <c r="S28" s="50"/>
      <c r="T28" s="50"/>
      <c r="U28" s="50"/>
      <c r="V28" s="50"/>
      <c r="W28" s="50"/>
      <c r="X28" s="50"/>
      <c r="Y28" s="50"/>
      <c r="Z28" s="43" t="str">
        <f t="shared" si="0"/>
        <v>Очікую</v>
      </c>
      <c r="AA28" s="22"/>
      <c r="AB28" s="40"/>
    </row>
    <row r="29" spans="1:28" s="11" customFormat="1" ht="15" customHeight="1" x14ac:dyDescent="0.25">
      <c r="A29" s="41"/>
      <c r="B29" s="12"/>
      <c r="C29" s="48"/>
      <c r="D29" s="48">
        <v>20</v>
      </c>
      <c r="E29" s="49"/>
      <c r="F29" s="50"/>
      <c r="G29" s="50"/>
      <c r="H29" s="50"/>
      <c r="I29" s="50"/>
      <c r="J29" s="50"/>
      <c r="K29" s="50"/>
      <c r="L29" s="50"/>
      <c r="M29" s="50"/>
      <c r="N29" s="50"/>
      <c r="O29" s="50"/>
      <c r="P29" s="50"/>
      <c r="Q29" s="50"/>
      <c r="R29" s="50"/>
      <c r="S29" s="50"/>
      <c r="T29" s="50"/>
      <c r="U29" s="50"/>
      <c r="V29" s="50"/>
      <c r="W29" s="50"/>
      <c r="X29" s="50"/>
      <c r="Y29" s="50"/>
      <c r="Z29" s="43" t="str">
        <f t="shared" si="0"/>
        <v>Очікую</v>
      </c>
      <c r="AA29" s="22"/>
      <c r="AB29" s="40"/>
    </row>
    <row r="30" spans="1:28" s="11" customFormat="1" ht="15" customHeight="1" x14ac:dyDescent="0.25">
      <c r="A30" s="41"/>
      <c r="B30" s="12"/>
      <c r="C30" s="48"/>
      <c r="D30" s="48">
        <v>21</v>
      </c>
      <c r="E30" s="49"/>
      <c r="F30" s="50"/>
      <c r="G30" s="50"/>
      <c r="H30" s="50"/>
      <c r="I30" s="50"/>
      <c r="J30" s="50"/>
      <c r="K30" s="50"/>
      <c r="L30" s="50"/>
      <c r="M30" s="50"/>
      <c r="N30" s="50"/>
      <c r="O30" s="50"/>
      <c r="P30" s="50"/>
      <c r="Q30" s="50"/>
      <c r="R30" s="50"/>
      <c r="S30" s="50"/>
      <c r="T30" s="50"/>
      <c r="U30" s="50"/>
      <c r="V30" s="50"/>
      <c r="W30" s="50"/>
      <c r="X30" s="50"/>
      <c r="Y30" s="50"/>
      <c r="Z30" s="43" t="str">
        <f t="shared" si="0"/>
        <v>Очікую</v>
      </c>
      <c r="AA30" s="22"/>
      <c r="AB30" s="40"/>
    </row>
    <row r="31" spans="1:28" s="11" customFormat="1" ht="15" customHeight="1" x14ac:dyDescent="0.25">
      <c r="A31" s="41"/>
      <c r="B31" s="12"/>
      <c r="C31" s="48"/>
      <c r="D31" s="48">
        <v>22</v>
      </c>
      <c r="E31" s="49"/>
      <c r="F31" s="50"/>
      <c r="G31" s="50"/>
      <c r="H31" s="50"/>
      <c r="I31" s="50"/>
      <c r="J31" s="50"/>
      <c r="K31" s="50"/>
      <c r="L31" s="50"/>
      <c r="M31" s="50"/>
      <c r="N31" s="50"/>
      <c r="O31" s="50"/>
      <c r="P31" s="50"/>
      <c r="Q31" s="50"/>
      <c r="R31" s="50"/>
      <c r="S31" s="50"/>
      <c r="T31" s="50"/>
      <c r="U31" s="50"/>
      <c r="V31" s="50"/>
      <c r="W31" s="50"/>
      <c r="X31" s="50"/>
      <c r="Y31" s="50"/>
      <c r="Z31" s="43" t="str">
        <f t="shared" si="0"/>
        <v>Очікую</v>
      </c>
      <c r="AA31" s="22"/>
      <c r="AB31" s="40"/>
    </row>
    <row r="32" spans="1:28" s="11" customFormat="1" ht="15" customHeight="1" x14ac:dyDescent="0.25">
      <c r="A32" s="41"/>
      <c r="B32" s="12"/>
      <c r="C32" s="48"/>
      <c r="D32" s="48">
        <v>23</v>
      </c>
      <c r="E32" s="49"/>
      <c r="F32" s="50"/>
      <c r="G32" s="50"/>
      <c r="H32" s="50"/>
      <c r="I32" s="50"/>
      <c r="J32" s="50"/>
      <c r="K32" s="50"/>
      <c r="L32" s="50"/>
      <c r="M32" s="50"/>
      <c r="N32" s="50"/>
      <c r="O32" s="50"/>
      <c r="P32" s="50"/>
      <c r="Q32" s="50"/>
      <c r="R32" s="50"/>
      <c r="S32" s="50"/>
      <c r="T32" s="50"/>
      <c r="U32" s="50"/>
      <c r="V32" s="50"/>
      <c r="W32" s="50"/>
      <c r="X32" s="50"/>
      <c r="Y32" s="50"/>
      <c r="Z32" s="43" t="str">
        <f t="shared" si="0"/>
        <v>Очікую</v>
      </c>
      <c r="AA32" s="22"/>
      <c r="AB32" s="40"/>
    </row>
    <row r="33" spans="1:28" s="11" customFormat="1" ht="15" customHeight="1" x14ac:dyDescent="0.25">
      <c r="A33" s="41"/>
      <c r="B33" s="12"/>
      <c r="C33" s="48"/>
      <c r="D33" s="48">
        <v>24</v>
      </c>
      <c r="E33" s="49"/>
      <c r="F33" s="50"/>
      <c r="G33" s="50"/>
      <c r="H33" s="50"/>
      <c r="I33" s="50"/>
      <c r="J33" s="50"/>
      <c r="K33" s="50"/>
      <c r="L33" s="50"/>
      <c r="M33" s="50"/>
      <c r="N33" s="50"/>
      <c r="O33" s="50"/>
      <c r="P33" s="50"/>
      <c r="Q33" s="50"/>
      <c r="R33" s="50"/>
      <c r="S33" s="50"/>
      <c r="T33" s="50"/>
      <c r="U33" s="50"/>
      <c r="V33" s="50"/>
      <c r="W33" s="50"/>
      <c r="X33" s="50"/>
      <c r="Y33" s="50"/>
      <c r="Z33" s="43" t="str">
        <f t="shared" si="0"/>
        <v>Очікую</v>
      </c>
      <c r="AA33" s="22"/>
      <c r="AB33" s="40"/>
    </row>
    <row r="34" spans="1:28" s="11" customFormat="1" ht="15" customHeight="1" x14ac:dyDescent="0.25">
      <c r="A34" s="41"/>
      <c r="B34" s="12"/>
      <c r="C34" s="48"/>
      <c r="D34" s="48">
        <v>25</v>
      </c>
      <c r="E34" s="49"/>
      <c r="F34" s="50"/>
      <c r="G34" s="50"/>
      <c r="H34" s="50"/>
      <c r="I34" s="50"/>
      <c r="J34" s="50"/>
      <c r="K34" s="50"/>
      <c r="L34" s="50"/>
      <c r="M34" s="50"/>
      <c r="N34" s="50"/>
      <c r="O34" s="50"/>
      <c r="P34" s="50"/>
      <c r="Q34" s="50"/>
      <c r="R34" s="50"/>
      <c r="S34" s="50"/>
      <c r="T34" s="50"/>
      <c r="U34" s="50"/>
      <c r="V34" s="50"/>
      <c r="W34" s="50"/>
      <c r="X34" s="50"/>
      <c r="Y34" s="50"/>
      <c r="Z34" s="43" t="str">
        <f t="shared" si="0"/>
        <v>Очікую</v>
      </c>
      <c r="AA34" s="22"/>
      <c r="AB34" s="40"/>
    </row>
    <row r="35" spans="1:28" s="11" customFormat="1" ht="15" customHeight="1" x14ac:dyDescent="0.25">
      <c r="A35" s="41"/>
      <c r="B35" s="12"/>
      <c r="C35" s="48"/>
      <c r="D35" s="48">
        <v>26</v>
      </c>
      <c r="E35" s="49"/>
      <c r="F35" s="50"/>
      <c r="G35" s="50"/>
      <c r="H35" s="50"/>
      <c r="I35" s="50"/>
      <c r="J35" s="50"/>
      <c r="K35" s="50"/>
      <c r="L35" s="50"/>
      <c r="M35" s="50"/>
      <c r="N35" s="50"/>
      <c r="O35" s="50"/>
      <c r="P35" s="50"/>
      <c r="Q35" s="50"/>
      <c r="R35" s="50"/>
      <c r="S35" s="50"/>
      <c r="T35" s="50"/>
      <c r="U35" s="50"/>
      <c r="V35" s="50"/>
      <c r="W35" s="50"/>
      <c r="X35" s="50"/>
      <c r="Y35" s="50"/>
      <c r="Z35" s="43" t="str">
        <f t="shared" si="0"/>
        <v>Очікую</v>
      </c>
      <c r="AA35" s="22"/>
      <c r="AB35" s="40"/>
    </row>
    <row r="36" spans="1:28" s="11" customFormat="1" ht="15" customHeight="1" x14ac:dyDescent="0.25">
      <c r="A36" s="41"/>
      <c r="B36" s="12"/>
      <c r="C36" s="48"/>
      <c r="D36" s="48">
        <v>27</v>
      </c>
      <c r="E36" s="49"/>
      <c r="F36" s="50"/>
      <c r="G36" s="50"/>
      <c r="H36" s="50"/>
      <c r="I36" s="50"/>
      <c r="J36" s="50"/>
      <c r="K36" s="50"/>
      <c r="L36" s="50"/>
      <c r="M36" s="50"/>
      <c r="N36" s="50"/>
      <c r="O36" s="50"/>
      <c r="P36" s="50"/>
      <c r="Q36" s="50"/>
      <c r="R36" s="50"/>
      <c r="S36" s="50"/>
      <c r="T36" s="50"/>
      <c r="U36" s="50"/>
      <c r="V36" s="50"/>
      <c r="W36" s="50"/>
      <c r="X36" s="50"/>
      <c r="Y36" s="50"/>
      <c r="Z36" s="43" t="str">
        <f t="shared" si="0"/>
        <v>Очікую</v>
      </c>
      <c r="AA36" s="22"/>
      <c r="AB36" s="40"/>
    </row>
    <row r="37" spans="1:28" s="11" customFormat="1" ht="15" customHeight="1" x14ac:dyDescent="0.25">
      <c r="A37" s="41"/>
      <c r="B37" s="12"/>
      <c r="C37" s="48"/>
      <c r="D37" s="48">
        <v>28</v>
      </c>
      <c r="E37" s="49"/>
      <c r="F37" s="50"/>
      <c r="G37" s="50"/>
      <c r="H37" s="50"/>
      <c r="I37" s="50"/>
      <c r="J37" s="50"/>
      <c r="K37" s="50"/>
      <c r="L37" s="50"/>
      <c r="M37" s="50"/>
      <c r="N37" s="50"/>
      <c r="O37" s="50"/>
      <c r="P37" s="50"/>
      <c r="Q37" s="50"/>
      <c r="R37" s="50"/>
      <c r="S37" s="50"/>
      <c r="T37" s="50"/>
      <c r="U37" s="50"/>
      <c r="V37" s="50"/>
      <c r="W37" s="50"/>
      <c r="X37" s="50"/>
      <c r="Y37" s="50"/>
      <c r="Z37" s="43" t="str">
        <f t="shared" si="0"/>
        <v>Очікую</v>
      </c>
      <c r="AA37" s="22"/>
      <c r="AB37" s="40"/>
    </row>
    <row r="38" spans="1:28" s="11" customFormat="1" ht="15" customHeight="1" x14ac:dyDescent="0.25">
      <c r="A38" s="41"/>
      <c r="B38" s="12"/>
      <c r="C38" s="48"/>
      <c r="D38" s="48">
        <v>29</v>
      </c>
      <c r="E38" s="49"/>
      <c r="F38" s="50"/>
      <c r="G38" s="50"/>
      <c r="H38" s="50"/>
      <c r="I38" s="50"/>
      <c r="J38" s="50"/>
      <c r="K38" s="50"/>
      <c r="L38" s="50"/>
      <c r="M38" s="50"/>
      <c r="N38" s="50"/>
      <c r="O38" s="50"/>
      <c r="P38" s="50"/>
      <c r="Q38" s="50"/>
      <c r="R38" s="50"/>
      <c r="S38" s="50"/>
      <c r="T38" s="50"/>
      <c r="U38" s="50"/>
      <c r="V38" s="50"/>
      <c r="W38" s="50"/>
      <c r="X38" s="50"/>
      <c r="Y38" s="50"/>
      <c r="Z38" s="43" t="str">
        <f t="shared" si="0"/>
        <v>Очікую</v>
      </c>
      <c r="AA38" s="22"/>
      <c r="AB38" s="40"/>
    </row>
    <row r="39" spans="1:28" s="11" customFormat="1" ht="15" customHeight="1" x14ac:dyDescent="0.25">
      <c r="A39" s="41"/>
      <c r="B39" s="12"/>
      <c r="C39" s="48"/>
      <c r="D39" s="48">
        <v>30</v>
      </c>
      <c r="E39" s="49"/>
      <c r="F39" s="50"/>
      <c r="G39" s="50"/>
      <c r="H39" s="50"/>
      <c r="I39" s="50"/>
      <c r="J39" s="50"/>
      <c r="K39" s="50"/>
      <c r="L39" s="50"/>
      <c r="M39" s="50"/>
      <c r="N39" s="50"/>
      <c r="O39" s="50"/>
      <c r="P39" s="50"/>
      <c r="Q39" s="50"/>
      <c r="R39" s="50"/>
      <c r="S39" s="50"/>
      <c r="T39" s="50"/>
      <c r="U39" s="50"/>
      <c r="V39" s="50"/>
      <c r="W39" s="50"/>
      <c r="X39" s="50"/>
      <c r="Y39" s="50"/>
      <c r="Z39" s="43" t="str">
        <f t="shared" si="0"/>
        <v>Очікую</v>
      </c>
      <c r="AA39" s="22"/>
      <c r="AB39" s="40"/>
    </row>
    <row r="40" spans="1:28" s="11" customFormat="1" ht="15" customHeight="1" x14ac:dyDescent="0.25">
      <c r="A40" s="41"/>
      <c r="B40" s="12"/>
      <c r="C40" s="48"/>
      <c r="D40" s="48">
        <v>31</v>
      </c>
      <c r="E40" s="49"/>
      <c r="F40" s="50"/>
      <c r="G40" s="50"/>
      <c r="H40" s="50"/>
      <c r="I40" s="50"/>
      <c r="J40" s="50"/>
      <c r="K40" s="50"/>
      <c r="L40" s="50"/>
      <c r="M40" s="50"/>
      <c r="N40" s="50"/>
      <c r="O40" s="50"/>
      <c r="P40" s="50"/>
      <c r="Q40" s="50"/>
      <c r="R40" s="50"/>
      <c r="S40" s="50"/>
      <c r="T40" s="50"/>
      <c r="U40" s="50"/>
      <c r="V40" s="50"/>
      <c r="W40" s="50"/>
      <c r="X40" s="50"/>
      <c r="Y40" s="50"/>
      <c r="Z40" s="43" t="str">
        <f t="shared" si="0"/>
        <v>Очікую</v>
      </c>
      <c r="AA40" s="22"/>
      <c r="AB40" s="40"/>
    </row>
    <row r="41" spans="1:28" s="11" customFormat="1" ht="15" customHeight="1" x14ac:dyDescent="0.25">
      <c r="A41" s="41"/>
      <c r="B41" s="12"/>
      <c r="C41" s="48"/>
      <c r="D41" s="48">
        <v>32</v>
      </c>
      <c r="E41" s="49"/>
      <c r="F41" s="50"/>
      <c r="G41" s="50"/>
      <c r="H41" s="50"/>
      <c r="I41" s="50"/>
      <c r="J41" s="50"/>
      <c r="K41" s="50"/>
      <c r="L41" s="50"/>
      <c r="M41" s="50"/>
      <c r="N41" s="50"/>
      <c r="O41" s="50"/>
      <c r="P41" s="50"/>
      <c r="Q41" s="50"/>
      <c r="R41" s="50"/>
      <c r="S41" s="50"/>
      <c r="T41" s="50"/>
      <c r="U41" s="50"/>
      <c r="V41" s="50"/>
      <c r="W41" s="50"/>
      <c r="X41" s="50"/>
      <c r="Y41" s="50"/>
      <c r="Z41" s="43" t="str">
        <f t="shared" si="0"/>
        <v>Очікую</v>
      </c>
      <c r="AA41" s="22"/>
      <c r="AB41" s="40"/>
    </row>
    <row r="42" spans="1:28" s="11" customFormat="1" ht="15" customHeight="1" x14ac:dyDescent="0.25">
      <c r="A42" s="41"/>
      <c r="B42" s="12"/>
      <c r="C42" s="48"/>
      <c r="D42" s="48">
        <v>33</v>
      </c>
      <c r="E42" s="49"/>
      <c r="F42" s="50"/>
      <c r="G42" s="50"/>
      <c r="H42" s="50"/>
      <c r="I42" s="50"/>
      <c r="J42" s="50"/>
      <c r="K42" s="50"/>
      <c r="L42" s="50"/>
      <c r="M42" s="50"/>
      <c r="N42" s="50"/>
      <c r="O42" s="50"/>
      <c r="P42" s="50"/>
      <c r="Q42" s="50"/>
      <c r="R42" s="50"/>
      <c r="S42" s="50"/>
      <c r="T42" s="50"/>
      <c r="U42" s="50"/>
      <c r="V42" s="50"/>
      <c r="W42" s="50"/>
      <c r="X42" s="50"/>
      <c r="Y42" s="50"/>
      <c r="Z42" s="43" t="str">
        <f t="shared" si="0"/>
        <v>Очікую</v>
      </c>
      <c r="AA42" s="22"/>
      <c r="AB42" s="40"/>
    </row>
    <row r="43" spans="1:28" s="11" customFormat="1" ht="15" customHeight="1" x14ac:dyDescent="0.25">
      <c r="A43" s="41"/>
      <c r="B43" s="12"/>
      <c r="C43" s="48"/>
      <c r="D43" s="48">
        <v>34</v>
      </c>
      <c r="E43" s="49"/>
      <c r="F43" s="50"/>
      <c r="G43" s="50"/>
      <c r="H43" s="50"/>
      <c r="I43" s="50"/>
      <c r="J43" s="50"/>
      <c r="K43" s="50"/>
      <c r="L43" s="50"/>
      <c r="M43" s="50"/>
      <c r="N43" s="50"/>
      <c r="O43" s="50"/>
      <c r="P43" s="50"/>
      <c r="Q43" s="50"/>
      <c r="R43" s="50"/>
      <c r="S43" s="50"/>
      <c r="T43" s="50"/>
      <c r="U43" s="50"/>
      <c r="V43" s="50"/>
      <c r="W43" s="50"/>
      <c r="X43" s="50"/>
      <c r="Y43" s="50"/>
      <c r="Z43" s="43" t="str">
        <f t="shared" si="0"/>
        <v>Очікую</v>
      </c>
      <c r="AA43" s="22"/>
      <c r="AB43" s="40"/>
    </row>
    <row r="44" spans="1:28" s="11" customFormat="1" ht="15" customHeight="1" x14ac:dyDescent="0.25">
      <c r="A44" s="41"/>
      <c r="B44" s="12"/>
      <c r="C44" s="48"/>
      <c r="D44" s="48">
        <v>35</v>
      </c>
      <c r="E44" s="49"/>
      <c r="F44" s="50"/>
      <c r="G44" s="50"/>
      <c r="H44" s="50"/>
      <c r="I44" s="50"/>
      <c r="J44" s="50"/>
      <c r="K44" s="50"/>
      <c r="L44" s="50"/>
      <c r="M44" s="50"/>
      <c r="N44" s="50"/>
      <c r="O44" s="50"/>
      <c r="P44" s="50"/>
      <c r="Q44" s="50"/>
      <c r="R44" s="50"/>
      <c r="S44" s="50"/>
      <c r="T44" s="50"/>
      <c r="U44" s="50"/>
      <c r="V44" s="50"/>
      <c r="W44" s="50"/>
      <c r="X44" s="50"/>
      <c r="Y44" s="50"/>
      <c r="Z44" s="43" t="str">
        <f t="shared" si="0"/>
        <v>Очікую</v>
      </c>
      <c r="AA44" s="22"/>
      <c r="AB44" s="40"/>
    </row>
    <row r="45" spans="1:28" s="11" customFormat="1" ht="15" customHeight="1" x14ac:dyDescent="0.25">
      <c r="A45" s="41"/>
      <c r="B45" s="12"/>
      <c r="C45" s="48"/>
      <c r="D45" s="48">
        <v>36</v>
      </c>
      <c r="E45" s="49"/>
      <c r="F45" s="50"/>
      <c r="G45" s="50"/>
      <c r="H45" s="50"/>
      <c r="I45" s="50"/>
      <c r="J45" s="50"/>
      <c r="K45" s="50"/>
      <c r="L45" s="50"/>
      <c r="M45" s="50"/>
      <c r="N45" s="50"/>
      <c r="O45" s="50"/>
      <c r="P45" s="50"/>
      <c r="Q45" s="50"/>
      <c r="R45" s="50"/>
      <c r="S45" s="50"/>
      <c r="T45" s="50"/>
      <c r="U45" s="50"/>
      <c r="V45" s="50"/>
      <c r="W45" s="50"/>
      <c r="X45" s="50"/>
      <c r="Y45" s="50"/>
      <c r="Z45" s="43" t="str">
        <f t="shared" si="0"/>
        <v>Очікую</v>
      </c>
      <c r="AA45" s="22"/>
      <c r="AB45" s="40"/>
    </row>
    <row r="46" spans="1:28" s="11" customFormat="1" ht="15" customHeight="1" x14ac:dyDescent="0.25">
      <c r="A46" s="41"/>
      <c r="B46" s="12"/>
      <c r="C46" s="48"/>
      <c r="D46" s="48">
        <v>37</v>
      </c>
      <c r="E46" s="49"/>
      <c r="F46" s="50"/>
      <c r="G46" s="50"/>
      <c r="H46" s="50"/>
      <c r="I46" s="50"/>
      <c r="J46" s="50"/>
      <c r="K46" s="50"/>
      <c r="L46" s="50"/>
      <c r="M46" s="50"/>
      <c r="N46" s="50"/>
      <c r="O46" s="50"/>
      <c r="P46" s="50"/>
      <c r="Q46" s="50"/>
      <c r="R46" s="50"/>
      <c r="S46" s="50"/>
      <c r="T46" s="50"/>
      <c r="U46" s="50"/>
      <c r="V46" s="50"/>
      <c r="W46" s="50"/>
      <c r="X46" s="50"/>
      <c r="Y46" s="50"/>
      <c r="Z46" s="43" t="str">
        <f t="shared" si="0"/>
        <v>Очікую</v>
      </c>
      <c r="AA46" s="22"/>
      <c r="AB46" s="40"/>
    </row>
    <row r="47" spans="1:28" s="11" customFormat="1" ht="15" customHeight="1" x14ac:dyDescent="0.25">
      <c r="A47" s="41"/>
      <c r="B47" s="12"/>
      <c r="C47" s="48"/>
      <c r="D47" s="48">
        <v>38</v>
      </c>
      <c r="E47" s="49"/>
      <c r="F47" s="50"/>
      <c r="G47" s="50"/>
      <c r="H47" s="50"/>
      <c r="I47" s="50"/>
      <c r="J47" s="50"/>
      <c r="K47" s="50"/>
      <c r="L47" s="50"/>
      <c r="M47" s="50"/>
      <c r="N47" s="50"/>
      <c r="O47" s="50"/>
      <c r="P47" s="50"/>
      <c r="Q47" s="50"/>
      <c r="R47" s="50"/>
      <c r="S47" s="50"/>
      <c r="T47" s="50"/>
      <c r="U47" s="50"/>
      <c r="V47" s="50"/>
      <c r="W47" s="50"/>
      <c r="X47" s="50"/>
      <c r="Y47" s="50"/>
      <c r="Z47" s="43" t="str">
        <f t="shared" si="0"/>
        <v>Очікую</v>
      </c>
      <c r="AA47" s="22"/>
      <c r="AB47" s="40"/>
    </row>
    <row r="48" spans="1:28" s="11" customFormat="1" ht="15" customHeight="1" x14ac:dyDescent="0.25">
      <c r="A48" s="41"/>
      <c r="B48" s="12"/>
      <c r="C48" s="48"/>
      <c r="D48" s="48">
        <v>39</v>
      </c>
      <c r="E48" s="49"/>
      <c r="F48" s="50"/>
      <c r="G48" s="50"/>
      <c r="H48" s="50"/>
      <c r="I48" s="50"/>
      <c r="J48" s="50"/>
      <c r="K48" s="50"/>
      <c r="L48" s="50"/>
      <c r="M48" s="50"/>
      <c r="N48" s="50"/>
      <c r="O48" s="50"/>
      <c r="P48" s="50"/>
      <c r="Q48" s="50"/>
      <c r="R48" s="50"/>
      <c r="S48" s="50"/>
      <c r="T48" s="50"/>
      <c r="U48" s="50"/>
      <c r="V48" s="50"/>
      <c r="W48" s="50"/>
      <c r="X48" s="50"/>
      <c r="Y48" s="50"/>
      <c r="Z48" s="43" t="str">
        <f t="shared" si="0"/>
        <v>Очікую</v>
      </c>
      <c r="AA48" s="22"/>
      <c r="AB48" s="40"/>
    </row>
    <row r="49" spans="1:28" s="11" customFormat="1" ht="15" customHeight="1" x14ac:dyDescent="0.25">
      <c r="A49" s="41"/>
      <c r="B49" s="12"/>
      <c r="C49" s="48"/>
      <c r="D49" s="48">
        <v>40</v>
      </c>
      <c r="E49" s="49"/>
      <c r="F49" s="50"/>
      <c r="G49" s="50"/>
      <c r="H49" s="50"/>
      <c r="I49" s="50"/>
      <c r="J49" s="50"/>
      <c r="K49" s="50"/>
      <c r="L49" s="50"/>
      <c r="M49" s="50"/>
      <c r="N49" s="50"/>
      <c r="O49" s="50"/>
      <c r="P49" s="50"/>
      <c r="Q49" s="50"/>
      <c r="R49" s="50"/>
      <c r="S49" s="50"/>
      <c r="T49" s="50"/>
      <c r="U49" s="50"/>
      <c r="V49" s="50"/>
      <c r="W49" s="50"/>
      <c r="X49" s="50"/>
      <c r="Y49" s="50"/>
      <c r="Z49" s="43" t="str">
        <f t="shared" si="0"/>
        <v>Очікую</v>
      </c>
      <c r="AA49" s="22"/>
      <c r="AB49" s="40"/>
    </row>
    <row r="50" spans="1:28" s="11" customFormat="1" ht="15" customHeight="1" x14ac:dyDescent="0.25">
      <c r="A50" s="41"/>
      <c r="B50" s="12"/>
      <c r="C50" s="48"/>
      <c r="D50" s="48">
        <v>41</v>
      </c>
      <c r="E50" s="49"/>
      <c r="F50" s="50"/>
      <c r="G50" s="50"/>
      <c r="H50" s="50"/>
      <c r="I50" s="50"/>
      <c r="J50" s="50"/>
      <c r="K50" s="50"/>
      <c r="L50" s="50"/>
      <c r="M50" s="50"/>
      <c r="N50" s="50"/>
      <c r="O50" s="50"/>
      <c r="P50" s="50"/>
      <c r="Q50" s="50"/>
      <c r="R50" s="50"/>
      <c r="S50" s="50"/>
      <c r="T50" s="50"/>
      <c r="U50" s="50"/>
      <c r="V50" s="50"/>
      <c r="W50" s="50"/>
      <c r="X50" s="50"/>
      <c r="Y50" s="50"/>
      <c r="Z50" s="43" t="str">
        <f t="shared" si="0"/>
        <v>Очікую</v>
      </c>
      <c r="AA50" s="22"/>
      <c r="AB50" s="40"/>
    </row>
    <row r="51" spans="1:28" s="11" customFormat="1" ht="15" customHeight="1" x14ac:dyDescent="0.25">
      <c r="A51" s="41"/>
      <c r="B51" s="12"/>
      <c r="C51" s="48"/>
      <c r="D51" s="48">
        <v>42</v>
      </c>
      <c r="E51" s="49"/>
      <c r="F51" s="50"/>
      <c r="G51" s="50"/>
      <c r="H51" s="50"/>
      <c r="I51" s="50"/>
      <c r="J51" s="50"/>
      <c r="K51" s="50"/>
      <c r="L51" s="50"/>
      <c r="M51" s="50"/>
      <c r="N51" s="50"/>
      <c r="O51" s="50"/>
      <c r="P51" s="50"/>
      <c r="Q51" s="50"/>
      <c r="R51" s="50"/>
      <c r="S51" s="50"/>
      <c r="T51" s="50"/>
      <c r="U51" s="50"/>
      <c r="V51" s="50"/>
      <c r="W51" s="50"/>
      <c r="X51" s="50"/>
      <c r="Y51" s="50"/>
      <c r="Z51" s="43" t="str">
        <f t="shared" si="0"/>
        <v>Очікую</v>
      </c>
      <c r="AA51" s="22"/>
      <c r="AB51" s="40"/>
    </row>
    <row r="52" spans="1:28" s="11" customFormat="1" ht="15" customHeight="1" x14ac:dyDescent="0.25">
      <c r="A52" s="41"/>
      <c r="B52" s="12"/>
      <c r="C52" s="48"/>
      <c r="D52" s="48">
        <v>43</v>
      </c>
      <c r="E52" s="49"/>
      <c r="F52" s="50"/>
      <c r="G52" s="50"/>
      <c r="H52" s="50"/>
      <c r="I52" s="50"/>
      <c r="J52" s="50"/>
      <c r="K52" s="50"/>
      <c r="L52" s="50"/>
      <c r="M52" s="50"/>
      <c r="N52" s="50"/>
      <c r="O52" s="50"/>
      <c r="P52" s="50"/>
      <c r="Q52" s="50"/>
      <c r="R52" s="50"/>
      <c r="S52" s="50"/>
      <c r="T52" s="50"/>
      <c r="U52" s="50"/>
      <c r="V52" s="50"/>
      <c r="W52" s="50"/>
      <c r="X52" s="50"/>
      <c r="Y52" s="50"/>
      <c r="Z52" s="43" t="str">
        <f t="shared" si="0"/>
        <v>Очікую</v>
      </c>
      <c r="AA52" s="22"/>
      <c r="AB52" s="40"/>
    </row>
    <row r="53" spans="1:28" s="11" customFormat="1" ht="15" customHeight="1" x14ac:dyDescent="0.25">
      <c r="A53" s="41"/>
      <c r="B53" s="12"/>
      <c r="C53" s="48"/>
      <c r="D53" s="48">
        <v>44</v>
      </c>
      <c r="E53" s="49"/>
      <c r="F53" s="50"/>
      <c r="G53" s="50"/>
      <c r="H53" s="50"/>
      <c r="I53" s="50"/>
      <c r="J53" s="50"/>
      <c r="K53" s="50"/>
      <c r="L53" s="50"/>
      <c r="M53" s="50"/>
      <c r="N53" s="50"/>
      <c r="O53" s="50"/>
      <c r="P53" s="50"/>
      <c r="Q53" s="50"/>
      <c r="R53" s="50"/>
      <c r="S53" s="50"/>
      <c r="T53" s="50"/>
      <c r="U53" s="50"/>
      <c r="V53" s="50"/>
      <c r="W53" s="50"/>
      <c r="X53" s="50"/>
      <c r="Y53" s="50"/>
      <c r="Z53" s="43" t="str">
        <f t="shared" si="0"/>
        <v>Очікую</v>
      </c>
      <c r="AA53" s="22"/>
      <c r="AB53" s="40"/>
    </row>
    <row r="54" spans="1:28" s="11" customFormat="1" ht="15" customHeight="1" x14ac:dyDescent="0.25">
      <c r="A54" s="41"/>
      <c r="B54" s="12"/>
      <c r="C54" s="48"/>
      <c r="D54" s="48">
        <v>45</v>
      </c>
      <c r="E54" s="49"/>
      <c r="F54" s="50"/>
      <c r="G54" s="50"/>
      <c r="H54" s="50"/>
      <c r="I54" s="50"/>
      <c r="J54" s="50"/>
      <c r="K54" s="50"/>
      <c r="L54" s="50"/>
      <c r="M54" s="50"/>
      <c r="N54" s="50"/>
      <c r="O54" s="50"/>
      <c r="P54" s="50"/>
      <c r="Q54" s="50"/>
      <c r="R54" s="50"/>
      <c r="S54" s="50"/>
      <c r="T54" s="50"/>
      <c r="U54" s="50"/>
      <c r="V54" s="50"/>
      <c r="W54" s="50"/>
      <c r="X54" s="50"/>
      <c r="Y54" s="50"/>
      <c r="Z54" s="43" t="str">
        <f t="shared" si="0"/>
        <v>Очікую</v>
      </c>
      <c r="AA54" s="22"/>
      <c r="AB54" s="40"/>
    </row>
    <row r="55" spans="1:28" s="11" customFormat="1" ht="15" customHeight="1" x14ac:dyDescent="0.25">
      <c r="A55" s="41"/>
      <c r="B55" s="12"/>
      <c r="C55" s="48"/>
      <c r="D55" s="48">
        <v>46</v>
      </c>
      <c r="E55" s="49"/>
      <c r="F55" s="50"/>
      <c r="G55" s="50"/>
      <c r="H55" s="50"/>
      <c r="I55" s="50"/>
      <c r="J55" s="50"/>
      <c r="K55" s="50"/>
      <c r="L55" s="50"/>
      <c r="M55" s="50"/>
      <c r="N55" s="50"/>
      <c r="O55" s="50"/>
      <c r="P55" s="50"/>
      <c r="Q55" s="50"/>
      <c r="R55" s="50"/>
      <c r="S55" s="50"/>
      <c r="T55" s="50"/>
      <c r="U55" s="50"/>
      <c r="V55" s="50"/>
      <c r="W55" s="50"/>
      <c r="X55" s="50"/>
      <c r="Y55" s="50"/>
      <c r="Z55" s="43" t="str">
        <f t="shared" si="0"/>
        <v>Очікую</v>
      </c>
      <c r="AA55" s="22"/>
      <c r="AB55" s="40"/>
    </row>
    <row r="56" spans="1:28" s="11" customFormat="1" ht="15" customHeight="1" x14ac:dyDescent="0.25">
      <c r="A56" s="41"/>
      <c r="B56" s="12"/>
      <c r="C56" s="48"/>
      <c r="D56" s="48">
        <v>47</v>
      </c>
      <c r="E56" s="49"/>
      <c r="F56" s="50"/>
      <c r="G56" s="50"/>
      <c r="H56" s="50"/>
      <c r="I56" s="50"/>
      <c r="J56" s="50"/>
      <c r="K56" s="50"/>
      <c r="L56" s="50"/>
      <c r="M56" s="50"/>
      <c r="N56" s="50"/>
      <c r="O56" s="50"/>
      <c r="P56" s="50"/>
      <c r="Q56" s="50"/>
      <c r="R56" s="50"/>
      <c r="S56" s="50"/>
      <c r="T56" s="50"/>
      <c r="U56" s="50"/>
      <c r="V56" s="50"/>
      <c r="W56" s="50"/>
      <c r="X56" s="50"/>
      <c r="Y56" s="50"/>
      <c r="Z56" s="43" t="str">
        <f t="shared" si="0"/>
        <v>Очікую</v>
      </c>
      <c r="AA56" s="22"/>
      <c r="AB56" s="40"/>
    </row>
    <row r="57" spans="1:28" s="11" customFormat="1" ht="15" customHeight="1" x14ac:dyDescent="0.25">
      <c r="A57" s="41"/>
      <c r="B57" s="12"/>
      <c r="C57" s="48"/>
      <c r="D57" s="48">
        <v>48</v>
      </c>
      <c r="E57" s="49"/>
      <c r="F57" s="50"/>
      <c r="G57" s="50"/>
      <c r="H57" s="50"/>
      <c r="I57" s="50"/>
      <c r="J57" s="50"/>
      <c r="K57" s="50"/>
      <c r="L57" s="50"/>
      <c r="M57" s="50"/>
      <c r="N57" s="50"/>
      <c r="O57" s="50"/>
      <c r="P57" s="50"/>
      <c r="Q57" s="50"/>
      <c r="R57" s="50"/>
      <c r="S57" s="50"/>
      <c r="T57" s="50"/>
      <c r="U57" s="50"/>
      <c r="V57" s="50"/>
      <c r="W57" s="50"/>
      <c r="X57" s="50"/>
      <c r="Y57" s="50"/>
      <c r="Z57" s="43" t="str">
        <f t="shared" si="0"/>
        <v>Очікую</v>
      </c>
      <c r="AA57" s="22"/>
      <c r="AB57" s="40"/>
    </row>
    <row r="58" spans="1:28" s="11" customFormat="1" ht="15" customHeight="1" x14ac:dyDescent="0.25">
      <c r="A58" s="41"/>
      <c r="B58" s="12"/>
      <c r="C58" s="48"/>
      <c r="D58" s="48">
        <v>49</v>
      </c>
      <c r="E58" s="49"/>
      <c r="F58" s="50"/>
      <c r="G58" s="50"/>
      <c r="H58" s="50"/>
      <c r="I58" s="50"/>
      <c r="J58" s="50"/>
      <c r="K58" s="50"/>
      <c r="L58" s="50"/>
      <c r="M58" s="50"/>
      <c r="N58" s="50"/>
      <c r="O58" s="50"/>
      <c r="P58" s="50"/>
      <c r="Q58" s="50"/>
      <c r="R58" s="50"/>
      <c r="S58" s="50"/>
      <c r="T58" s="50"/>
      <c r="U58" s="50"/>
      <c r="V58" s="50"/>
      <c r="W58" s="50"/>
      <c r="X58" s="50"/>
      <c r="Y58" s="50"/>
      <c r="Z58" s="43" t="str">
        <f t="shared" si="0"/>
        <v>Очікую</v>
      </c>
      <c r="AA58" s="22"/>
      <c r="AB58" s="40"/>
    </row>
    <row r="59" spans="1:28" s="11" customFormat="1" ht="15" customHeight="1" x14ac:dyDescent="0.25">
      <c r="A59" s="41"/>
      <c r="B59" s="12"/>
      <c r="C59" s="48"/>
      <c r="D59" s="48">
        <v>50</v>
      </c>
      <c r="E59" s="49"/>
      <c r="F59" s="50"/>
      <c r="G59" s="50"/>
      <c r="H59" s="50"/>
      <c r="I59" s="50"/>
      <c r="J59" s="50"/>
      <c r="K59" s="50"/>
      <c r="L59" s="50"/>
      <c r="M59" s="50"/>
      <c r="N59" s="50"/>
      <c r="O59" s="50"/>
      <c r="P59" s="50"/>
      <c r="Q59" s="50"/>
      <c r="R59" s="50"/>
      <c r="S59" s="50"/>
      <c r="T59" s="50"/>
      <c r="U59" s="50"/>
      <c r="V59" s="50"/>
      <c r="W59" s="50"/>
      <c r="X59" s="50"/>
      <c r="Y59" s="50"/>
      <c r="Z59" s="43" t="str">
        <f t="shared" si="0"/>
        <v>Очікую</v>
      </c>
      <c r="AA59" s="22"/>
      <c r="AB59" s="40"/>
    </row>
    <row r="60" spans="1:28" s="11" customFormat="1" ht="15" customHeight="1" x14ac:dyDescent="0.25">
      <c r="A60" s="41"/>
      <c r="B60" s="12"/>
      <c r="C60" s="48"/>
      <c r="D60" s="48">
        <v>51</v>
      </c>
      <c r="E60" s="49"/>
      <c r="F60" s="50"/>
      <c r="G60" s="50"/>
      <c r="H60" s="50"/>
      <c r="I60" s="50"/>
      <c r="J60" s="50"/>
      <c r="K60" s="50"/>
      <c r="L60" s="50"/>
      <c r="M60" s="50"/>
      <c r="N60" s="50"/>
      <c r="O60" s="50"/>
      <c r="P60" s="50"/>
      <c r="Q60" s="50"/>
      <c r="R60" s="50"/>
      <c r="S60" s="50"/>
      <c r="T60" s="50"/>
      <c r="U60" s="50"/>
      <c r="V60" s="50"/>
      <c r="W60" s="50"/>
      <c r="X60" s="50"/>
      <c r="Y60" s="50"/>
      <c r="Z60" s="43" t="str">
        <f t="shared" si="0"/>
        <v>Очікую</v>
      </c>
      <c r="AA60" s="22"/>
      <c r="AB60" s="40"/>
    </row>
    <row r="61" spans="1:28" s="11" customFormat="1" ht="15" customHeight="1" x14ac:dyDescent="0.25">
      <c r="A61" s="41"/>
      <c r="B61" s="12"/>
      <c r="C61" s="48"/>
      <c r="D61" s="48">
        <v>52</v>
      </c>
      <c r="E61" s="49"/>
      <c r="F61" s="50"/>
      <c r="G61" s="50"/>
      <c r="H61" s="50"/>
      <c r="I61" s="50"/>
      <c r="J61" s="50"/>
      <c r="K61" s="50"/>
      <c r="L61" s="50"/>
      <c r="M61" s="50"/>
      <c r="N61" s="50"/>
      <c r="O61" s="50"/>
      <c r="P61" s="50"/>
      <c r="Q61" s="50"/>
      <c r="R61" s="50"/>
      <c r="S61" s="50"/>
      <c r="T61" s="50"/>
      <c r="U61" s="50"/>
      <c r="V61" s="50"/>
      <c r="W61" s="50"/>
      <c r="X61" s="50"/>
      <c r="Y61" s="50"/>
      <c r="Z61" s="43" t="str">
        <f t="shared" si="0"/>
        <v>Очікую</v>
      </c>
      <c r="AA61" s="22"/>
      <c r="AB61" s="40"/>
    </row>
    <row r="62" spans="1:28" s="11" customFormat="1" ht="15" customHeight="1" x14ac:dyDescent="0.25">
      <c r="A62" s="41"/>
      <c r="B62" s="12"/>
      <c r="C62" s="48"/>
      <c r="D62" s="48">
        <v>53</v>
      </c>
      <c r="E62" s="49"/>
      <c r="F62" s="50"/>
      <c r="G62" s="50"/>
      <c r="H62" s="50"/>
      <c r="I62" s="50"/>
      <c r="J62" s="50"/>
      <c r="K62" s="50"/>
      <c r="L62" s="50"/>
      <c r="M62" s="50"/>
      <c r="N62" s="50"/>
      <c r="O62" s="50"/>
      <c r="P62" s="50"/>
      <c r="Q62" s="50"/>
      <c r="R62" s="50"/>
      <c r="S62" s="50"/>
      <c r="T62" s="50"/>
      <c r="U62" s="50"/>
      <c r="V62" s="50"/>
      <c r="W62" s="50"/>
      <c r="X62" s="50"/>
      <c r="Y62" s="50"/>
      <c r="Z62" s="43" t="str">
        <f t="shared" si="0"/>
        <v>Очікую</v>
      </c>
      <c r="AA62" s="22"/>
      <c r="AB62" s="40"/>
    </row>
    <row r="63" spans="1:28" s="11" customFormat="1" ht="15" customHeight="1" x14ac:dyDescent="0.25">
      <c r="A63" s="41"/>
      <c r="B63" s="12"/>
      <c r="C63" s="48"/>
      <c r="D63" s="48">
        <v>54</v>
      </c>
      <c r="E63" s="49"/>
      <c r="F63" s="50"/>
      <c r="G63" s="50"/>
      <c r="H63" s="50"/>
      <c r="I63" s="50"/>
      <c r="J63" s="50"/>
      <c r="K63" s="50"/>
      <c r="L63" s="50"/>
      <c r="M63" s="50"/>
      <c r="N63" s="50"/>
      <c r="O63" s="50"/>
      <c r="P63" s="50"/>
      <c r="Q63" s="50"/>
      <c r="R63" s="50"/>
      <c r="S63" s="50"/>
      <c r="T63" s="50"/>
      <c r="U63" s="50"/>
      <c r="V63" s="50"/>
      <c r="W63" s="50"/>
      <c r="X63" s="50"/>
      <c r="Y63" s="50"/>
      <c r="Z63" s="43" t="str">
        <f t="shared" si="0"/>
        <v>Очікую</v>
      </c>
      <c r="AA63" s="22"/>
      <c r="AB63" s="40"/>
    </row>
    <row r="64" spans="1:28" s="11" customFormat="1" ht="15" customHeight="1" x14ac:dyDescent="0.25">
      <c r="A64" s="41"/>
      <c r="B64" s="12"/>
      <c r="C64" s="48"/>
      <c r="D64" s="48">
        <v>55</v>
      </c>
      <c r="E64" s="49"/>
      <c r="F64" s="50"/>
      <c r="G64" s="50"/>
      <c r="H64" s="50"/>
      <c r="I64" s="50"/>
      <c r="J64" s="50"/>
      <c r="K64" s="50"/>
      <c r="L64" s="50"/>
      <c r="M64" s="50"/>
      <c r="N64" s="50"/>
      <c r="O64" s="50"/>
      <c r="P64" s="50"/>
      <c r="Q64" s="50"/>
      <c r="R64" s="50"/>
      <c r="S64" s="50"/>
      <c r="T64" s="50"/>
      <c r="U64" s="50"/>
      <c r="V64" s="50"/>
      <c r="W64" s="50"/>
      <c r="X64" s="50"/>
      <c r="Y64" s="50"/>
      <c r="Z64" s="43" t="str">
        <f t="shared" si="0"/>
        <v>Очікую</v>
      </c>
      <c r="AA64" s="22"/>
      <c r="AB64" s="40"/>
    </row>
    <row r="65" spans="1:28" s="11" customFormat="1" ht="15" customHeight="1" x14ac:dyDescent="0.25">
      <c r="A65" s="41"/>
      <c r="B65" s="12"/>
      <c r="C65" s="48"/>
      <c r="D65" s="48">
        <v>56</v>
      </c>
      <c r="E65" s="49"/>
      <c r="F65" s="50"/>
      <c r="G65" s="50"/>
      <c r="H65" s="50"/>
      <c r="I65" s="50"/>
      <c r="J65" s="50"/>
      <c r="K65" s="50"/>
      <c r="L65" s="50"/>
      <c r="M65" s="50"/>
      <c r="N65" s="50"/>
      <c r="O65" s="50"/>
      <c r="P65" s="50"/>
      <c r="Q65" s="50"/>
      <c r="R65" s="50"/>
      <c r="S65" s="50"/>
      <c r="T65" s="50"/>
      <c r="U65" s="50"/>
      <c r="V65" s="50"/>
      <c r="W65" s="50"/>
      <c r="X65" s="50"/>
      <c r="Y65" s="50"/>
      <c r="Z65" s="43" t="str">
        <f t="shared" si="0"/>
        <v>Очікую</v>
      </c>
      <c r="AA65" s="22"/>
      <c r="AB65" s="40"/>
    </row>
    <row r="66" spans="1:28" s="11" customFormat="1" ht="15" customHeight="1" x14ac:dyDescent="0.25">
      <c r="A66" s="41"/>
      <c r="B66" s="12"/>
      <c r="C66" s="48"/>
      <c r="D66" s="48">
        <v>57</v>
      </c>
      <c r="E66" s="49"/>
      <c r="F66" s="50"/>
      <c r="G66" s="50"/>
      <c r="H66" s="50"/>
      <c r="I66" s="50"/>
      <c r="J66" s="50"/>
      <c r="K66" s="50"/>
      <c r="L66" s="50"/>
      <c r="M66" s="50"/>
      <c r="N66" s="50"/>
      <c r="O66" s="50"/>
      <c r="P66" s="50"/>
      <c r="Q66" s="50"/>
      <c r="R66" s="50"/>
      <c r="S66" s="50"/>
      <c r="T66" s="50"/>
      <c r="U66" s="50"/>
      <c r="V66" s="50"/>
      <c r="W66" s="50"/>
      <c r="X66" s="50"/>
      <c r="Y66" s="50"/>
      <c r="Z66" s="43" t="str">
        <f t="shared" si="0"/>
        <v>Очікую</v>
      </c>
      <c r="AA66" s="22"/>
      <c r="AB66" s="40"/>
    </row>
    <row r="67" spans="1:28" s="11" customFormat="1" ht="15" customHeight="1" x14ac:dyDescent="0.25">
      <c r="A67" s="41"/>
      <c r="B67" s="12"/>
      <c r="C67" s="48"/>
      <c r="D67" s="48">
        <v>58</v>
      </c>
      <c r="E67" s="49"/>
      <c r="F67" s="50"/>
      <c r="G67" s="50"/>
      <c r="H67" s="50"/>
      <c r="I67" s="50"/>
      <c r="J67" s="50"/>
      <c r="K67" s="50"/>
      <c r="L67" s="50"/>
      <c r="M67" s="50"/>
      <c r="N67" s="50"/>
      <c r="O67" s="50"/>
      <c r="P67" s="50"/>
      <c r="Q67" s="50"/>
      <c r="R67" s="50"/>
      <c r="S67" s="50"/>
      <c r="T67" s="50"/>
      <c r="U67" s="50"/>
      <c r="V67" s="50"/>
      <c r="W67" s="50"/>
      <c r="X67" s="50"/>
      <c r="Y67" s="50"/>
      <c r="Z67" s="43" t="str">
        <f t="shared" si="0"/>
        <v>Очікую</v>
      </c>
      <c r="AA67" s="22"/>
      <c r="AB67" s="40"/>
    </row>
    <row r="68" spans="1:28" s="11" customFormat="1" ht="15" customHeight="1" x14ac:dyDescent="0.25">
      <c r="A68" s="41"/>
      <c r="B68" s="12"/>
      <c r="C68" s="48"/>
      <c r="D68" s="48">
        <v>59</v>
      </c>
      <c r="E68" s="49"/>
      <c r="F68" s="50"/>
      <c r="G68" s="50"/>
      <c r="H68" s="50"/>
      <c r="I68" s="50"/>
      <c r="J68" s="50"/>
      <c r="K68" s="50"/>
      <c r="L68" s="50"/>
      <c r="M68" s="50"/>
      <c r="N68" s="50"/>
      <c r="O68" s="50"/>
      <c r="P68" s="50"/>
      <c r="Q68" s="50"/>
      <c r="R68" s="50"/>
      <c r="S68" s="50"/>
      <c r="T68" s="50"/>
      <c r="U68" s="50"/>
      <c r="V68" s="50"/>
      <c r="W68" s="50"/>
      <c r="X68" s="50"/>
      <c r="Y68" s="50"/>
      <c r="Z68" s="43" t="str">
        <f t="shared" si="0"/>
        <v>Очікую</v>
      </c>
      <c r="AA68" s="22"/>
      <c r="AB68" s="40"/>
    </row>
    <row r="69" spans="1:28" s="11" customFormat="1" ht="15" customHeight="1" x14ac:dyDescent="0.25">
      <c r="A69" s="41"/>
      <c r="B69" s="12"/>
      <c r="C69" s="48"/>
      <c r="D69" s="48">
        <v>60</v>
      </c>
      <c r="E69" s="49"/>
      <c r="F69" s="50"/>
      <c r="G69" s="50"/>
      <c r="H69" s="50"/>
      <c r="I69" s="50"/>
      <c r="J69" s="50"/>
      <c r="K69" s="50"/>
      <c r="L69" s="50"/>
      <c r="M69" s="50"/>
      <c r="N69" s="50"/>
      <c r="O69" s="50"/>
      <c r="P69" s="50"/>
      <c r="Q69" s="50"/>
      <c r="R69" s="50"/>
      <c r="S69" s="50"/>
      <c r="T69" s="50"/>
      <c r="U69" s="50"/>
      <c r="V69" s="50"/>
      <c r="W69" s="50"/>
      <c r="X69" s="50"/>
      <c r="Y69" s="50"/>
      <c r="Z69" s="43" t="str">
        <f t="shared" si="0"/>
        <v>Очікую</v>
      </c>
      <c r="AA69" s="22"/>
      <c r="AB69" s="40"/>
    </row>
    <row r="70" spans="1:28" s="11" customFormat="1" ht="15" customHeight="1" x14ac:dyDescent="0.25">
      <c r="A70" s="41"/>
      <c r="B70" s="12"/>
      <c r="C70" s="48"/>
      <c r="D70" s="48">
        <v>61</v>
      </c>
      <c r="E70" s="49"/>
      <c r="F70" s="50"/>
      <c r="G70" s="50"/>
      <c r="H70" s="50"/>
      <c r="I70" s="50"/>
      <c r="J70" s="50"/>
      <c r="K70" s="50"/>
      <c r="L70" s="50"/>
      <c r="M70" s="50"/>
      <c r="N70" s="50"/>
      <c r="O70" s="50"/>
      <c r="P70" s="50"/>
      <c r="Q70" s="50"/>
      <c r="R70" s="50"/>
      <c r="S70" s="50"/>
      <c r="T70" s="50"/>
      <c r="U70" s="50"/>
      <c r="V70" s="50"/>
      <c r="W70" s="50"/>
      <c r="X70" s="50"/>
      <c r="Y70" s="50"/>
      <c r="Z70" s="43" t="str">
        <f t="shared" si="0"/>
        <v>Очікую</v>
      </c>
      <c r="AA70" s="22"/>
      <c r="AB70" s="40"/>
    </row>
    <row r="71" spans="1:28" s="11" customFormat="1" ht="15" customHeight="1" x14ac:dyDescent="0.25">
      <c r="A71" s="41"/>
      <c r="B71" s="12"/>
      <c r="C71" s="48"/>
      <c r="D71" s="48">
        <v>62</v>
      </c>
      <c r="E71" s="49"/>
      <c r="F71" s="50"/>
      <c r="G71" s="50"/>
      <c r="H71" s="50"/>
      <c r="I71" s="50"/>
      <c r="J71" s="50"/>
      <c r="K71" s="50"/>
      <c r="L71" s="50"/>
      <c r="M71" s="50"/>
      <c r="N71" s="50"/>
      <c r="O71" s="50"/>
      <c r="P71" s="50"/>
      <c r="Q71" s="50"/>
      <c r="R71" s="50"/>
      <c r="S71" s="50"/>
      <c r="T71" s="50"/>
      <c r="U71" s="50"/>
      <c r="V71" s="50"/>
      <c r="W71" s="50"/>
      <c r="X71" s="50"/>
      <c r="Y71" s="50"/>
      <c r="Z71" s="43" t="str">
        <f t="shared" si="0"/>
        <v>Очікую</v>
      </c>
      <c r="AA71" s="22"/>
      <c r="AB71" s="40"/>
    </row>
    <row r="72" spans="1:28" s="11" customFormat="1" ht="15" customHeight="1" x14ac:dyDescent="0.25">
      <c r="A72" s="41"/>
      <c r="B72" s="12"/>
      <c r="C72" s="48"/>
      <c r="D72" s="48">
        <v>63</v>
      </c>
      <c r="E72" s="49"/>
      <c r="F72" s="50"/>
      <c r="G72" s="50"/>
      <c r="H72" s="50"/>
      <c r="I72" s="50"/>
      <c r="J72" s="50"/>
      <c r="K72" s="50"/>
      <c r="L72" s="50"/>
      <c r="M72" s="50"/>
      <c r="N72" s="50"/>
      <c r="O72" s="50"/>
      <c r="P72" s="50"/>
      <c r="Q72" s="50"/>
      <c r="R72" s="50"/>
      <c r="S72" s="50"/>
      <c r="T72" s="50"/>
      <c r="U72" s="50"/>
      <c r="V72" s="50"/>
      <c r="W72" s="50"/>
      <c r="X72" s="50"/>
      <c r="Y72" s="50"/>
      <c r="Z72" s="43" t="str">
        <f t="shared" si="0"/>
        <v>Очікую</v>
      </c>
      <c r="AA72" s="22"/>
      <c r="AB72" s="40"/>
    </row>
    <row r="73" spans="1:28" s="11" customFormat="1" ht="15" customHeight="1" x14ac:dyDescent="0.25">
      <c r="A73" s="41"/>
      <c r="B73" s="12"/>
      <c r="C73" s="48"/>
      <c r="D73" s="48">
        <v>64</v>
      </c>
      <c r="E73" s="49"/>
      <c r="F73" s="50"/>
      <c r="G73" s="50"/>
      <c r="H73" s="50"/>
      <c r="I73" s="50"/>
      <c r="J73" s="50"/>
      <c r="K73" s="50"/>
      <c r="L73" s="50"/>
      <c r="M73" s="50"/>
      <c r="N73" s="50"/>
      <c r="O73" s="50"/>
      <c r="P73" s="50"/>
      <c r="Q73" s="50"/>
      <c r="R73" s="50"/>
      <c r="S73" s="50"/>
      <c r="T73" s="50"/>
      <c r="U73" s="50"/>
      <c r="V73" s="50"/>
      <c r="W73" s="50"/>
      <c r="X73" s="50"/>
      <c r="Y73" s="50"/>
      <c r="Z73" s="43" t="str">
        <f t="shared" si="0"/>
        <v>Очікую</v>
      </c>
      <c r="AA73" s="22"/>
      <c r="AB73" s="40"/>
    </row>
    <row r="74" spans="1:28" s="11" customFormat="1" ht="15" customHeight="1" x14ac:dyDescent="0.25">
      <c r="A74" s="41"/>
      <c r="B74" s="12"/>
      <c r="C74" s="48"/>
      <c r="D74" s="48">
        <v>65</v>
      </c>
      <c r="E74" s="49"/>
      <c r="F74" s="50"/>
      <c r="G74" s="50"/>
      <c r="H74" s="50"/>
      <c r="I74" s="50"/>
      <c r="J74" s="50"/>
      <c r="K74" s="50"/>
      <c r="L74" s="50"/>
      <c r="M74" s="50"/>
      <c r="N74" s="50"/>
      <c r="O74" s="50"/>
      <c r="P74" s="50"/>
      <c r="Q74" s="50"/>
      <c r="R74" s="50"/>
      <c r="S74" s="50"/>
      <c r="T74" s="50"/>
      <c r="U74" s="50"/>
      <c r="V74" s="50"/>
      <c r="W74" s="50"/>
      <c r="X74" s="50"/>
      <c r="Y74" s="50"/>
      <c r="Z74" s="43" t="str">
        <f t="shared" si="0"/>
        <v>Очікую</v>
      </c>
      <c r="AA74" s="22"/>
      <c r="AB74" s="40"/>
    </row>
    <row r="75" spans="1:28" s="11" customFormat="1" ht="15" customHeight="1" x14ac:dyDescent="0.25">
      <c r="A75" s="41"/>
      <c r="B75" s="12"/>
      <c r="C75" s="48"/>
      <c r="D75" s="48">
        <v>66</v>
      </c>
      <c r="E75" s="49"/>
      <c r="F75" s="50"/>
      <c r="G75" s="50"/>
      <c r="H75" s="50"/>
      <c r="I75" s="50"/>
      <c r="J75" s="50"/>
      <c r="K75" s="50"/>
      <c r="L75" s="50"/>
      <c r="M75" s="50"/>
      <c r="N75" s="50"/>
      <c r="O75" s="50"/>
      <c r="P75" s="50"/>
      <c r="Q75" s="50"/>
      <c r="R75" s="50"/>
      <c r="S75" s="50"/>
      <c r="T75" s="50"/>
      <c r="U75" s="50"/>
      <c r="V75" s="50"/>
      <c r="W75" s="50"/>
      <c r="X75" s="50"/>
      <c r="Y75" s="50"/>
      <c r="Z75" s="43" t="str">
        <f t="shared" ref="Z75:Z109" si="1">IF(COUNTIF(F75:Y75,"=*")&gt;0,IF($C75="К","-"," - "),IF(COUNTIF(F75:Y75,"&lt;4")&gt;0,IF(C75="К","-"," - "),(IFERROR(AVERAGE(F75:Y75),"Очікую"))))</f>
        <v>Очікую</v>
      </c>
      <c r="AA75" s="22"/>
      <c r="AB75" s="40"/>
    </row>
    <row r="76" spans="1:28" s="11" customFormat="1" ht="15" customHeight="1" x14ac:dyDescent="0.25">
      <c r="A76" s="41"/>
      <c r="B76" s="12"/>
      <c r="C76" s="48"/>
      <c r="D76" s="48">
        <v>67</v>
      </c>
      <c r="E76" s="49"/>
      <c r="F76" s="50"/>
      <c r="G76" s="50"/>
      <c r="H76" s="50"/>
      <c r="I76" s="50"/>
      <c r="J76" s="50"/>
      <c r="K76" s="50"/>
      <c r="L76" s="50"/>
      <c r="M76" s="50"/>
      <c r="N76" s="50"/>
      <c r="O76" s="50"/>
      <c r="P76" s="50"/>
      <c r="Q76" s="50"/>
      <c r="R76" s="50"/>
      <c r="S76" s="50"/>
      <c r="T76" s="50"/>
      <c r="U76" s="50"/>
      <c r="V76" s="50"/>
      <c r="W76" s="50"/>
      <c r="X76" s="50"/>
      <c r="Y76" s="50"/>
      <c r="Z76" s="43" t="str">
        <f t="shared" si="1"/>
        <v>Очікую</v>
      </c>
      <c r="AA76" s="22"/>
      <c r="AB76" s="40"/>
    </row>
    <row r="77" spans="1:28" s="11" customFormat="1" ht="15" customHeight="1" x14ac:dyDescent="0.25">
      <c r="A77" s="41"/>
      <c r="B77" s="12"/>
      <c r="C77" s="48"/>
      <c r="D77" s="48">
        <v>68</v>
      </c>
      <c r="E77" s="49"/>
      <c r="F77" s="50"/>
      <c r="G77" s="50"/>
      <c r="H77" s="50"/>
      <c r="I77" s="50"/>
      <c r="J77" s="50"/>
      <c r="K77" s="50"/>
      <c r="L77" s="50"/>
      <c r="M77" s="50"/>
      <c r="N77" s="50"/>
      <c r="O77" s="50"/>
      <c r="P77" s="50"/>
      <c r="Q77" s="50"/>
      <c r="R77" s="50"/>
      <c r="S77" s="50"/>
      <c r="T77" s="50"/>
      <c r="U77" s="50"/>
      <c r="V77" s="50"/>
      <c r="W77" s="50"/>
      <c r="X77" s="50"/>
      <c r="Y77" s="50"/>
      <c r="Z77" s="43" t="str">
        <f t="shared" si="1"/>
        <v>Очікую</v>
      </c>
      <c r="AA77" s="22"/>
      <c r="AB77" s="40"/>
    </row>
    <row r="78" spans="1:28" s="11" customFormat="1" ht="15" customHeight="1" x14ac:dyDescent="0.25">
      <c r="A78" s="41"/>
      <c r="B78" s="12"/>
      <c r="C78" s="48"/>
      <c r="D78" s="48">
        <v>69</v>
      </c>
      <c r="E78" s="49"/>
      <c r="F78" s="50"/>
      <c r="G78" s="50"/>
      <c r="H78" s="50"/>
      <c r="I78" s="50"/>
      <c r="J78" s="50"/>
      <c r="K78" s="50"/>
      <c r="L78" s="50"/>
      <c r="M78" s="50"/>
      <c r="N78" s="50"/>
      <c r="O78" s="50"/>
      <c r="P78" s="50"/>
      <c r="Q78" s="50"/>
      <c r="R78" s="50"/>
      <c r="S78" s="50"/>
      <c r="T78" s="50"/>
      <c r="U78" s="50"/>
      <c r="V78" s="50"/>
      <c r="W78" s="50"/>
      <c r="X78" s="50"/>
      <c r="Y78" s="50"/>
      <c r="Z78" s="43" t="str">
        <f t="shared" si="1"/>
        <v>Очікую</v>
      </c>
      <c r="AA78" s="22"/>
      <c r="AB78" s="40"/>
    </row>
    <row r="79" spans="1:28" s="11" customFormat="1" ht="15" customHeight="1" x14ac:dyDescent="0.25">
      <c r="A79" s="41"/>
      <c r="B79" s="12"/>
      <c r="C79" s="48"/>
      <c r="D79" s="48">
        <v>70</v>
      </c>
      <c r="E79" s="49"/>
      <c r="F79" s="50"/>
      <c r="G79" s="50"/>
      <c r="H79" s="50"/>
      <c r="I79" s="50"/>
      <c r="J79" s="50"/>
      <c r="K79" s="50"/>
      <c r="L79" s="50"/>
      <c r="M79" s="50"/>
      <c r="N79" s="50"/>
      <c r="O79" s="50"/>
      <c r="P79" s="50"/>
      <c r="Q79" s="50"/>
      <c r="R79" s="50"/>
      <c r="S79" s="50"/>
      <c r="T79" s="50"/>
      <c r="U79" s="50"/>
      <c r="V79" s="50"/>
      <c r="W79" s="50"/>
      <c r="X79" s="50"/>
      <c r="Y79" s="50"/>
      <c r="Z79" s="43" t="str">
        <f t="shared" si="1"/>
        <v>Очікую</v>
      </c>
      <c r="AA79" s="22"/>
      <c r="AB79" s="40"/>
    </row>
    <row r="80" spans="1:28" s="11" customFormat="1" ht="15" customHeight="1" x14ac:dyDescent="0.25">
      <c r="A80" s="41"/>
      <c r="B80" s="12"/>
      <c r="C80" s="48"/>
      <c r="D80" s="48">
        <v>71</v>
      </c>
      <c r="E80" s="49"/>
      <c r="F80" s="50"/>
      <c r="G80" s="50"/>
      <c r="H80" s="50"/>
      <c r="I80" s="50"/>
      <c r="J80" s="50"/>
      <c r="K80" s="50"/>
      <c r="L80" s="50"/>
      <c r="M80" s="50"/>
      <c r="N80" s="50"/>
      <c r="O80" s="50"/>
      <c r="P80" s="50"/>
      <c r="Q80" s="50"/>
      <c r="R80" s="50"/>
      <c r="S80" s="50"/>
      <c r="T80" s="50"/>
      <c r="U80" s="50"/>
      <c r="V80" s="50"/>
      <c r="W80" s="50"/>
      <c r="X80" s="50"/>
      <c r="Y80" s="50"/>
      <c r="Z80" s="43" t="str">
        <f t="shared" si="1"/>
        <v>Очікую</v>
      </c>
      <c r="AA80" s="22"/>
      <c r="AB80" s="40"/>
    </row>
    <row r="81" spans="1:28" s="11" customFormat="1" ht="15" customHeight="1" x14ac:dyDescent="0.25">
      <c r="A81" s="41"/>
      <c r="B81" s="12"/>
      <c r="C81" s="48"/>
      <c r="D81" s="48">
        <v>72</v>
      </c>
      <c r="E81" s="49"/>
      <c r="F81" s="50"/>
      <c r="G81" s="50"/>
      <c r="H81" s="50"/>
      <c r="I81" s="50"/>
      <c r="J81" s="50"/>
      <c r="K81" s="50"/>
      <c r="L81" s="50"/>
      <c r="M81" s="50"/>
      <c r="N81" s="50"/>
      <c r="O81" s="50"/>
      <c r="P81" s="50"/>
      <c r="Q81" s="50"/>
      <c r="R81" s="50"/>
      <c r="S81" s="50"/>
      <c r="T81" s="50"/>
      <c r="U81" s="50"/>
      <c r="V81" s="50"/>
      <c r="W81" s="50"/>
      <c r="X81" s="50"/>
      <c r="Y81" s="50"/>
      <c r="Z81" s="43" t="str">
        <f t="shared" si="1"/>
        <v>Очікую</v>
      </c>
      <c r="AA81" s="22"/>
      <c r="AB81" s="40"/>
    </row>
    <row r="82" spans="1:28" s="11" customFormat="1" ht="15" customHeight="1" x14ac:dyDescent="0.25">
      <c r="A82" s="41"/>
      <c r="B82" s="12"/>
      <c r="C82" s="48"/>
      <c r="D82" s="48">
        <v>73</v>
      </c>
      <c r="E82" s="49"/>
      <c r="F82" s="50"/>
      <c r="G82" s="50"/>
      <c r="H82" s="50"/>
      <c r="I82" s="50"/>
      <c r="J82" s="50"/>
      <c r="K82" s="50"/>
      <c r="L82" s="50"/>
      <c r="M82" s="50"/>
      <c r="N82" s="50"/>
      <c r="O82" s="50"/>
      <c r="P82" s="50"/>
      <c r="Q82" s="50"/>
      <c r="R82" s="50"/>
      <c r="S82" s="50"/>
      <c r="T82" s="50"/>
      <c r="U82" s="50"/>
      <c r="V82" s="50"/>
      <c r="W82" s="50"/>
      <c r="X82" s="50"/>
      <c r="Y82" s="50"/>
      <c r="Z82" s="43" t="str">
        <f t="shared" si="1"/>
        <v>Очікую</v>
      </c>
      <c r="AA82" s="22"/>
      <c r="AB82" s="40"/>
    </row>
    <row r="83" spans="1:28" s="11" customFormat="1" ht="15" customHeight="1" x14ac:dyDescent="0.25">
      <c r="A83" s="41"/>
      <c r="B83" s="12"/>
      <c r="C83" s="48"/>
      <c r="D83" s="48">
        <v>74</v>
      </c>
      <c r="E83" s="49"/>
      <c r="F83" s="50"/>
      <c r="G83" s="50"/>
      <c r="H83" s="50"/>
      <c r="I83" s="50"/>
      <c r="J83" s="50"/>
      <c r="K83" s="50"/>
      <c r="L83" s="50"/>
      <c r="M83" s="50"/>
      <c r="N83" s="50"/>
      <c r="O83" s="50"/>
      <c r="P83" s="50"/>
      <c r="Q83" s="50"/>
      <c r="R83" s="50"/>
      <c r="S83" s="50"/>
      <c r="T83" s="50"/>
      <c r="U83" s="50"/>
      <c r="V83" s="50"/>
      <c r="W83" s="50"/>
      <c r="X83" s="50"/>
      <c r="Y83" s="50"/>
      <c r="Z83" s="43" t="str">
        <f t="shared" si="1"/>
        <v>Очікую</v>
      </c>
      <c r="AA83" s="22"/>
      <c r="AB83" s="40"/>
    </row>
    <row r="84" spans="1:28" s="11" customFormat="1" ht="15" customHeight="1" x14ac:dyDescent="0.25">
      <c r="A84" s="41"/>
      <c r="B84" s="12"/>
      <c r="C84" s="48"/>
      <c r="D84" s="48">
        <v>75</v>
      </c>
      <c r="E84" s="49"/>
      <c r="F84" s="50"/>
      <c r="G84" s="50"/>
      <c r="H84" s="50"/>
      <c r="I84" s="50"/>
      <c r="J84" s="50"/>
      <c r="K84" s="50"/>
      <c r="L84" s="50"/>
      <c r="M84" s="50"/>
      <c r="N84" s="50"/>
      <c r="O84" s="50"/>
      <c r="P84" s="50"/>
      <c r="Q84" s="50"/>
      <c r="R84" s="50"/>
      <c r="S84" s="50"/>
      <c r="T84" s="50"/>
      <c r="U84" s="50"/>
      <c r="V84" s="50"/>
      <c r="W84" s="50"/>
      <c r="X84" s="50"/>
      <c r="Y84" s="50"/>
      <c r="Z84" s="43" t="str">
        <f t="shared" si="1"/>
        <v>Очікую</v>
      </c>
      <c r="AA84" s="22"/>
      <c r="AB84" s="40"/>
    </row>
    <row r="85" spans="1:28" s="11" customFormat="1" ht="15" customHeight="1" x14ac:dyDescent="0.25">
      <c r="A85" s="41"/>
      <c r="B85" s="12"/>
      <c r="C85" s="48"/>
      <c r="D85" s="48">
        <v>76</v>
      </c>
      <c r="E85" s="49"/>
      <c r="F85" s="50"/>
      <c r="G85" s="50"/>
      <c r="H85" s="50"/>
      <c r="I85" s="50"/>
      <c r="J85" s="50"/>
      <c r="K85" s="50"/>
      <c r="L85" s="50"/>
      <c r="M85" s="50"/>
      <c r="N85" s="50"/>
      <c r="O85" s="50"/>
      <c r="P85" s="50"/>
      <c r="Q85" s="50"/>
      <c r="R85" s="50"/>
      <c r="S85" s="50"/>
      <c r="T85" s="50"/>
      <c r="U85" s="50"/>
      <c r="V85" s="50"/>
      <c r="W85" s="50"/>
      <c r="X85" s="50"/>
      <c r="Y85" s="50"/>
      <c r="Z85" s="43" t="str">
        <f t="shared" si="1"/>
        <v>Очікую</v>
      </c>
      <c r="AA85" s="22"/>
      <c r="AB85" s="40"/>
    </row>
    <row r="86" spans="1:28" s="11" customFormat="1" ht="15" customHeight="1" x14ac:dyDescent="0.25">
      <c r="A86" s="41"/>
      <c r="B86" s="12"/>
      <c r="C86" s="48"/>
      <c r="D86" s="48">
        <v>77</v>
      </c>
      <c r="E86" s="49"/>
      <c r="F86" s="50"/>
      <c r="G86" s="50"/>
      <c r="H86" s="50"/>
      <c r="I86" s="50"/>
      <c r="J86" s="50"/>
      <c r="K86" s="50"/>
      <c r="L86" s="50"/>
      <c r="M86" s="50"/>
      <c r="N86" s="50"/>
      <c r="O86" s="50"/>
      <c r="P86" s="50"/>
      <c r="Q86" s="50"/>
      <c r="R86" s="50"/>
      <c r="S86" s="50"/>
      <c r="T86" s="50"/>
      <c r="U86" s="50"/>
      <c r="V86" s="50"/>
      <c r="W86" s="50"/>
      <c r="X86" s="50"/>
      <c r="Y86" s="50"/>
      <c r="Z86" s="43" t="str">
        <f t="shared" si="1"/>
        <v>Очікую</v>
      </c>
      <c r="AA86" s="22"/>
      <c r="AB86" s="40"/>
    </row>
    <row r="87" spans="1:28" s="11" customFormat="1" ht="15" customHeight="1" x14ac:dyDescent="0.25">
      <c r="A87" s="41"/>
      <c r="B87" s="12"/>
      <c r="C87" s="48"/>
      <c r="D87" s="48">
        <v>78</v>
      </c>
      <c r="E87" s="49"/>
      <c r="F87" s="50"/>
      <c r="G87" s="50"/>
      <c r="H87" s="50"/>
      <c r="I87" s="50"/>
      <c r="J87" s="50"/>
      <c r="K87" s="50"/>
      <c r="L87" s="50"/>
      <c r="M87" s="50"/>
      <c r="N87" s="50"/>
      <c r="O87" s="50"/>
      <c r="P87" s="50"/>
      <c r="Q87" s="50"/>
      <c r="R87" s="50"/>
      <c r="S87" s="50"/>
      <c r="T87" s="50"/>
      <c r="U87" s="50"/>
      <c r="V87" s="50"/>
      <c r="W87" s="50"/>
      <c r="X87" s="50"/>
      <c r="Y87" s="50"/>
      <c r="Z87" s="43" t="str">
        <f t="shared" si="1"/>
        <v>Очікую</v>
      </c>
      <c r="AA87" s="22"/>
      <c r="AB87" s="40"/>
    </row>
    <row r="88" spans="1:28" s="11" customFormat="1" ht="15" customHeight="1" x14ac:dyDescent="0.25">
      <c r="A88" s="41"/>
      <c r="B88" s="12"/>
      <c r="C88" s="48"/>
      <c r="D88" s="48">
        <v>79</v>
      </c>
      <c r="E88" s="49"/>
      <c r="F88" s="50"/>
      <c r="G88" s="50"/>
      <c r="H88" s="50"/>
      <c r="I88" s="50"/>
      <c r="J88" s="50"/>
      <c r="K88" s="50"/>
      <c r="L88" s="50"/>
      <c r="M88" s="50"/>
      <c r="N88" s="50"/>
      <c r="O88" s="50"/>
      <c r="P88" s="50"/>
      <c r="Q88" s="50"/>
      <c r="R88" s="50"/>
      <c r="S88" s="50"/>
      <c r="T88" s="50"/>
      <c r="U88" s="50"/>
      <c r="V88" s="50"/>
      <c r="W88" s="50"/>
      <c r="X88" s="50"/>
      <c r="Y88" s="50"/>
      <c r="Z88" s="43" t="str">
        <f t="shared" si="1"/>
        <v>Очікую</v>
      </c>
      <c r="AA88" s="22"/>
      <c r="AB88" s="40"/>
    </row>
    <row r="89" spans="1:28" s="11" customFormat="1" ht="15" customHeight="1" x14ac:dyDescent="0.25">
      <c r="A89" s="41"/>
      <c r="B89" s="12"/>
      <c r="C89" s="48"/>
      <c r="D89" s="48">
        <v>80</v>
      </c>
      <c r="E89" s="49"/>
      <c r="F89" s="50"/>
      <c r="G89" s="50"/>
      <c r="H89" s="50"/>
      <c r="I89" s="50"/>
      <c r="J89" s="50"/>
      <c r="K89" s="50"/>
      <c r="L89" s="50"/>
      <c r="M89" s="50"/>
      <c r="N89" s="50"/>
      <c r="O89" s="50"/>
      <c r="P89" s="50"/>
      <c r="Q89" s="50"/>
      <c r="R89" s="50"/>
      <c r="S89" s="50"/>
      <c r="T89" s="50"/>
      <c r="U89" s="50"/>
      <c r="V89" s="50"/>
      <c r="W89" s="50"/>
      <c r="X89" s="50"/>
      <c r="Y89" s="50"/>
      <c r="Z89" s="43" t="str">
        <f t="shared" si="1"/>
        <v>Очікую</v>
      </c>
      <c r="AA89" s="22"/>
      <c r="AB89" s="40"/>
    </row>
    <row r="90" spans="1:28" s="11" customFormat="1" ht="15" customHeight="1" x14ac:dyDescent="0.25">
      <c r="A90" s="41"/>
      <c r="B90" s="12"/>
      <c r="C90" s="48"/>
      <c r="D90" s="48">
        <v>81</v>
      </c>
      <c r="E90" s="49"/>
      <c r="F90" s="50"/>
      <c r="G90" s="50"/>
      <c r="H90" s="50"/>
      <c r="I90" s="50"/>
      <c r="J90" s="50"/>
      <c r="K90" s="50"/>
      <c r="L90" s="50"/>
      <c r="M90" s="50"/>
      <c r="N90" s="50"/>
      <c r="O90" s="50"/>
      <c r="P90" s="50"/>
      <c r="Q90" s="50"/>
      <c r="R90" s="50"/>
      <c r="S90" s="50"/>
      <c r="T90" s="50"/>
      <c r="U90" s="50"/>
      <c r="V90" s="50"/>
      <c r="W90" s="50"/>
      <c r="X90" s="50"/>
      <c r="Y90" s="50"/>
      <c r="Z90" s="43" t="str">
        <f t="shared" si="1"/>
        <v>Очікую</v>
      </c>
      <c r="AA90" s="22"/>
      <c r="AB90" s="40"/>
    </row>
    <row r="91" spans="1:28" s="11" customFormat="1" ht="15" customHeight="1" x14ac:dyDescent="0.25">
      <c r="A91" s="41"/>
      <c r="B91" s="12"/>
      <c r="C91" s="48"/>
      <c r="D91" s="48">
        <v>82</v>
      </c>
      <c r="E91" s="49"/>
      <c r="F91" s="50"/>
      <c r="G91" s="50"/>
      <c r="H91" s="50"/>
      <c r="I91" s="50"/>
      <c r="J91" s="50"/>
      <c r="K91" s="50"/>
      <c r="L91" s="50"/>
      <c r="M91" s="50"/>
      <c r="N91" s="50"/>
      <c r="O91" s="50"/>
      <c r="P91" s="50"/>
      <c r="Q91" s="50"/>
      <c r="R91" s="50"/>
      <c r="S91" s="50"/>
      <c r="T91" s="50"/>
      <c r="U91" s="50"/>
      <c r="V91" s="50"/>
      <c r="W91" s="50"/>
      <c r="X91" s="50"/>
      <c r="Y91" s="50"/>
      <c r="Z91" s="43" t="str">
        <f t="shared" si="1"/>
        <v>Очікую</v>
      </c>
      <c r="AA91" s="22"/>
      <c r="AB91" s="40"/>
    </row>
    <row r="92" spans="1:28" s="11" customFormat="1" ht="15" customHeight="1" x14ac:dyDescent="0.25">
      <c r="A92" s="41"/>
      <c r="B92" s="12"/>
      <c r="C92" s="48"/>
      <c r="D92" s="48">
        <v>83</v>
      </c>
      <c r="E92" s="49"/>
      <c r="F92" s="50"/>
      <c r="G92" s="50"/>
      <c r="H92" s="50"/>
      <c r="I92" s="50"/>
      <c r="J92" s="50"/>
      <c r="K92" s="50"/>
      <c r="L92" s="50"/>
      <c r="M92" s="50"/>
      <c r="N92" s="50"/>
      <c r="O92" s="50"/>
      <c r="P92" s="50"/>
      <c r="Q92" s="50"/>
      <c r="R92" s="50"/>
      <c r="S92" s="50"/>
      <c r="T92" s="50"/>
      <c r="U92" s="50"/>
      <c r="V92" s="50"/>
      <c r="W92" s="50"/>
      <c r="X92" s="50"/>
      <c r="Y92" s="50"/>
      <c r="Z92" s="43" t="str">
        <f t="shared" si="1"/>
        <v>Очікую</v>
      </c>
      <c r="AA92" s="22"/>
      <c r="AB92" s="40"/>
    </row>
    <row r="93" spans="1:28" s="11" customFormat="1" ht="15" customHeight="1" x14ac:dyDescent="0.25">
      <c r="A93" s="41"/>
      <c r="B93" s="12"/>
      <c r="C93" s="48"/>
      <c r="D93" s="48">
        <v>84</v>
      </c>
      <c r="E93" s="49"/>
      <c r="F93" s="50"/>
      <c r="G93" s="50"/>
      <c r="H93" s="50"/>
      <c r="I93" s="50"/>
      <c r="J93" s="50"/>
      <c r="K93" s="50"/>
      <c r="L93" s="50"/>
      <c r="M93" s="50"/>
      <c r="N93" s="50"/>
      <c r="O93" s="50"/>
      <c r="P93" s="50"/>
      <c r="Q93" s="50"/>
      <c r="R93" s="50"/>
      <c r="S93" s="50"/>
      <c r="T93" s="50"/>
      <c r="U93" s="50"/>
      <c r="V93" s="50"/>
      <c r="W93" s="50"/>
      <c r="X93" s="50"/>
      <c r="Y93" s="50"/>
      <c r="Z93" s="43" t="str">
        <f t="shared" si="1"/>
        <v>Очікую</v>
      </c>
      <c r="AA93" s="22"/>
      <c r="AB93" s="40"/>
    </row>
    <row r="94" spans="1:28" s="11" customFormat="1" ht="15" customHeight="1" x14ac:dyDescent="0.25">
      <c r="A94" s="41"/>
      <c r="B94" s="12"/>
      <c r="C94" s="48"/>
      <c r="D94" s="48">
        <v>85</v>
      </c>
      <c r="E94" s="49"/>
      <c r="F94" s="50"/>
      <c r="G94" s="50"/>
      <c r="H94" s="50"/>
      <c r="I94" s="50"/>
      <c r="J94" s="50"/>
      <c r="K94" s="50"/>
      <c r="L94" s="50"/>
      <c r="M94" s="50"/>
      <c r="N94" s="50"/>
      <c r="O94" s="50"/>
      <c r="P94" s="50"/>
      <c r="Q94" s="50"/>
      <c r="R94" s="50"/>
      <c r="S94" s="50"/>
      <c r="T94" s="50"/>
      <c r="U94" s="50"/>
      <c r="V94" s="50"/>
      <c r="W94" s="50"/>
      <c r="X94" s="50"/>
      <c r="Y94" s="50"/>
      <c r="Z94" s="43" t="str">
        <f t="shared" si="1"/>
        <v>Очікую</v>
      </c>
      <c r="AA94" s="22"/>
      <c r="AB94" s="40"/>
    </row>
    <row r="95" spans="1:28" s="11" customFormat="1" ht="15" customHeight="1" x14ac:dyDescent="0.25">
      <c r="A95" s="41"/>
      <c r="B95" s="12"/>
      <c r="C95" s="48"/>
      <c r="D95" s="48">
        <v>86</v>
      </c>
      <c r="E95" s="49"/>
      <c r="F95" s="50"/>
      <c r="G95" s="50"/>
      <c r="H95" s="50"/>
      <c r="I95" s="50"/>
      <c r="J95" s="50"/>
      <c r="K95" s="50"/>
      <c r="L95" s="50"/>
      <c r="M95" s="50"/>
      <c r="N95" s="50"/>
      <c r="O95" s="50"/>
      <c r="P95" s="50"/>
      <c r="Q95" s="50"/>
      <c r="R95" s="50"/>
      <c r="S95" s="50"/>
      <c r="T95" s="50"/>
      <c r="U95" s="50"/>
      <c r="V95" s="50"/>
      <c r="W95" s="50"/>
      <c r="X95" s="50"/>
      <c r="Y95" s="50"/>
      <c r="Z95" s="43" t="str">
        <f t="shared" si="1"/>
        <v>Очікую</v>
      </c>
      <c r="AA95" s="22"/>
      <c r="AB95" s="40"/>
    </row>
    <row r="96" spans="1:28" s="11" customFormat="1" ht="15" customHeight="1" x14ac:dyDescent="0.25">
      <c r="A96" s="41"/>
      <c r="B96" s="12"/>
      <c r="C96" s="48"/>
      <c r="D96" s="48">
        <v>87</v>
      </c>
      <c r="E96" s="49"/>
      <c r="F96" s="50"/>
      <c r="G96" s="50"/>
      <c r="H96" s="50"/>
      <c r="I96" s="50"/>
      <c r="J96" s="50"/>
      <c r="K96" s="50"/>
      <c r="L96" s="50"/>
      <c r="M96" s="50"/>
      <c r="N96" s="50"/>
      <c r="O96" s="50"/>
      <c r="P96" s="50"/>
      <c r="Q96" s="50"/>
      <c r="R96" s="50"/>
      <c r="S96" s="50"/>
      <c r="T96" s="50"/>
      <c r="U96" s="50"/>
      <c r="V96" s="50"/>
      <c r="W96" s="50"/>
      <c r="X96" s="50"/>
      <c r="Y96" s="50"/>
      <c r="Z96" s="43" t="str">
        <f t="shared" si="1"/>
        <v>Очікую</v>
      </c>
      <c r="AA96" s="22"/>
      <c r="AB96" s="40"/>
    </row>
    <row r="97" spans="1:28" s="11" customFormat="1" ht="15" customHeight="1" x14ac:dyDescent="0.25">
      <c r="A97" s="41"/>
      <c r="B97" s="12"/>
      <c r="C97" s="48"/>
      <c r="D97" s="48">
        <v>88</v>
      </c>
      <c r="E97" s="49"/>
      <c r="F97" s="50"/>
      <c r="G97" s="50"/>
      <c r="H97" s="50"/>
      <c r="I97" s="50"/>
      <c r="J97" s="50"/>
      <c r="K97" s="50"/>
      <c r="L97" s="50"/>
      <c r="M97" s="50"/>
      <c r="N97" s="50"/>
      <c r="O97" s="50"/>
      <c r="P97" s="50"/>
      <c r="Q97" s="50"/>
      <c r="R97" s="50"/>
      <c r="S97" s="50"/>
      <c r="T97" s="50"/>
      <c r="U97" s="50"/>
      <c r="V97" s="50"/>
      <c r="W97" s="50"/>
      <c r="X97" s="50"/>
      <c r="Y97" s="50"/>
      <c r="Z97" s="43" t="str">
        <f t="shared" si="1"/>
        <v>Очікую</v>
      </c>
      <c r="AA97" s="22"/>
      <c r="AB97" s="40"/>
    </row>
    <row r="98" spans="1:28" s="11" customFormat="1" ht="15" customHeight="1" x14ac:dyDescent="0.25">
      <c r="A98" s="41"/>
      <c r="B98" s="12"/>
      <c r="C98" s="48"/>
      <c r="D98" s="48">
        <v>89</v>
      </c>
      <c r="E98" s="49"/>
      <c r="F98" s="50"/>
      <c r="G98" s="50"/>
      <c r="H98" s="50"/>
      <c r="I98" s="50"/>
      <c r="J98" s="50"/>
      <c r="K98" s="50"/>
      <c r="L98" s="50"/>
      <c r="M98" s="50"/>
      <c r="N98" s="50"/>
      <c r="O98" s="50"/>
      <c r="P98" s="50"/>
      <c r="Q98" s="50"/>
      <c r="R98" s="50"/>
      <c r="S98" s="50"/>
      <c r="T98" s="50"/>
      <c r="U98" s="50"/>
      <c r="V98" s="50"/>
      <c r="W98" s="50"/>
      <c r="X98" s="50"/>
      <c r="Y98" s="50"/>
      <c r="Z98" s="43" t="str">
        <f t="shared" si="1"/>
        <v>Очікую</v>
      </c>
      <c r="AA98" s="22"/>
      <c r="AB98" s="40"/>
    </row>
    <row r="99" spans="1:28" s="11" customFormat="1" ht="15" customHeight="1" x14ac:dyDescent="0.25">
      <c r="A99" s="41"/>
      <c r="B99" s="12"/>
      <c r="C99" s="48"/>
      <c r="D99" s="48">
        <v>90</v>
      </c>
      <c r="E99" s="49"/>
      <c r="F99" s="50"/>
      <c r="G99" s="50"/>
      <c r="H99" s="50"/>
      <c r="I99" s="50"/>
      <c r="J99" s="50"/>
      <c r="K99" s="50"/>
      <c r="L99" s="50"/>
      <c r="M99" s="50"/>
      <c r="N99" s="50"/>
      <c r="O99" s="50"/>
      <c r="P99" s="50"/>
      <c r="Q99" s="50"/>
      <c r="R99" s="50"/>
      <c r="S99" s="50"/>
      <c r="T99" s="50"/>
      <c r="U99" s="50"/>
      <c r="V99" s="50"/>
      <c r="W99" s="50"/>
      <c r="X99" s="50"/>
      <c r="Y99" s="50"/>
      <c r="Z99" s="43" t="str">
        <f t="shared" si="1"/>
        <v>Очікую</v>
      </c>
      <c r="AA99" s="22"/>
      <c r="AB99" s="40"/>
    </row>
    <row r="100" spans="1:28" s="11" customFormat="1" ht="15" customHeight="1" x14ac:dyDescent="0.25">
      <c r="A100" s="41"/>
      <c r="B100" s="12"/>
      <c r="C100" s="48"/>
      <c r="D100" s="48">
        <v>91</v>
      </c>
      <c r="E100" s="49"/>
      <c r="F100" s="50"/>
      <c r="G100" s="50"/>
      <c r="H100" s="50"/>
      <c r="I100" s="50"/>
      <c r="J100" s="50"/>
      <c r="K100" s="50"/>
      <c r="L100" s="50"/>
      <c r="M100" s="50"/>
      <c r="N100" s="50"/>
      <c r="O100" s="50"/>
      <c r="P100" s="50"/>
      <c r="Q100" s="50"/>
      <c r="R100" s="50"/>
      <c r="S100" s="50"/>
      <c r="T100" s="50"/>
      <c r="U100" s="50"/>
      <c r="V100" s="50"/>
      <c r="W100" s="50"/>
      <c r="X100" s="50"/>
      <c r="Y100" s="50"/>
      <c r="Z100" s="43" t="str">
        <f t="shared" si="1"/>
        <v>Очікую</v>
      </c>
      <c r="AA100" s="22"/>
      <c r="AB100" s="40"/>
    </row>
    <row r="101" spans="1:28" s="11" customFormat="1" ht="15" customHeight="1" x14ac:dyDescent="0.25">
      <c r="A101" s="41"/>
      <c r="B101" s="12"/>
      <c r="C101" s="48"/>
      <c r="D101" s="48">
        <v>92</v>
      </c>
      <c r="E101" s="49"/>
      <c r="F101" s="50"/>
      <c r="G101" s="50"/>
      <c r="H101" s="50"/>
      <c r="I101" s="50"/>
      <c r="J101" s="50"/>
      <c r="K101" s="50"/>
      <c r="L101" s="50"/>
      <c r="M101" s="50"/>
      <c r="N101" s="50"/>
      <c r="O101" s="50"/>
      <c r="P101" s="50"/>
      <c r="Q101" s="50"/>
      <c r="R101" s="50"/>
      <c r="S101" s="50"/>
      <c r="T101" s="50"/>
      <c r="U101" s="50"/>
      <c r="V101" s="50"/>
      <c r="W101" s="50"/>
      <c r="X101" s="50"/>
      <c r="Y101" s="50"/>
      <c r="Z101" s="43" t="str">
        <f t="shared" si="1"/>
        <v>Очікую</v>
      </c>
      <c r="AA101" s="22"/>
      <c r="AB101" s="40"/>
    </row>
    <row r="102" spans="1:28" s="11" customFormat="1" ht="15" customHeight="1" x14ac:dyDescent="0.25">
      <c r="A102" s="41"/>
      <c r="B102" s="12"/>
      <c r="C102" s="48"/>
      <c r="D102" s="48">
        <v>93</v>
      </c>
      <c r="E102" s="49"/>
      <c r="F102" s="50"/>
      <c r="G102" s="50"/>
      <c r="H102" s="50"/>
      <c r="I102" s="50"/>
      <c r="J102" s="50"/>
      <c r="K102" s="50"/>
      <c r="L102" s="50"/>
      <c r="M102" s="50"/>
      <c r="N102" s="50"/>
      <c r="O102" s="50"/>
      <c r="P102" s="50"/>
      <c r="Q102" s="50"/>
      <c r="R102" s="50"/>
      <c r="S102" s="50"/>
      <c r="T102" s="50"/>
      <c r="U102" s="50"/>
      <c r="V102" s="50"/>
      <c r="W102" s="50"/>
      <c r="X102" s="50"/>
      <c r="Y102" s="50"/>
      <c r="Z102" s="43" t="str">
        <f t="shared" si="1"/>
        <v>Очікую</v>
      </c>
      <c r="AA102" s="22"/>
      <c r="AB102" s="40"/>
    </row>
    <row r="103" spans="1:28" s="11" customFormat="1" ht="15" customHeight="1" x14ac:dyDescent="0.25">
      <c r="A103" s="41"/>
      <c r="B103" s="12"/>
      <c r="C103" s="48"/>
      <c r="D103" s="48">
        <v>94</v>
      </c>
      <c r="E103" s="49"/>
      <c r="F103" s="50"/>
      <c r="G103" s="50"/>
      <c r="H103" s="50"/>
      <c r="I103" s="50"/>
      <c r="J103" s="50"/>
      <c r="K103" s="50"/>
      <c r="L103" s="50"/>
      <c r="M103" s="50"/>
      <c r="N103" s="50"/>
      <c r="O103" s="50"/>
      <c r="P103" s="50"/>
      <c r="Q103" s="50"/>
      <c r="R103" s="50"/>
      <c r="S103" s="50"/>
      <c r="T103" s="50"/>
      <c r="U103" s="50"/>
      <c r="V103" s="50"/>
      <c r="W103" s="50"/>
      <c r="X103" s="50"/>
      <c r="Y103" s="50"/>
      <c r="Z103" s="43" t="str">
        <f t="shared" si="1"/>
        <v>Очікую</v>
      </c>
      <c r="AA103" s="22"/>
      <c r="AB103" s="40"/>
    </row>
    <row r="104" spans="1:28" s="11" customFormat="1" ht="15" customHeight="1" x14ac:dyDescent="0.25">
      <c r="A104" s="41"/>
      <c r="B104" s="12"/>
      <c r="C104" s="48"/>
      <c r="D104" s="48">
        <v>95</v>
      </c>
      <c r="E104" s="49"/>
      <c r="F104" s="50"/>
      <c r="G104" s="50"/>
      <c r="H104" s="50"/>
      <c r="I104" s="50"/>
      <c r="J104" s="50"/>
      <c r="K104" s="50"/>
      <c r="L104" s="50"/>
      <c r="M104" s="50"/>
      <c r="N104" s="50"/>
      <c r="O104" s="50"/>
      <c r="P104" s="50"/>
      <c r="Q104" s="50"/>
      <c r="R104" s="50"/>
      <c r="S104" s="50"/>
      <c r="T104" s="50"/>
      <c r="U104" s="50"/>
      <c r="V104" s="50"/>
      <c r="W104" s="50"/>
      <c r="X104" s="50"/>
      <c r="Y104" s="50"/>
      <c r="Z104" s="43" t="str">
        <f t="shared" si="1"/>
        <v>Очікую</v>
      </c>
      <c r="AA104" s="22"/>
      <c r="AB104" s="40"/>
    </row>
    <row r="105" spans="1:28" s="11" customFormat="1" ht="15" customHeight="1" x14ac:dyDescent="0.25">
      <c r="A105" s="41"/>
      <c r="B105" s="12"/>
      <c r="C105" s="48"/>
      <c r="D105" s="48">
        <v>96</v>
      </c>
      <c r="E105" s="49"/>
      <c r="F105" s="50"/>
      <c r="G105" s="50"/>
      <c r="H105" s="50"/>
      <c r="I105" s="50"/>
      <c r="J105" s="50"/>
      <c r="K105" s="50"/>
      <c r="L105" s="50"/>
      <c r="M105" s="50"/>
      <c r="N105" s="50"/>
      <c r="O105" s="50"/>
      <c r="P105" s="50"/>
      <c r="Q105" s="50"/>
      <c r="R105" s="50"/>
      <c r="S105" s="50"/>
      <c r="T105" s="50"/>
      <c r="U105" s="50"/>
      <c r="V105" s="50"/>
      <c r="W105" s="50"/>
      <c r="X105" s="50"/>
      <c r="Y105" s="50"/>
      <c r="Z105" s="43" t="str">
        <f t="shared" si="1"/>
        <v>Очікую</v>
      </c>
      <c r="AA105" s="22"/>
      <c r="AB105" s="40"/>
    </row>
    <row r="106" spans="1:28" s="11" customFormat="1" ht="15" customHeight="1" x14ac:dyDescent="0.25">
      <c r="A106" s="41"/>
      <c r="B106" s="12"/>
      <c r="C106" s="48"/>
      <c r="D106" s="48">
        <v>97</v>
      </c>
      <c r="E106" s="49"/>
      <c r="F106" s="50"/>
      <c r="G106" s="50"/>
      <c r="H106" s="50"/>
      <c r="I106" s="50"/>
      <c r="J106" s="50"/>
      <c r="K106" s="50"/>
      <c r="L106" s="50"/>
      <c r="M106" s="50"/>
      <c r="N106" s="50"/>
      <c r="O106" s="50"/>
      <c r="P106" s="50"/>
      <c r="Q106" s="50"/>
      <c r="R106" s="50"/>
      <c r="S106" s="50"/>
      <c r="T106" s="50"/>
      <c r="U106" s="50"/>
      <c r="V106" s="50"/>
      <c r="W106" s="50"/>
      <c r="X106" s="50"/>
      <c r="Y106" s="50"/>
      <c r="Z106" s="43" t="str">
        <f t="shared" si="1"/>
        <v>Очікую</v>
      </c>
      <c r="AA106" s="22"/>
      <c r="AB106" s="40"/>
    </row>
    <row r="107" spans="1:28" s="11" customFormat="1" ht="15" customHeight="1" x14ac:dyDescent="0.25">
      <c r="A107" s="41"/>
      <c r="B107" s="12"/>
      <c r="C107" s="48"/>
      <c r="D107" s="48">
        <v>98</v>
      </c>
      <c r="E107" s="49"/>
      <c r="F107" s="50"/>
      <c r="G107" s="50"/>
      <c r="H107" s="50"/>
      <c r="I107" s="50"/>
      <c r="J107" s="50"/>
      <c r="K107" s="50"/>
      <c r="L107" s="50"/>
      <c r="M107" s="50"/>
      <c r="N107" s="50"/>
      <c r="O107" s="50"/>
      <c r="P107" s="50"/>
      <c r="Q107" s="50"/>
      <c r="R107" s="50"/>
      <c r="S107" s="50"/>
      <c r="T107" s="50"/>
      <c r="U107" s="50"/>
      <c r="V107" s="50"/>
      <c r="W107" s="50"/>
      <c r="X107" s="50"/>
      <c r="Y107" s="50"/>
      <c r="Z107" s="43" t="str">
        <f t="shared" si="1"/>
        <v>Очікую</v>
      </c>
      <c r="AA107" s="22"/>
      <c r="AB107" s="40"/>
    </row>
    <row r="108" spans="1:28" s="11" customFormat="1" ht="15" customHeight="1" x14ac:dyDescent="0.25">
      <c r="A108" s="41"/>
      <c r="B108" s="12"/>
      <c r="C108" s="48"/>
      <c r="D108" s="48">
        <v>99</v>
      </c>
      <c r="E108" s="49"/>
      <c r="F108" s="50"/>
      <c r="G108" s="50"/>
      <c r="H108" s="50"/>
      <c r="I108" s="50"/>
      <c r="J108" s="50"/>
      <c r="K108" s="50"/>
      <c r="L108" s="50"/>
      <c r="M108" s="50"/>
      <c r="N108" s="50"/>
      <c r="O108" s="50"/>
      <c r="P108" s="50"/>
      <c r="Q108" s="50"/>
      <c r="R108" s="50"/>
      <c r="S108" s="50"/>
      <c r="T108" s="50"/>
      <c r="U108" s="50"/>
      <c r="V108" s="50"/>
      <c r="W108" s="50"/>
      <c r="X108" s="50"/>
      <c r="Y108" s="50"/>
      <c r="Z108" s="43" t="str">
        <f t="shared" si="1"/>
        <v>Очікую</v>
      </c>
      <c r="AA108" s="22"/>
      <c r="AB108" s="40"/>
    </row>
    <row r="109" spans="1:28" s="11" customFormat="1" ht="15" customHeight="1" x14ac:dyDescent="0.25">
      <c r="A109" s="41"/>
      <c r="B109" s="12"/>
      <c r="C109" s="48"/>
      <c r="D109" s="48">
        <v>100</v>
      </c>
      <c r="E109" s="49"/>
      <c r="F109" s="50"/>
      <c r="G109" s="50"/>
      <c r="H109" s="50"/>
      <c r="I109" s="50"/>
      <c r="J109" s="50"/>
      <c r="K109" s="50"/>
      <c r="L109" s="50"/>
      <c r="M109" s="50"/>
      <c r="N109" s="50"/>
      <c r="O109" s="50"/>
      <c r="P109" s="50"/>
      <c r="Q109" s="50"/>
      <c r="R109" s="50"/>
      <c r="S109" s="50"/>
      <c r="T109" s="50"/>
      <c r="U109" s="50"/>
      <c r="V109" s="50"/>
      <c r="W109" s="50"/>
      <c r="X109" s="50"/>
      <c r="Y109" s="50"/>
      <c r="Z109" s="43" t="str">
        <f t="shared" si="1"/>
        <v>Очікую</v>
      </c>
      <c r="AA109" s="22"/>
      <c r="AB109" s="40"/>
    </row>
    <row r="110" spans="1:28" ht="15" customHeight="1" x14ac:dyDescent="0.25">
      <c r="A110" s="41"/>
      <c r="B110" s="12"/>
      <c r="C110" s="6"/>
      <c r="D110" s="6"/>
      <c r="E110" s="7" t="s">
        <v>4</v>
      </c>
      <c r="F110" s="8" t="str">
        <f>IF(SUM(F10:F109)=0,IF(COUNTA(F10:F109)=0,"Очікую",0),SUM(F10:F109)/$D109)</f>
        <v>Очікую</v>
      </c>
      <c r="G110" s="8" t="str">
        <f t="shared" ref="G110:Y110" si="2">IF(SUM(G10:G109)=0,IF(COUNTA(G10:G109)=0,"Очікую",0),SUM(G10:G109)/$D109)</f>
        <v>Очікую</v>
      </c>
      <c r="H110" s="8" t="str">
        <f t="shared" si="2"/>
        <v>Очікую</v>
      </c>
      <c r="I110" s="8" t="str">
        <f t="shared" si="2"/>
        <v>Очікую</v>
      </c>
      <c r="J110" s="8" t="str">
        <f t="shared" si="2"/>
        <v>Очікую</v>
      </c>
      <c r="K110" s="8" t="str">
        <f t="shared" si="2"/>
        <v>Очікую</v>
      </c>
      <c r="L110" s="8" t="str">
        <f t="shared" si="2"/>
        <v>Очікую</v>
      </c>
      <c r="M110" s="8" t="str">
        <f t="shared" si="2"/>
        <v>Очікую</v>
      </c>
      <c r="N110" s="8" t="str">
        <f t="shared" si="2"/>
        <v>Очікую</v>
      </c>
      <c r="O110" s="8" t="str">
        <f t="shared" si="2"/>
        <v>Очікую</v>
      </c>
      <c r="P110" s="8" t="str">
        <f t="shared" si="2"/>
        <v>Очікую</v>
      </c>
      <c r="Q110" s="8" t="str">
        <f t="shared" si="2"/>
        <v>Очікую</v>
      </c>
      <c r="R110" s="8" t="str">
        <f t="shared" si="2"/>
        <v>Очікую</v>
      </c>
      <c r="S110" s="8" t="str">
        <f t="shared" si="2"/>
        <v>Очікую</v>
      </c>
      <c r="T110" s="8" t="str">
        <f t="shared" si="2"/>
        <v>Очікую</v>
      </c>
      <c r="U110" s="8" t="str">
        <f t="shared" si="2"/>
        <v>Очікую</v>
      </c>
      <c r="V110" s="8" t="str">
        <f t="shared" si="2"/>
        <v>Очікую</v>
      </c>
      <c r="W110" s="8" t="str">
        <f t="shared" si="2"/>
        <v>Очікую</v>
      </c>
      <c r="X110" s="8" t="str">
        <f t="shared" si="2"/>
        <v>Очікую</v>
      </c>
      <c r="Y110" s="8" t="str">
        <f t="shared" si="2"/>
        <v>Очікую</v>
      </c>
      <c r="Z110" s="9" t="str">
        <f>IFERROR(AVERAGE(F110:Y110),"Очікую")</f>
        <v>Очікую</v>
      </c>
      <c r="AA110" s="20"/>
      <c r="AB110" s="40"/>
    </row>
    <row r="111" spans="1:28" ht="15" customHeight="1" x14ac:dyDescent="0.25">
      <c r="A111" s="41"/>
      <c r="B111" s="12"/>
      <c r="C111" s="6"/>
      <c r="D111" s="6"/>
      <c r="E111" s="7" t="s">
        <v>5</v>
      </c>
      <c r="F111" s="44" t="str">
        <f>IF(SUM(F10:F109)=0,IF(COUNTA(F10:F109)=0,"Очікую",0),IF(COUNTIF(F10:F109,"&gt;=4")=0,0,COUNTIF(F10:F109,"&gt;=4")/$D109*100))</f>
        <v>Очікую</v>
      </c>
      <c r="G111" s="44" t="str">
        <f t="shared" ref="G111:Y111" si="3">IF(SUM(G10:G109)=0,IF(COUNTA(G10:G109)=0,"Очікую",0),IF(COUNTIF(G10:G109,"&gt;=4")=0,0,COUNTIF(G10:G109,"&gt;=4")/$D109*100))</f>
        <v>Очікую</v>
      </c>
      <c r="H111" s="44" t="str">
        <f t="shared" si="3"/>
        <v>Очікую</v>
      </c>
      <c r="I111" s="44" t="str">
        <f t="shared" si="3"/>
        <v>Очікую</v>
      </c>
      <c r="J111" s="44" t="str">
        <f t="shared" si="3"/>
        <v>Очікую</v>
      </c>
      <c r="K111" s="44" t="str">
        <f t="shared" si="3"/>
        <v>Очікую</v>
      </c>
      <c r="L111" s="44" t="str">
        <f t="shared" si="3"/>
        <v>Очікую</v>
      </c>
      <c r="M111" s="44" t="str">
        <f t="shared" si="3"/>
        <v>Очікую</v>
      </c>
      <c r="N111" s="44" t="str">
        <f t="shared" si="3"/>
        <v>Очікую</v>
      </c>
      <c r="O111" s="44" t="str">
        <f t="shared" si="3"/>
        <v>Очікую</v>
      </c>
      <c r="P111" s="44" t="str">
        <f t="shared" si="3"/>
        <v>Очікую</v>
      </c>
      <c r="Q111" s="44" t="str">
        <f t="shared" si="3"/>
        <v>Очікую</v>
      </c>
      <c r="R111" s="44" t="str">
        <f t="shared" si="3"/>
        <v>Очікую</v>
      </c>
      <c r="S111" s="44" t="str">
        <f t="shared" si="3"/>
        <v>Очікую</v>
      </c>
      <c r="T111" s="44" t="str">
        <f t="shared" si="3"/>
        <v>Очікую</v>
      </c>
      <c r="U111" s="44" t="str">
        <f t="shared" si="3"/>
        <v>Очікую</v>
      </c>
      <c r="V111" s="44" t="str">
        <f t="shared" si="3"/>
        <v>Очікую</v>
      </c>
      <c r="W111" s="44" t="str">
        <f t="shared" si="3"/>
        <v>Очікую</v>
      </c>
      <c r="X111" s="44" t="str">
        <f t="shared" si="3"/>
        <v>Очікую</v>
      </c>
      <c r="Y111" s="44" t="str">
        <f t="shared" si="3"/>
        <v>Очікую</v>
      </c>
      <c r="Z111" s="6"/>
      <c r="AA111" s="20"/>
      <c r="AB111" s="40"/>
    </row>
    <row r="112" spans="1:28" ht="15" customHeight="1" x14ac:dyDescent="0.25">
      <c r="A112" s="41"/>
      <c r="B112" s="12"/>
      <c r="C112" s="6"/>
      <c r="D112" s="6"/>
      <c r="E112" s="7" t="s">
        <v>6</v>
      </c>
      <c r="F112" s="44" t="str">
        <f>IF(SUM(F10:F109)=0,IF(COUNTA(F10:F109)=0,"Очікую",0),IF(COUNTIF(F10:F109,"&gt;=7")=0,0,COUNTIF(F10:F109,"&gt;=7")/$D109*100))</f>
        <v>Очікую</v>
      </c>
      <c r="G112" s="44" t="str">
        <f t="shared" ref="G112:Y112" si="4">IF(SUM(G10:G109)=0,IF(COUNTA(G10:G109)=0,"Очікую",0),IF(COUNTIF(G10:G109,"&gt;=7")=0,0,COUNTIF(G10:G109,"&gt;=7")/$D109*100))</f>
        <v>Очікую</v>
      </c>
      <c r="H112" s="44" t="str">
        <f t="shared" si="4"/>
        <v>Очікую</v>
      </c>
      <c r="I112" s="44" t="str">
        <f t="shared" si="4"/>
        <v>Очікую</v>
      </c>
      <c r="J112" s="44" t="str">
        <f t="shared" si="4"/>
        <v>Очікую</v>
      </c>
      <c r="K112" s="44" t="str">
        <f t="shared" si="4"/>
        <v>Очікую</v>
      </c>
      <c r="L112" s="44" t="str">
        <f t="shared" si="4"/>
        <v>Очікую</v>
      </c>
      <c r="M112" s="44" t="str">
        <f>IF(SUM(M10:M109)=0,IF(COUNTA(M10:M109)=0,"Очікую",0),IF(COUNTIF(M10:M109,"&gt;=7")=0,0,COUNTIF(M10:M109,"&gt;=7")/$D109*100))</f>
        <v>Очікую</v>
      </c>
      <c r="N112" s="44" t="str">
        <f t="shared" si="4"/>
        <v>Очікую</v>
      </c>
      <c r="O112" s="44" t="str">
        <f t="shared" si="4"/>
        <v>Очікую</v>
      </c>
      <c r="P112" s="44" t="str">
        <f t="shared" si="4"/>
        <v>Очікую</v>
      </c>
      <c r="Q112" s="44" t="str">
        <f t="shared" si="4"/>
        <v>Очікую</v>
      </c>
      <c r="R112" s="44" t="str">
        <f t="shared" si="4"/>
        <v>Очікую</v>
      </c>
      <c r="S112" s="44" t="str">
        <f t="shared" si="4"/>
        <v>Очікую</v>
      </c>
      <c r="T112" s="44" t="str">
        <f t="shared" si="4"/>
        <v>Очікую</v>
      </c>
      <c r="U112" s="44" t="str">
        <f t="shared" si="4"/>
        <v>Очікую</v>
      </c>
      <c r="V112" s="44" t="str">
        <f t="shared" si="4"/>
        <v>Очікую</v>
      </c>
      <c r="W112" s="44" t="str">
        <f t="shared" si="4"/>
        <v>Очікую</v>
      </c>
      <c r="X112" s="44" t="str">
        <f t="shared" si="4"/>
        <v>Очікую</v>
      </c>
      <c r="Y112" s="44" t="str">
        <f t="shared" si="4"/>
        <v>Очікую</v>
      </c>
      <c r="Z112" s="6"/>
      <c r="AA112" s="20"/>
      <c r="AB112" s="40"/>
    </row>
    <row r="113" spans="1:28" ht="15" customHeight="1" x14ac:dyDescent="0.25">
      <c r="A113" s="41"/>
      <c r="B113" s="12"/>
      <c r="C113" s="6"/>
      <c r="D113" s="6"/>
      <c r="E113" s="7" t="s">
        <v>7</v>
      </c>
      <c r="F113" s="8" t="str">
        <f>IFERROR(AVERAGE(F111:Y111),"Очікую")</f>
        <v>Очікую</v>
      </c>
      <c r="G113" s="6"/>
      <c r="H113" s="6"/>
      <c r="I113" s="6"/>
      <c r="J113" s="6"/>
      <c r="K113" s="6"/>
      <c r="L113" s="6"/>
      <c r="M113" s="6"/>
      <c r="N113" s="6"/>
      <c r="O113" s="6"/>
      <c r="P113" s="6"/>
      <c r="Q113" s="6"/>
      <c r="R113" s="6"/>
      <c r="S113" s="6"/>
      <c r="T113" s="6"/>
      <c r="U113" s="6"/>
      <c r="V113" s="6"/>
      <c r="W113" s="6"/>
      <c r="X113" s="6"/>
      <c r="Y113" s="6"/>
      <c r="Z113" s="6"/>
      <c r="AA113" s="20"/>
      <c r="AB113" s="40"/>
    </row>
    <row r="114" spans="1:28" ht="15" customHeight="1" x14ac:dyDescent="0.25">
      <c r="A114" s="41"/>
      <c r="B114" s="12"/>
      <c r="C114" s="6"/>
      <c r="D114" s="6"/>
      <c r="E114" s="7" t="s">
        <v>8</v>
      </c>
      <c r="F114" s="8" t="str">
        <f>IFERROR(AVERAGE(F112:Y112),"Очікую")</f>
        <v>Очікую</v>
      </c>
      <c r="G114" s="6"/>
      <c r="H114" s="6"/>
      <c r="I114" s="6"/>
      <c r="J114" s="6"/>
      <c r="K114" s="6"/>
      <c r="L114" s="6"/>
      <c r="M114" s="6"/>
      <c r="N114" s="6"/>
      <c r="O114" s="6"/>
      <c r="P114" s="6"/>
      <c r="Q114" s="6"/>
      <c r="R114" s="6"/>
      <c r="S114" s="6"/>
      <c r="T114" s="6"/>
      <c r="U114" s="6"/>
      <c r="V114" s="6"/>
      <c r="W114" s="6"/>
      <c r="X114" s="6"/>
      <c r="Y114" s="6"/>
      <c r="Z114" s="6"/>
      <c r="AA114" s="20"/>
      <c r="AB114" s="40"/>
    </row>
    <row r="115" spans="1:28" ht="15" customHeight="1" x14ac:dyDescent="0.25">
      <c r="A115" s="41"/>
      <c r="B115" s="12"/>
      <c r="C115" s="6"/>
      <c r="D115" s="6"/>
      <c r="E115" s="7" t="s">
        <v>9</v>
      </c>
      <c r="F115" s="5" t="str">
        <f>IF(COUNTIF(C10:C109,"=Б")=0,IF(COUNTIF(C10:C109,"=К")=0,"Очікую",0),COUNTIF(C10:C109,"=Б"))</f>
        <v>Очікую</v>
      </c>
      <c r="G115" s="6"/>
      <c r="H115" s="6"/>
      <c r="I115" s="6"/>
      <c r="J115" s="6"/>
      <c r="K115" s="6"/>
      <c r="L115" s="6"/>
      <c r="M115" s="6"/>
      <c r="N115" s="6"/>
      <c r="O115" s="6"/>
      <c r="P115" s="6"/>
      <c r="Q115" s="6"/>
      <c r="R115" s="6"/>
      <c r="S115" s="6"/>
      <c r="T115" s="6"/>
      <c r="U115" s="6"/>
      <c r="V115" s="6"/>
      <c r="W115" s="60"/>
      <c r="X115" s="60"/>
      <c r="Y115" s="60"/>
      <c r="Z115" s="60"/>
      <c r="AA115" s="20"/>
      <c r="AB115" s="40"/>
    </row>
    <row r="116" spans="1:28" ht="15" customHeight="1" x14ac:dyDescent="0.3">
      <c r="A116" s="41"/>
      <c r="B116" s="12"/>
      <c r="C116" s="6"/>
      <c r="D116" s="6"/>
      <c r="E116" s="7" t="s">
        <v>10</v>
      </c>
      <c r="F116" s="5" t="str">
        <f>IF(COUNTIF(C10:C109,"=К")=0,IF(COUNTIF(C10:C109,"=Б")=0,"Очікую",0),COUNTIF(C10:C109,"=К"))</f>
        <v>Очікую</v>
      </c>
      <c r="G116" s="6"/>
      <c r="H116" s="63" t="s">
        <v>11</v>
      </c>
      <c r="I116" s="6"/>
      <c r="J116" s="6"/>
      <c r="K116" s="6"/>
      <c r="L116" s="6"/>
      <c r="M116" s="6"/>
      <c r="N116" s="63"/>
      <c r="O116" s="63"/>
      <c r="P116" s="63"/>
      <c r="Q116" s="63"/>
      <c r="R116" s="6"/>
      <c r="S116" s="6"/>
      <c r="T116" s="6"/>
      <c r="U116" s="64"/>
      <c r="V116" s="62"/>
      <c r="W116" s="62"/>
      <c r="X116" s="62"/>
      <c r="Y116" s="62"/>
      <c r="Z116" s="62"/>
      <c r="AA116" s="20"/>
      <c r="AB116" s="40"/>
    </row>
    <row r="117" spans="1:28" ht="15" customHeight="1" x14ac:dyDescent="0.25">
      <c r="A117" s="41"/>
      <c r="B117" s="12"/>
      <c r="C117" s="6"/>
      <c r="D117" s="6"/>
      <c r="E117" s="7" t="s">
        <v>12</v>
      </c>
      <c r="F117" s="4"/>
      <c r="G117" s="6"/>
      <c r="H117" s="63"/>
      <c r="I117" s="6"/>
      <c r="J117" s="6"/>
      <c r="K117" s="6"/>
      <c r="L117" s="6"/>
      <c r="M117" s="6"/>
      <c r="N117" s="63"/>
      <c r="O117" s="63"/>
      <c r="P117" s="63"/>
      <c r="Q117" s="63"/>
      <c r="R117" s="6"/>
      <c r="S117" s="6"/>
      <c r="T117" s="6"/>
      <c r="U117" s="64"/>
      <c r="V117" s="60"/>
      <c r="W117" s="60"/>
      <c r="X117" s="60"/>
      <c r="Y117" s="60"/>
      <c r="Z117" s="60"/>
      <c r="AA117" s="20"/>
      <c r="AB117" s="40"/>
    </row>
    <row r="118" spans="1:28" ht="15" customHeight="1" x14ac:dyDescent="0.3">
      <c r="A118" s="41"/>
      <c r="B118" s="12"/>
      <c r="C118" s="6"/>
      <c r="D118" s="6"/>
      <c r="E118" s="7" t="s">
        <v>13</v>
      </c>
      <c r="F118" s="5" t="str">
        <f>IF(F115="Очікую","Очікую",IF(F115-COUNTIF(Z10:Z109," - ")&lt;ROUNDDOWN(F115*0.4,0),F115-COUNTIF(Z10:Z109," - "),ROUNDDOWN(F115*0.4,0)))</f>
        <v>Очікую</v>
      </c>
      <c r="G118" s="6"/>
      <c r="H118" s="64" t="s">
        <v>14</v>
      </c>
      <c r="I118" s="6"/>
      <c r="J118" s="6"/>
      <c r="K118" s="6"/>
      <c r="L118" s="6"/>
      <c r="M118" s="6"/>
      <c r="N118" s="64"/>
      <c r="O118" s="64"/>
      <c r="P118" s="64"/>
      <c r="Q118" s="64"/>
      <c r="R118" s="6"/>
      <c r="S118" s="6"/>
      <c r="T118" s="6"/>
      <c r="U118" s="64"/>
      <c r="V118" s="62"/>
      <c r="W118" s="62"/>
      <c r="X118" s="62"/>
      <c r="Y118" s="62"/>
      <c r="Z118" s="62"/>
      <c r="AA118" s="20"/>
      <c r="AB118" s="40"/>
    </row>
    <row r="119" spans="1:28" ht="12" customHeight="1" thickBot="1" x14ac:dyDescent="0.3">
      <c r="A119" s="41"/>
      <c r="B119" s="21"/>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5"/>
      <c r="AB119" s="40"/>
    </row>
    <row r="120" spans="1:28" ht="12" customHeight="1" x14ac:dyDescent="0.25">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c r="AA120" s="39"/>
      <c r="AB120" s="40"/>
    </row>
  </sheetData>
  <sheetProtection insertRows="0" deleteRows="0"/>
  <mergeCells count="10">
    <mergeCell ref="C8:C9"/>
    <mergeCell ref="D8:D9"/>
    <mergeCell ref="E8:E9"/>
    <mergeCell ref="F8:Y8"/>
    <mergeCell ref="Z8:Z9"/>
    <mergeCell ref="C3:Z3"/>
    <mergeCell ref="C4:Z4"/>
    <mergeCell ref="C5:Z5"/>
    <mergeCell ref="C6:Z6"/>
    <mergeCell ref="C7:Z7"/>
  </mergeCells>
  <printOptions horizontalCentered="1"/>
  <pageMargins left="0.19685039370078741" right="0.19685039370078741" top="0.19685039370078741" bottom="0.19685039370078741" header="0" footer="0"/>
  <pageSetup paperSize="9" scale="3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70C0"/>
    <pageSetUpPr fitToPage="1"/>
  </sheetPr>
  <dimension ref="A1:BP120"/>
  <sheetViews>
    <sheetView zoomScaleNormal="100" workbookViewId="0"/>
  </sheetViews>
  <sheetFormatPr defaultColWidth="0" defaultRowHeight="0" customHeight="1" zeroHeight="1" x14ac:dyDescent="0.25"/>
  <cols>
    <col min="1" max="2" width="2.7109375" style="1" customWidth="1"/>
    <col min="3" max="3" width="4.140625" style="1" customWidth="1"/>
    <col min="4" max="4" width="6.5703125" style="1" customWidth="1"/>
    <col min="5" max="5" width="40.42578125" style="1" customWidth="1"/>
    <col min="6" max="25" width="6.7109375" style="1" customWidth="1"/>
    <col min="26" max="26" width="11.28515625" style="1" customWidth="1"/>
    <col min="27" max="28" width="2.7109375" style="1" customWidth="1"/>
    <col min="29" max="34" width="14.42578125" style="1" hidden="1" customWidth="1"/>
    <col min="35" max="35" width="14.85546875" style="1" hidden="1" customWidth="1"/>
    <col min="36" max="49" width="3.7109375" style="1" hidden="1" customWidth="1"/>
    <col min="50" max="68" width="5.7109375" style="1" hidden="1" customWidth="1"/>
    <col min="69" max="16384" width="14.42578125" style="1" hidden="1"/>
  </cols>
  <sheetData>
    <row r="1" spans="1:28" ht="12" customHeight="1" thickBot="1" x14ac:dyDescent="0.3">
      <c r="A1" s="38" t="s">
        <v>18</v>
      </c>
      <c r="B1" s="39"/>
      <c r="C1" s="39"/>
      <c r="D1" s="39"/>
      <c r="E1" s="39"/>
      <c r="F1" s="39"/>
      <c r="G1" s="39"/>
      <c r="H1" s="39"/>
      <c r="I1" s="39"/>
      <c r="J1" s="39"/>
      <c r="K1" s="39"/>
      <c r="L1" s="39"/>
      <c r="M1" s="39"/>
      <c r="N1" s="39"/>
      <c r="O1" s="39"/>
      <c r="P1" s="39"/>
      <c r="Q1" s="39"/>
      <c r="R1" s="39"/>
      <c r="S1" s="39"/>
      <c r="T1" s="39"/>
      <c r="U1" s="39"/>
      <c r="V1" s="39"/>
      <c r="W1" s="39"/>
      <c r="X1" s="39"/>
      <c r="Y1" s="39"/>
      <c r="Z1" s="39"/>
      <c r="AA1" s="39"/>
      <c r="AB1" s="39"/>
    </row>
    <row r="2" spans="1:28" ht="12" customHeight="1" x14ac:dyDescent="0.25">
      <c r="A2" s="41"/>
      <c r="B2" s="17"/>
      <c r="C2" s="18"/>
      <c r="D2" s="18"/>
      <c r="E2" s="18"/>
      <c r="F2" s="18"/>
      <c r="G2" s="18"/>
      <c r="H2" s="18"/>
      <c r="I2" s="18"/>
      <c r="J2" s="18"/>
      <c r="K2" s="18"/>
      <c r="L2" s="18"/>
      <c r="M2" s="18"/>
      <c r="N2" s="18"/>
      <c r="O2" s="18"/>
      <c r="P2" s="18"/>
      <c r="Q2" s="18"/>
      <c r="R2" s="18"/>
      <c r="S2" s="18"/>
      <c r="T2" s="18"/>
      <c r="U2" s="18"/>
      <c r="V2" s="18"/>
      <c r="W2" s="18"/>
      <c r="X2" s="18"/>
      <c r="Y2" s="18"/>
      <c r="Z2" s="18"/>
      <c r="AA2" s="19"/>
      <c r="AB2" s="40"/>
    </row>
    <row r="3" spans="1:28" s="2" customFormat="1" ht="54.95" customHeight="1" x14ac:dyDescent="0.3">
      <c r="A3" s="41"/>
      <c r="B3" s="12"/>
      <c r="C3" s="70" t="s">
        <v>19</v>
      </c>
      <c r="D3" s="70"/>
      <c r="E3" s="70"/>
      <c r="F3" s="70"/>
      <c r="G3" s="70"/>
      <c r="H3" s="70"/>
      <c r="I3" s="70"/>
      <c r="J3" s="70"/>
      <c r="K3" s="70"/>
      <c r="L3" s="70"/>
      <c r="M3" s="70"/>
      <c r="N3" s="70"/>
      <c r="O3" s="70"/>
      <c r="P3" s="70"/>
      <c r="Q3" s="70"/>
      <c r="R3" s="70"/>
      <c r="S3" s="70"/>
      <c r="T3" s="70"/>
      <c r="U3" s="70"/>
      <c r="V3" s="70"/>
      <c r="W3" s="70"/>
      <c r="X3" s="70"/>
      <c r="Y3" s="70"/>
      <c r="Z3" s="70"/>
      <c r="AA3" s="20"/>
      <c r="AB3" s="40"/>
    </row>
    <row r="4" spans="1:28" s="3" customFormat="1" ht="15" customHeight="1" x14ac:dyDescent="0.25">
      <c r="A4" s="41"/>
      <c r="B4" s="12"/>
      <c r="C4" s="71" t="s">
        <v>16</v>
      </c>
      <c r="D4" s="71"/>
      <c r="E4" s="71"/>
      <c r="F4" s="71"/>
      <c r="G4" s="71"/>
      <c r="H4" s="71"/>
      <c r="I4" s="71"/>
      <c r="J4" s="71"/>
      <c r="K4" s="71"/>
      <c r="L4" s="71"/>
      <c r="M4" s="71"/>
      <c r="N4" s="71"/>
      <c r="O4" s="71"/>
      <c r="P4" s="71"/>
      <c r="Q4" s="71"/>
      <c r="R4" s="71"/>
      <c r="S4" s="71"/>
      <c r="T4" s="71"/>
      <c r="U4" s="71"/>
      <c r="V4" s="71"/>
      <c r="W4" s="71"/>
      <c r="X4" s="71"/>
      <c r="Y4" s="71"/>
      <c r="Z4" s="71"/>
      <c r="AA4" s="20"/>
      <c r="AB4" s="40"/>
    </row>
    <row r="5" spans="1:28" s="2" customFormat="1" ht="15" customHeight="1" x14ac:dyDescent="0.25">
      <c r="A5" s="41"/>
      <c r="B5" s="12"/>
      <c r="C5" s="72" t="s">
        <v>20</v>
      </c>
      <c r="D5" s="72"/>
      <c r="E5" s="72"/>
      <c r="F5" s="72"/>
      <c r="G5" s="72"/>
      <c r="H5" s="72"/>
      <c r="I5" s="72"/>
      <c r="J5" s="72"/>
      <c r="K5" s="72"/>
      <c r="L5" s="72"/>
      <c r="M5" s="72"/>
      <c r="N5" s="72"/>
      <c r="O5" s="72"/>
      <c r="P5" s="72"/>
      <c r="Q5" s="72"/>
      <c r="R5" s="72"/>
      <c r="S5" s="72"/>
      <c r="T5" s="72"/>
      <c r="U5" s="72"/>
      <c r="V5" s="72"/>
      <c r="W5" s="72"/>
      <c r="X5" s="72"/>
      <c r="Y5" s="72"/>
      <c r="Z5" s="72"/>
      <c r="AA5" s="20"/>
      <c r="AB5" s="40"/>
    </row>
    <row r="6" spans="1:28" s="2" customFormat="1" ht="15" customHeight="1" x14ac:dyDescent="0.25">
      <c r="A6" s="41"/>
      <c r="B6" s="12"/>
      <c r="C6" s="72" t="s">
        <v>22</v>
      </c>
      <c r="D6" s="72"/>
      <c r="E6" s="72"/>
      <c r="F6" s="72"/>
      <c r="G6" s="72"/>
      <c r="H6" s="72"/>
      <c r="I6" s="72"/>
      <c r="J6" s="72"/>
      <c r="K6" s="72"/>
      <c r="L6" s="72"/>
      <c r="M6" s="72"/>
      <c r="N6" s="72"/>
      <c r="O6" s="72"/>
      <c r="P6" s="72"/>
      <c r="Q6" s="72"/>
      <c r="R6" s="72"/>
      <c r="S6" s="72"/>
      <c r="T6" s="72"/>
      <c r="U6" s="72"/>
      <c r="V6" s="72"/>
      <c r="W6" s="72"/>
      <c r="X6" s="72"/>
      <c r="Y6" s="72"/>
      <c r="Z6" s="72"/>
      <c r="AA6" s="20"/>
      <c r="AB6" s="40"/>
    </row>
    <row r="7" spans="1:28" s="2" customFormat="1" ht="15" customHeight="1" x14ac:dyDescent="0.25">
      <c r="A7" s="41"/>
      <c r="B7" s="12"/>
      <c r="C7" s="73" t="s">
        <v>21</v>
      </c>
      <c r="D7" s="73"/>
      <c r="E7" s="73"/>
      <c r="F7" s="73"/>
      <c r="G7" s="73"/>
      <c r="H7" s="73"/>
      <c r="I7" s="73"/>
      <c r="J7" s="73"/>
      <c r="K7" s="73"/>
      <c r="L7" s="73"/>
      <c r="M7" s="73"/>
      <c r="N7" s="73"/>
      <c r="O7" s="73"/>
      <c r="P7" s="73"/>
      <c r="Q7" s="73"/>
      <c r="R7" s="73"/>
      <c r="S7" s="73"/>
      <c r="T7" s="73"/>
      <c r="U7" s="73"/>
      <c r="V7" s="73"/>
      <c r="W7" s="73"/>
      <c r="X7" s="73"/>
      <c r="Y7" s="73"/>
      <c r="Z7" s="73"/>
      <c r="AA7" s="20"/>
      <c r="AB7" s="40"/>
    </row>
    <row r="8" spans="1:28" ht="15" customHeight="1" x14ac:dyDescent="0.25">
      <c r="A8" s="41"/>
      <c r="B8" s="12"/>
      <c r="C8" s="74" t="s">
        <v>0</v>
      </c>
      <c r="D8" s="76" t="s">
        <v>1</v>
      </c>
      <c r="E8" s="76" t="s">
        <v>2</v>
      </c>
      <c r="F8" s="77" t="s">
        <v>17</v>
      </c>
      <c r="G8" s="78"/>
      <c r="H8" s="78"/>
      <c r="I8" s="78"/>
      <c r="J8" s="78"/>
      <c r="K8" s="78"/>
      <c r="L8" s="78"/>
      <c r="M8" s="78"/>
      <c r="N8" s="78"/>
      <c r="O8" s="78"/>
      <c r="P8" s="78"/>
      <c r="Q8" s="78"/>
      <c r="R8" s="78"/>
      <c r="S8" s="78"/>
      <c r="T8" s="78"/>
      <c r="U8" s="78"/>
      <c r="V8" s="78"/>
      <c r="W8" s="78"/>
      <c r="X8" s="78"/>
      <c r="Y8" s="79"/>
      <c r="Z8" s="80" t="s">
        <v>3</v>
      </c>
      <c r="AA8" s="20"/>
      <c r="AB8" s="40"/>
    </row>
    <row r="9" spans="1:28" ht="125.1" customHeight="1" x14ac:dyDescent="0.25">
      <c r="A9" s="41"/>
      <c r="B9" s="12"/>
      <c r="C9" s="75"/>
      <c r="D9" s="75"/>
      <c r="E9" s="75"/>
      <c r="F9" s="13">
        <v>1</v>
      </c>
      <c r="G9" s="13">
        <v>2</v>
      </c>
      <c r="H9" s="13">
        <v>3</v>
      </c>
      <c r="I9" s="13">
        <v>4</v>
      </c>
      <c r="J9" s="13">
        <v>5</v>
      </c>
      <c r="K9" s="13">
        <v>6</v>
      </c>
      <c r="L9" s="13">
        <v>7</v>
      </c>
      <c r="M9" s="13">
        <v>8</v>
      </c>
      <c r="N9" s="13">
        <v>9</v>
      </c>
      <c r="O9" s="13">
        <v>10</v>
      </c>
      <c r="P9" s="13">
        <v>11</v>
      </c>
      <c r="Q9" s="13">
        <v>12</v>
      </c>
      <c r="R9" s="13">
        <v>13</v>
      </c>
      <c r="S9" s="13">
        <v>14</v>
      </c>
      <c r="T9" s="13">
        <v>15</v>
      </c>
      <c r="U9" s="13">
        <v>16</v>
      </c>
      <c r="V9" s="13">
        <v>17</v>
      </c>
      <c r="W9" s="13">
        <v>18</v>
      </c>
      <c r="X9" s="13">
        <v>19</v>
      </c>
      <c r="Y9" s="13">
        <v>20</v>
      </c>
      <c r="Z9" s="81"/>
      <c r="AA9" s="20"/>
      <c r="AB9" s="40"/>
    </row>
    <row r="10" spans="1:28" s="11" customFormat="1" ht="15" customHeight="1" x14ac:dyDescent="0.25">
      <c r="A10" s="41"/>
      <c r="B10" s="12"/>
      <c r="C10" s="48"/>
      <c r="D10" s="48">
        <v>1</v>
      </c>
      <c r="E10" s="49"/>
      <c r="F10" s="50"/>
      <c r="G10" s="50"/>
      <c r="H10" s="50"/>
      <c r="I10" s="50"/>
      <c r="J10" s="50"/>
      <c r="K10" s="50"/>
      <c r="L10" s="50"/>
      <c r="M10" s="50"/>
      <c r="N10" s="50"/>
      <c r="O10" s="50"/>
      <c r="P10" s="50"/>
      <c r="Q10" s="50"/>
      <c r="R10" s="50"/>
      <c r="S10" s="50"/>
      <c r="T10" s="50"/>
      <c r="U10" s="50"/>
      <c r="V10" s="50"/>
      <c r="W10" s="50"/>
      <c r="X10" s="50"/>
      <c r="Y10" s="50"/>
      <c r="Z10" s="43" t="str">
        <f>IF(COUNTIF(F10:Y10,"=*")&gt;0,IF($C10="К","-"," - "),IF(COUNTIF(F10:Y10,"&lt;4")&gt;0,IF(C10="К","-"," - "),(IFERROR(AVERAGE(F10:Y10),"Очікую"))))</f>
        <v>Очікую</v>
      </c>
      <c r="AA10" s="22"/>
      <c r="AB10" s="40"/>
    </row>
    <row r="11" spans="1:28" s="11" customFormat="1" ht="15" customHeight="1" x14ac:dyDescent="0.25">
      <c r="A11" s="41"/>
      <c r="B11" s="12"/>
      <c r="C11" s="48"/>
      <c r="D11" s="48">
        <v>2</v>
      </c>
      <c r="E11" s="49"/>
      <c r="F11" s="50"/>
      <c r="G11" s="50"/>
      <c r="H11" s="50"/>
      <c r="I11" s="50"/>
      <c r="J11" s="50"/>
      <c r="K11" s="50"/>
      <c r="L11" s="50"/>
      <c r="M11" s="50"/>
      <c r="N11" s="50"/>
      <c r="O11" s="50"/>
      <c r="P11" s="50"/>
      <c r="Q11" s="50"/>
      <c r="R11" s="50"/>
      <c r="S11" s="50"/>
      <c r="T11" s="50"/>
      <c r="U11" s="50"/>
      <c r="V11" s="50"/>
      <c r="W11" s="50"/>
      <c r="X11" s="50"/>
      <c r="Y11" s="50"/>
      <c r="Z11" s="43" t="str">
        <f t="shared" ref="Z11:Z74" si="0">IF(COUNTIF(F11:Y11,"=*")&gt;0,IF($C11="К","-"," - "),IF(COUNTIF(F11:Y11,"&lt;4")&gt;0,IF(C11="К","-"," - "),(IFERROR(AVERAGE(F11:Y11),"Очікую"))))</f>
        <v>Очікую</v>
      </c>
      <c r="AA11" s="22"/>
      <c r="AB11" s="40"/>
    </row>
    <row r="12" spans="1:28" s="11" customFormat="1" ht="15" customHeight="1" x14ac:dyDescent="0.25">
      <c r="A12" s="41"/>
      <c r="B12" s="12"/>
      <c r="C12" s="48"/>
      <c r="D12" s="48">
        <v>3</v>
      </c>
      <c r="E12" s="49"/>
      <c r="F12" s="50"/>
      <c r="G12" s="50"/>
      <c r="H12" s="50"/>
      <c r="I12" s="50"/>
      <c r="J12" s="50"/>
      <c r="K12" s="50"/>
      <c r="L12" s="50"/>
      <c r="M12" s="50"/>
      <c r="N12" s="50"/>
      <c r="O12" s="50"/>
      <c r="P12" s="50"/>
      <c r="Q12" s="50"/>
      <c r="R12" s="50"/>
      <c r="S12" s="50"/>
      <c r="T12" s="50"/>
      <c r="U12" s="50"/>
      <c r="V12" s="50"/>
      <c r="W12" s="50"/>
      <c r="X12" s="50"/>
      <c r="Y12" s="50"/>
      <c r="Z12" s="43" t="str">
        <f t="shared" si="0"/>
        <v>Очікую</v>
      </c>
      <c r="AA12" s="22"/>
      <c r="AB12" s="40"/>
    </row>
    <row r="13" spans="1:28" s="11" customFormat="1" ht="15" customHeight="1" x14ac:dyDescent="0.25">
      <c r="A13" s="41"/>
      <c r="B13" s="12"/>
      <c r="C13" s="48"/>
      <c r="D13" s="48">
        <v>4</v>
      </c>
      <c r="E13" s="49"/>
      <c r="F13" s="50"/>
      <c r="G13" s="50"/>
      <c r="H13" s="50"/>
      <c r="I13" s="50"/>
      <c r="J13" s="50"/>
      <c r="K13" s="50"/>
      <c r="L13" s="50"/>
      <c r="M13" s="50"/>
      <c r="N13" s="50"/>
      <c r="O13" s="50"/>
      <c r="P13" s="50"/>
      <c r="Q13" s="50"/>
      <c r="R13" s="50"/>
      <c r="S13" s="50"/>
      <c r="T13" s="50"/>
      <c r="U13" s="50"/>
      <c r="V13" s="50"/>
      <c r="W13" s="50"/>
      <c r="X13" s="50"/>
      <c r="Y13" s="50"/>
      <c r="Z13" s="43" t="str">
        <f t="shared" si="0"/>
        <v>Очікую</v>
      </c>
      <c r="AA13" s="22"/>
      <c r="AB13" s="40"/>
    </row>
    <row r="14" spans="1:28" s="11" customFormat="1" ht="15" customHeight="1" x14ac:dyDescent="0.25">
      <c r="A14" s="41"/>
      <c r="B14" s="12"/>
      <c r="C14" s="48"/>
      <c r="D14" s="48">
        <v>5</v>
      </c>
      <c r="E14" s="49"/>
      <c r="F14" s="50"/>
      <c r="G14" s="50"/>
      <c r="H14" s="50"/>
      <c r="I14" s="50"/>
      <c r="J14" s="50"/>
      <c r="K14" s="50"/>
      <c r="L14" s="50"/>
      <c r="M14" s="50"/>
      <c r="N14" s="50"/>
      <c r="O14" s="50"/>
      <c r="P14" s="50"/>
      <c r="Q14" s="50"/>
      <c r="R14" s="50"/>
      <c r="S14" s="50"/>
      <c r="T14" s="50"/>
      <c r="U14" s="50"/>
      <c r="V14" s="50"/>
      <c r="W14" s="50"/>
      <c r="X14" s="50"/>
      <c r="Y14" s="50"/>
      <c r="Z14" s="43" t="str">
        <f t="shared" si="0"/>
        <v>Очікую</v>
      </c>
      <c r="AA14" s="22"/>
      <c r="AB14" s="40"/>
    </row>
    <row r="15" spans="1:28" s="11" customFormat="1" ht="15" customHeight="1" x14ac:dyDescent="0.25">
      <c r="A15" s="41"/>
      <c r="B15" s="12"/>
      <c r="C15" s="48"/>
      <c r="D15" s="48">
        <v>6</v>
      </c>
      <c r="E15" s="49"/>
      <c r="F15" s="50"/>
      <c r="G15" s="50"/>
      <c r="H15" s="50"/>
      <c r="I15" s="50"/>
      <c r="J15" s="50"/>
      <c r="K15" s="50"/>
      <c r="L15" s="50"/>
      <c r="M15" s="50"/>
      <c r="N15" s="50"/>
      <c r="O15" s="50"/>
      <c r="P15" s="50"/>
      <c r="Q15" s="50"/>
      <c r="R15" s="50"/>
      <c r="S15" s="50"/>
      <c r="T15" s="50"/>
      <c r="U15" s="50"/>
      <c r="V15" s="50"/>
      <c r="W15" s="50"/>
      <c r="X15" s="50"/>
      <c r="Y15" s="50"/>
      <c r="Z15" s="43" t="str">
        <f t="shared" si="0"/>
        <v>Очікую</v>
      </c>
      <c r="AA15" s="22"/>
      <c r="AB15" s="40"/>
    </row>
    <row r="16" spans="1:28" s="11" customFormat="1" ht="15" customHeight="1" x14ac:dyDescent="0.25">
      <c r="A16" s="41"/>
      <c r="B16" s="12"/>
      <c r="C16" s="48"/>
      <c r="D16" s="48">
        <v>7</v>
      </c>
      <c r="E16" s="49"/>
      <c r="F16" s="50"/>
      <c r="G16" s="50"/>
      <c r="H16" s="50"/>
      <c r="I16" s="50"/>
      <c r="J16" s="50"/>
      <c r="K16" s="50"/>
      <c r="L16" s="50"/>
      <c r="M16" s="50"/>
      <c r="N16" s="50"/>
      <c r="O16" s="50"/>
      <c r="P16" s="50"/>
      <c r="Q16" s="50"/>
      <c r="R16" s="50"/>
      <c r="S16" s="50"/>
      <c r="T16" s="50"/>
      <c r="U16" s="50"/>
      <c r="V16" s="50"/>
      <c r="W16" s="50"/>
      <c r="X16" s="50"/>
      <c r="Y16" s="50"/>
      <c r="Z16" s="43" t="str">
        <f t="shared" si="0"/>
        <v>Очікую</v>
      </c>
      <c r="AA16" s="22"/>
      <c r="AB16" s="40"/>
    </row>
    <row r="17" spans="1:28" s="11" customFormat="1" ht="15" customHeight="1" x14ac:dyDescent="0.25">
      <c r="A17" s="41"/>
      <c r="B17" s="12"/>
      <c r="C17" s="48"/>
      <c r="D17" s="48">
        <v>8</v>
      </c>
      <c r="E17" s="49"/>
      <c r="F17" s="50"/>
      <c r="G17" s="50"/>
      <c r="H17" s="50"/>
      <c r="I17" s="50"/>
      <c r="J17" s="50"/>
      <c r="K17" s="50"/>
      <c r="L17" s="50"/>
      <c r="M17" s="50"/>
      <c r="N17" s="50"/>
      <c r="O17" s="50"/>
      <c r="P17" s="50"/>
      <c r="Q17" s="50"/>
      <c r="R17" s="50"/>
      <c r="S17" s="50"/>
      <c r="T17" s="50"/>
      <c r="U17" s="50"/>
      <c r="V17" s="50"/>
      <c r="W17" s="50"/>
      <c r="X17" s="50"/>
      <c r="Y17" s="50"/>
      <c r="Z17" s="43" t="str">
        <f t="shared" si="0"/>
        <v>Очікую</v>
      </c>
      <c r="AA17" s="22"/>
      <c r="AB17" s="40"/>
    </row>
    <row r="18" spans="1:28" s="11" customFormat="1" ht="15" customHeight="1" x14ac:dyDescent="0.25">
      <c r="A18" s="41"/>
      <c r="B18" s="12"/>
      <c r="C18" s="48"/>
      <c r="D18" s="48">
        <v>9</v>
      </c>
      <c r="E18" s="49"/>
      <c r="F18" s="50"/>
      <c r="G18" s="50"/>
      <c r="H18" s="50"/>
      <c r="I18" s="50"/>
      <c r="J18" s="50"/>
      <c r="K18" s="50"/>
      <c r="L18" s="50"/>
      <c r="M18" s="50"/>
      <c r="N18" s="50"/>
      <c r="O18" s="50"/>
      <c r="P18" s="50"/>
      <c r="Q18" s="50"/>
      <c r="R18" s="50"/>
      <c r="S18" s="50"/>
      <c r="T18" s="50"/>
      <c r="U18" s="50"/>
      <c r="V18" s="50"/>
      <c r="W18" s="50"/>
      <c r="X18" s="50"/>
      <c r="Y18" s="50"/>
      <c r="Z18" s="43" t="str">
        <f t="shared" si="0"/>
        <v>Очікую</v>
      </c>
      <c r="AA18" s="22"/>
      <c r="AB18" s="40"/>
    </row>
    <row r="19" spans="1:28" s="11" customFormat="1" ht="15" customHeight="1" x14ac:dyDescent="0.25">
      <c r="A19" s="41"/>
      <c r="B19" s="12"/>
      <c r="C19" s="48"/>
      <c r="D19" s="48">
        <v>10</v>
      </c>
      <c r="E19" s="49"/>
      <c r="F19" s="50"/>
      <c r="G19" s="50"/>
      <c r="H19" s="50"/>
      <c r="I19" s="50"/>
      <c r="J19" s="50"/>
      <c r="K19" s="50"/>
      <c r="L19" s="50"/>
      <c r="M19" s="50"/>
      <c r="N19" s="50"/>
      <c r="O19" s="50"/>
      <c r="P19" s="50"/>
      <c r="Q19" s="50"/>
      <c r="R19" s="50"/>
      <c r="S19" s="50"/>
      <c r="T19" s="50"/>
      <c r="U19" s="50"/>
      <c r="V19" s="50"/>
      <c r="W19" s="50"/>
      <c r="X19" s="50"/>
      <c r="Y19" s="50"/>
      <c r="Z19" s="43" t="str">
        <f t="shared" si="0"/>
        <v>Очікую</v>
      </c>
      <c r="AA19" s="22"/>
      <c r="AB19" s="40"/>
    </row>
    <row r="20" spans="1:28" s="11" customFormat="1" ht="15" customHeight="1" x14ac:dyDescent="0.25">
      <c r="A20" s="41"/>
      <c r="B20" s="12"/>
      <c r="C20" s="48"/>
      <c r="D20" s="48">
        <v>11</v>
      </c>
      <c r="E20" s="49"/>
      <c r="F20" s="50"/>
      <c r="G20" s="50"/>
      <c r="H20" s="50"/>
      <c r="I20" s="50"/>
      <c r="J20" s="50"/>
      <c r="K20" s="50"/>
      <c r="L20" s="50"/>
      <c r="M20" s="50"/>
      <c r="N20" s="50"/>
      <c r="O20" s="50"/>
      <c r="P20" s="50"/>
      <c r="Q20" s="50"/>
      <c r="R20" s="50"/>
      <c r="S20" s="50"/>
      <c r="T20" s="50"/>
      <c r="U20" s="50"/>
      <c r="V20" s="50"/>
      <c r="W20" s="50"/>
      <c r="X20" s="50"/>
      <c r="Y20" s="50"/>
      <c r="Z20" s="43" t="str">
        <f t="shared" si="0"/>
        <v>Очікую</v>
      </c>
      <c r="AA20" s="22"/>
      <c r="AB20" s="40"/>
    </row>
    <row r="21" spans="1:28" s="11" customFormat="1" ht="15" customHeight="1" x14ac:dyDescent="0.25">
      <c r="A21" s="41"/>
      <c r="B21" s="12"/>
      <c r="C21" s="48"/>
      <c r="D21" s="48">
        <v>12</v>
      </c>
      <c r="E21" s="49"/>
      <c r="F21" s="50"/>
      <c r="G21" s="50"/>
      <c r="H21" s="50"/>
      <c r="I21" s="50"/>
      <c r="J21" s="50"/>
      <c r="K21" s="50"/>
      <c r="L21" s="50"/>
      <c r="M21" s="50"/>
      <c r="N21" s="50"/>
      <c r="O21" s="50"/>
      <c r="P21" s="50"/>
      <c r="Q21" s="50"/>
      <c r="R21" s="50"/>
      <c r="S21" s="50"/>
      <c r="T21" s="50"/>
      <c r="U21" s="50"/>
      <c r="V21" s="50"/>
      <c r="W21" s="50"/>
      <c r="X21" s="50"/>
      <c r="Y21" s="50"/>
      <c r="Z21" s="43" t="str">
        <f t="shared" si="0"/>
        <v>Очікую</v>
      </c>
      <c r="AA21" s="22"/>
      <c r="AB21" s="40"/>
    </row>
    <row r="22" spans="1:28" s="11" customFormat="1" ht="15" customHeight="1" x14ac:dyDescent="0.25">
      <c r="A22" s="41"/>
      <c r="B22" s="12"/>
      <c r="C22" s="48"/>
      <c r="D22" s="48">
        <v>13</v>
      </c>
      <c r="E22" s="49"/>
      <c r="F22" s="50"/>
      <c r="G22" s="50"/>
      <c r="H22" s="50"/>
      <c r="I22" s="50"/>
      <c r="J22" s="50"/>
      <c r="K22" s="50"/>
      <c r="L22" s="50"/>
      <c r="M22" s="50"/>
      <c r="N22" s="50"/>
      <c r="O22" s="50"/>
      <c r="P22" s="50"/>
      <c r="Q22" s="50"/>
      <c r="R22" s="50"/>
      <c r="S22" s="50"/>
      <c r="T22" s="50"/>
      <c r="U22" s="50"/>
      <c r="V22" s="50"/>
      <c r="W22" s="50"/>
      <c r="X22" s="50"/>
      <c r="Y22" s="50"/>
      <c r="Z22" s="43" t="str">
        <f t="shared" si="0"/>
        <v>Очікую</v>
      </c>
      <c r="AA22" s="22"/>
      <c r="AB22" s="40"/>
    </row>
    <row r="23" spans="1:28" s="11" customFormat="1" ht="15" customHeight="1" x14ac:dyDescent="0.25">
      <c r="A23" s="41"/>
      <c r="B23" s="12"/>
      <c r="C23" s="48"/>
      <c r="D23" s="48">
        <v>14</v>
      </c>
      <c r="E23" s="49"/>
      <c r="F23" s="50"/>
      <c r="G23" s="50"/>
      <c r="H23" s="50"/>
      <c r="I23" s="50"/>
      <c r="J23" s="50"/>
      <c r="K23" s="50"/>
      <c r="L23" s="50"/>
      <c r="M23" s="50"/>
      <c r="N23" s="50"/>
      <c r="O23" s="50"/>
      <c r="P23" s="50"/>
      <c r="Q23" s="50"/>
      <c r="R23" s="50"/>
      <c r="S23" s="50"/>
      <c r="T23" s="50"/>
      <c r="U23" s="50"/>
      <c r="V23" s="50"/>
      <c r="W23" s="50"/>
      <c r="X23" s="50"/>
      <c r="Y23" s="50"/>
      <c r="Z23" s="43" t="str">
        <f t="shared" si="0"/>
        <v>Очікую</v>
      </c>
      <c r="AA23" s="22"/>
      <c r="AB23" s="40"/>
    </row>
    <row r="24" spans="1:28" s="11" customFormat="1" ht="15" customHeight="1" x14ac:dyDescent="0.25">
      <c r="A24" s="41"/>
      <c r="B24" s="12"/>
      <c r="C24" s="48"/>
      <c r="D24" s="48">
        <v>15</v>
      </c>
      <c r="E24" s="49"/>
      <c r="F24" s="50"/>
      <c r="G24" s="50"/>
      <c r="H24" s="50"/>
      <c r="I24" s="50"/>
      <c r="J24" s="50"/>
      <c r="K24" s="50"/>
      <c r="L24" s="50"/>
      <c r="M24" s="50"/>
      <c r="N24" s="50"/>
      <c r="O24" s="50"/>
      <c r="P24" s="50"/>
      <c r="Q24" s="50"/>
      <c r="R24" s="50"/>
      <c r="S24" s="50"/>
      <c r="T24" s="50"/>
      <c r="U24" s="50"/>
      <c r="V24" s="50"/>
      <c r="W24" s="50"/>
      <c r="X24" s="50"/>
      <c r="Y24" s="50"/>
      <c r="Z24" s="43" t="str">
        <f t="shared" si="0"/>
        <v>Очікую</v>
      </c>
      <c r="AA24" s="22"/>
      <c r="AB24" s="40"/>
    </row>
    <row r="25" spans="1:28" s="11" customFormat="1" ht="15" customHeight="1" x14ac:dyDescent="0.25">
      <c r="A25" s="41"/>
      <c r="B25" s="12"/>
      <c r="C25" s="48"/>
      <c r="D25" s="48">
        <v>16</v>
      </c>
      <c r="E25" s="49"/>
      <c r="F25" s="50"/>
      <c r="G25" s="50"/>
      <c r="H25" s="50"/>
      <c r="I25" s="50"/>
      <c r="J25" s="50"/>
      <c r="K25" s="50"/>
      <c r="L25" s="50"/>
      <c r="M25" s="50"/>
      <c r="N25" s="50"/>
      <c r="O25" s="50"/>
      <c r="P25" s="50"/>
      <c r="Q25" s="50"/>
      <c r="R25" s="50"/>
      <c r="S25" s="50"/>
      <c r="T25" s="50"/>
      <c r="U25" s="50"/>
      <c r="V25" s="50"/>
      <c r="W25" s="50"/>
      <c r="X25" s="50"/>
      <c r="Y25" s="50"/>
      <c r="Z25" s="43" t="str">
        <f t="shared" si="0"/>
        <v>Очікую</v>
      </c>
      <c r="AA25" s="22"/>
      <c r="AB25" s="40"/>
    </row>
    <row r="26" spans="1:28" s="11" customFormat="1" ht="15" customHeight="1" x14ac:dyDescent="0.25">
      <c r="A26" s="41"/>
      <c r="B26" s="12"/>
      <c r="C26" s="48"/>
      <c r="D26" s="48">
        <v>17</v>
      </c>
      <c r="E26" s="49"/>
      <c r="F26" s="50"/>
      <c r="G26" s="50"/>
      <c r="H26" s="50"/>
      <c r="I26" s="50"/>
      <c r="J26" s="50"/>
      <c r="K26" s="50"/>
      <c r="L26" s="50"/>
      <c r="M26" s="50"/>
      <c r="N26" s="50"/>
      <c r="O26" s="50"/>
      <c r="P26" s="50"/>
      <c r="Q26" s="50"/>
      <c r="R26" s="50"/>
      <c r="S26" s="50"/>
      <c r="T26" s="50"/>
      <c r="U26" s="50"/>
      <c r="V26" s="50"/>
      <c r="W26" s="50"/>
      <c r="X26" s="50"/>
      <c r="Y26" s="50"/>
      <c r="Z26" s="43" t="str">
        <f t="shared" si="0"/>
        <v>Очікую</v>
      </c>
      <c r="AA26" s="22"/>
      <c r="AB26" s="40"/>
    </row>
    <row r="27" spans="1:28" s="11" customFormat="1" ht="15" customHeight="1" x14ac:dyDescent="0.25">
      <c r="A27" s="41"/>
      <c r="B27" s="12"/>
      <c r="C27" s="48"/>
      <c r="D27" s="48">
        <v>18</v>
      </c>
      <c r="E27" s="49"/>
      <c r="F27" s="50"/>
      <c r="G27" s="50"/>
      <c r="H27" s="50"/>
      <c r="I27" s="50"/>
      <c r="J27" s="50"/>
      <c r="K27" s="50"/>
      <c r="L27" s="50"/>
      <c r="M27" s="50"/>
      <c r="N27" s="50"/>
      <c r="O27" s="50"/>
      <c r="P27" s="50"/>
      <c r="Q27" s="50"/>
      <c r="R27" s="50"/>
      <c r="S27" s="50"/>
      <c r="T27" s="50"/>
      <c r="U27" s="50"/>
      <c r="V27" s="50"/>
      <c r="W27" s="50"/>
      <c r="X27" s="50"/>
      <c r="Y27" s="50"/>
      <c r="Z27" s="43" t="str">
        <f t="shared" si="0"/>
        <v>Очікую</v>
      </c>
      <c r="AA27" s="22"/>
      <c r="AB27" s="40"/>
    </row>
    <row r="28" spans="1:28" s="11" customFormat="1" ht="15" customHeight="1" x14ac:dyDescent="0.25">
      <c r="A28" s="41"/>
      <c r="B28" s="12"/>
      <c r="C28" s="48"/>
      <c r="D28" s="48">
        <v>19</v>
      </c>
      <c r="E28" s="49"/>
      <c r="F28" s="50"/>
      <c r="G28" s="50"/>
      <c r="H28" s="50"/>
      <c r="I28" s="50"/>
      <c r="J28" s="50"/>
      <c r="K28" s="50"/>
      <c r="L28" s="50"/>
      <c r="M28" s="50"/>
      <c r="N28" s="50"/>
      <c r="O28" s="50"/>
      <c r="P28" s="50"/>
      <c r="Q28" s="50"/>
      <c r="R28" s="50"/>
      <c r="S28" s="50"/>
      <c r="T28" s="50"/>
      <c r="U28" s="50"/>
      <c r="V28" s="50"/>
      <c r="W28" s="50"/>
      <c r="X28" s="50"/>
      <c r="Y28" s="50"/>
      <c r="Z28" s="43" t="str">
        <f t="shared" si="0"/>
        <v>Очікую</v>
      </c>
      <c r="AA28" s="22"/>
      <c r="AB28" s="40"/>
    </row>
    <row r="29" spans="1:28" s="11" customFormat="1" ht="15" customHeight="1" x14ac:dyDescent="0.25">
      <c r="A29" s="41"/>
      <c r="B29" s="12"/>
      <c r="C29" s="48"/>
      <c r="D29" s="48">
        <v>20</v>
      </c>
      <c r="E29" s="49"/>
      <c r="F29" s="50"/>
      <c r="G29" s="50"/>
      <c r="H29" s="50"/>
      <c r="I29" s="50"/>
      <c r="J29" s="50"/>
      <c r="K29" s="50"/>
      <c r="L29" s="50"/>
      <c r="M29" s="50"/>
      <c r="N29" s="50"/>
      <c r="O29" s="50"/>
      <c r="P29" s="50"/>
      <c r="Q29" s="50"/>
      <c r="R29" s="50"/>
      <c r="S29" s="50"/>
      <c r="T29" s="50"/>
      <c r="U29" s="50"/>
      <c r="V29" s="50"/>
      <c r="W29" s="50"/>
      <c r="X29" s="50"/>
      <c r="Y29" s="50"/>
      <c r="Z29" s="43" t="str">
        <f t="shared" si="0"/>
        <v>Очікую</v>
      </c>
      <c r="AA29" s="22"/>
      <c r="AB29" s="40"/>
    </row>
    <row r="30" spans="1:28" s="11" customFormat="1" ht="15" customHeight="1" x14ac:dyDescent="0.25">
      <c r="A30" s="41"/>
      <c r="B30" s="12"/>
      <c r="C30" s="48"/>
      <c r="D30" s="48">
        <v>21</v>
      </c>
      <c r="E30" s="49"/>
      <c r="F30" s="50"/>
      <c r="G30" s="50"/>
      <c r="H30" s="50"/>
      <c r="I30" s="50"/>
      <c r="J30" s="50"/>
      <c r="K30" s="50"/>
      <c r="L30" s="50"/>
      <c r="M30" s="50"/>
      <c r="N30" s="50"/>
      <c r="O30" s="50"/>
      <c r="P30" s="50"/>
      <c r="Q30" s="50"/>
      <c r="R30" s="50"/>
      <c r="S30" s="50"/>
      <c r="T30" s="50"/>
      <c r="U30" s="50"/>
      <c r="V30" s="50"/>
      <c r="W30" s="50"/>
      <c r="X30" s="50"/>
      <c r="Y30" s="50"/>
      <c r="Z30" s="43" t="str">
        <f t="shared" si="0"/>
        <v>Очікую</v>
      </c>
      <c r="AA30" s="22"/>
      <c r="AB30" s="40"/>
    </row>
    <row r="31" spans="1:28" s="11" customFormat="1" ht="15" customHeight="1" x14ac:dyDescent="0.25">
      <c r="A31" s="41"/>
      <c r="B31" s="12"/>
      <c r="C31" s="48"/>
      <c r="D31" s="48">
        <v>22</v>
      </c>
      <c r="E31" s="49"/>
      <c r="F31" s="50"/>
      <c r="G31" s="50"/>
      <c r="H31" s="50"/>
      <c r="I31" s="50"/>
      <c r="J31" s="50"/>
      <c r="K31" s="50"/>
      <c r="L31" s="50"/>
      <c r="M31" s="50"/>
      <c r="N31" s="50"/>
      <c r="O31" s="50"/>
      <c r="P31" s="50"/>
      <c r="Q31" s="50"/>
      <c r="R31" s="50"/>
      <c r="S31" s="50"/>
      <c r="T31" s="50"/>
      <c r="U31" s="50"/>
      <c r="V31" s="50"/>
      <c r="W31" s="50"/>
      <c r="X31" s="50"/>
      <c r="Y31" s="50"/>
      <c r="Z31" s="43" t="str">
        <f t="shared" si="0"/>
        <v>Очікую</v>
      </c>
      <c r="AA31" s="22"/>
      <c r="AB31" s="40"/>
    </row>
    <row r="32" spans="1:28" s="11" customFormat="1" ht="15" customHeight="1" x14ac:dyDescent="0.25">
      <c r="A32" s="41"/>
      <c r="B32" s="12"/>
      <c r="C32" s="48"/>
      <c r="D32" s="48">
        <v>23</v>
      </c>
      <c r="E32" s="49"/>
      <c r="F32" s="50"/>
      <c r="G32" s="50"/>
      <c r="H32" s="50"/>
      <c r="I32" s="50"/>
      <c r="J32" s="50"/>
      <c r="K32" s="50"/>
      <c r="L32" s="50"/>
      <c r="M32" s="50"/>
      <c r="N32" s="50"/>
      <c r="O32" s="50"/>
      <c r="P32" s="50"/>
      <c r="Q32" s="50"/>
      <c r="R32" s="50"/>
      <c r="S32" s="50"/>
      <c r="T32" s="50"/>
      <c r="U32" s="50"/>
      <c r="V32" s="50"/>
      <c r="W32" s="50"/>
      <c r="X32" s="50"/>
      <c r="Y32" s="50"/>
      <c r="Z32" s="43" t="str">
        <f t="shared" si="0"/>
        <v>Очікую</v>
      </c>
      <c r="AA32" s="22"/>
      <c r="AB32" s="40"/>
    </row>
    <row r="33" spans="1:28" s="11" customFormat="1" ht="15" customHeight="1" x14ac:dyDescent="0.25">
      <c r="A33" s="41"/>
      <c r="B33" s="12"/>
      <c r="C33" s="48"/>
      <c r="D33" s="48">
        <v>24</v>
      </c>
      <c r="E33" s="49"/>
      <c r="F33" s="50"/>
      <c r="G33" s="50"/>
      <c r="H33" s="50"/>
      <c r="I33" s="50"/>
      <c r="J33" s="50"/>
      <c r="K33" s="50"/>
      <c r="L33" s="50"/>
      <c r="M33" s="50"/>
      <c r="N33" s="50"/>
      <c r="O33" s="50"/>
      <c r="P33" s="50"/>
      <c r="Q33" s="50"/>
      <c r="R33" s="50"/>
      <c r="S33" s="50"/>
      <c r="T33" s="50"/>
      <c r="U33" s="50"/>
      <c r="V33" s="50"/>
      <c r="W33" s="50"/>
      <c r="X33" s="50"/>
      <c r="Y33" s="50"/>
      <c r="Z33" s="43" t="str">
        <f t="shared" si="0"/>
        <v>Очікую</v>
      </c>
      <c r="AA33" s="22"/>
      <c r="AB33" s="40"/>
    </row>
    <row r="34" spans="1:28" s="11" customFormat="1" ht="15" customHeight="1" x14ac:dyDescent="0.25">
      <c r="A34" s="41"/>
      <c r="B34" s="12"/>
      <c r="C34" s="48"/>
      <c r="D34" s="48">
        <v>25</v>
      </c>
      <c r="E34" s="49"/>
      <c r="F34" s="50"/>
      <c r="G34" s="50"/>
      <c r="H34" s="50"/>
      <c r="I34" s="50"/>
      <c r="J34" s="50"/>
      <c r="K34" s="50"/>
      <c r="L34" s="50"/>
      <c r="M34" s="50"/>
      <c r="N34" s="50"/>
      <c r="O34" s="50"/>
      <c r="P34" s="50"/>
      <c r="Q34" s="50"/>
      <c r="R34" s="50"/>
      <c r="S34" s="50"/>
      <c r="T34" s="50"/>
      <c r="U34" s="50"/>
      <c r="V34" s="50"/>
      <c r="W34" s="50"/>
      <c r="X34" s="50"/>
      <c r="Y34" s="50"/>
      <c r="Z34" s="43" t="str">
        <f t="shared" si="0"/>
        <v>Очікую</v>
      </c>
      <c r="AA34" s="22"/>
      <c r="AB34" s="40"/>
    </row>
    <row r="35" spans="1:28" s="11" customFormat="1" ht="15" customHeight="1" x14ac:dyDescent="0.25">
      <c r="A35" s="41"/>
      <c r="B35" s="12"/>
      <c r="C35" s="48"/>
      <c r="D35" s="48">
        <v>26</v>
      </c>
      <c r="E35" s="49"/>
      <c r="F35" s="50"/>
      <c r="G35" s="50"/>
      <c r="H35" s="50"/>
      <c r="I35" s="50"/>
      <c r="J35" s="50"/>
      <c r="K35" s="50"/>
      <c r="L35" s="50"/>
      <c r="M35" s="50"/>
      <c r="N35" s="50"/>
      <c r="O35" s="50"/>
      <c r="P35" s="50"/>
      <c r="Q35" s="50"/>
      <c r="R35" s="50"/>
      <c r="S35" s="50"/>
      <c r="T35" s="50"/>
      <c r="U35" s="50"/>
      <c r="V35" s="50"/>
      <c r="W35" s="50"/>
      <c r="X35" s="50"/>
      <c r="Y35" s="50"/>
      <c r="Z35" s="43" t="str">
        <f t="shared" si="0"/>
        <v>Очікую</v>
      </c>
      <c r="AA35" s="22"/>
      <c r="AB35" s="40"/>
    </row>
    <row r="36" spans="1:28" s="11" customFormat="1" ht="15" customHeight="1" x14ac:dyDescent="0.25">
      <c r="A36" s="41"/>
      <c r="B36" s="12"/>
      <c r="C36" s="48"/>
      <c r="D36" s="48">
        <v>27</v>
      </c>
      <c r="E36" s="49"/>
      <c r="F36" s="50"/>
      <c r="G36" s="50"/>
      <c r="H36" s="50"/>
      <c r="I36" s="50"/>
      <c r="J36" s="50"/>
      <c r="K36" s="50"/>
      <c r="L36" s="50"/>
      <c r="M36" s="50"/>
      <c r="N36" s="50"/>
      <c r="O36" s="50"/>
      <c r="P36" s="50"/>
      <c r="Q36" s="50"/>
      <c r="R36" s="50"/>
      <c r="S36" s="50"/>
      <c r="T36" s="50"/>
      <c r="U36" s="50"/>
      <c r="V36" s="50"/>
      <c r="W36" s="50"/>
      <c r="X36" s="50"/>
      <c r="Y36" s="50"/>
      <c r="Z36" s="43" t="str">
        <f t="shared" si="0"/>
        <v>Очікую</v>
      </c>
      <c r="AA36" s="22"/>
      <c r="AB36" s="40"/>
    </row>
    <row r="37" spans="1:28" s="11" customFormat="1" ht="15" customHeight="1" x14ac:dyDescent="0.25">
      <c r="A37" s="41"/>
      <c r="B37" s="12"/>
      <c r="C37" s="48"/>
      <c r="D37" s="48">
        <v>28</v>
      </c>
      <c r="E37" s="49"/>
      <c r="F37" s="50"/>
      <c r="G37" s="50"/>
      <c r="H37" s="50"/>
      <c r="I37" s="50"/>
      <c r="J37" s="50"/>
      <c r="K37" s="50"/>
      <c r="L37" s="50"/>
      <c r="M37" s="50"/>
      <c r="N37" s="50"/>
      <c r="O37" s="50"/>
      <c r="P37" s="50"/>
      <c r="Q37" s="50"/>
      <c r="R37" s="50"/>
      <c r="S37" s="50"/>
      <c r="T37" s="50"/>
      <c r="U37" s="50"/>
      <c r="V37" s="50"/>
      <c r="W37" s="50"/>
      <c r="X37" s="50"/>
      <c r="Y37" s="50"/>
      <c r="Z37" s="43" t="str">
        <f t="shared" si="0"/>
        <v>Очікую</v>
      </c>
      <c r="AA37" s="22"/>
      <c r="AB37" s="40"/>
    </row>
    <row r="38" spans="1:28" s="11" customFormat="1" ht="15" customHeight="1" x14ac:dyDescent="0.25">
      <c r="A38" s="41"/>
      <c r="B38" s="12"/>
      <c r="C38" s="48"/>
      <c r="D38" s="48">
        <v>29</v>
      </c>
      <c r="E38" s="49"/>
      <c r="F38" s="50"/>
      <c r="G38" s="50"/>
      <c r="H38" s="50"/>
      <c r="I38" s="50"/>
      <c r="J38" s="50"/>
      <c r="K38" s="50"/>
      <c r="L38" s="50"/>
      <c r="M38" s="50"/>
      <c r="N38" s="50"/>
      <c r="O38" s="50"/>
      <c r="P38" s="50"/>
      <c r="Q38" s="50"/>
      <c r="R38" s="50"/>
      <c r="S38" s="50"/>
      <c r="T38" s="50"/>
      <c r="U38" s="50"/>
      <c r="V38" s="50"/>
      <c r="W38" s="50"/>
      <c r="X38" s="50"/>
      <c r="Y38" s="50"/>
      <c r="Z38" s="43" t="str">
        <f t="shared" si="0"/>
        <v>Очікую</v>
      </c>
      <c r="AA38" s="22"/>
      <c r="AB38" s="40"/>
    </row>
    <row r="39" spans="1:28" s="11" customFormat="1" ht="15" customHeight="1" x14ac:dyDescent="0.25">
      <c r="A39" s="41"/>
      <c r="B39" s="12"/>
      <c r="C39" s="48"/>
      <c r="D39" s="48">
        <v>30</v>
      </c>
      <c r="E39" s="49"/>
      <c r="F39" s="50"/>
      <c r="G39" s="50"/>
      <c r="H39" s="50"/>
      <c r="I39" s="50"/>
      <c r="J39" s="50"/>
      <c r="K39" s="50"/>
      <c r="L39" s="50"/>
      <c r="M39" s="50"/>
      <c r="N39" s="50"/>
      <c r="O39" s="50"/>
      <c r="P39" s="50"/>
      <c r="Q39" s="50"/>
      <c r="R39" s="50"/>
      <c r="S39" s="50"/>
      <c r="T39" s="50"/>
      <c r="U39" s="50"/>
      <c r="V39" s="50"/>
      <c r="W39" s="50"/>
      <c r="X39" s="50"/>
      <c r="Y39" s="50"/>
      <c r="Z39" s="43" t="str">
        <f t="shared" si="0"/>
        <v>Очікую</v>
      </c>
      <c r="AA39" s="22"/>
      <c r="AB39" s="40"/>
    </row>
    <row r="40" spans="1:28" s="11" customFormat="1" ht="15" customHeight="1" x14ac:dyDescent="0.25">
      <c r="A40" s="41"/>
      <c r="B40" s="12"/>
      <c r="C40" s="48"/>
      <c r="D40" s="48">
        <v>31</v>
      </c>
      <c r="E40" s="49"/>
      <c r="F40" s="50"/>
      <c r="G40" s="50"/>
      <c r="H40" s="50"/>
      <c r="I40" s="50"/>
      <c r="J40" s="50"/>
      <c r="K40" s="50"/>
      <c r="L40" s="50"/>
      <c r="M40" s="50"/>
      <c r="N40" s="50"/>
      <c r="O40" s="50"/>
      <c r="P40" s="50"/>
      <c r="Q40" s="50"/>
      <c r="R40" s="50"/>
      <c r="S40" s="50"/>
      <c r="T40" s="50"/>
      <c r="U40" s="50"/>
      <c r="V40" s="50"/>
      <c r="W40" s="50"/>
      <c r="X40" s="50"/>
      <c r="Y40" s="50"/>
      <c r="Z40" s="43" t="str">
        <f t="shared" si="0"/>
        <v>Очікую</v>
      </c>
      <c r="AA40" s="22"/>
      <c r="AB40" s="40"/>
    </row>
    <row r="41" spans="1:28" s="11" customFormat="1" ht="15" customHeight="1" x14ac:dyDescent="0.25">
      <c r="A41" s="41"/>
      <c r="B41" s="12"/>
      <c r="C41" s="48"/>
      <c r="D41" s="48">
        <v>32</v>
      </c>
      <c r="E41" s="49"/>
      <c r="F41" s="50"/>
      <c r="G41" s="50"/>
      <c r="H41" s="50"/>
      <c r="I41" s="50"/>
      <c r="J41" s="50"/>
      <c r="K41" s="50"/>
      <c r="L41" s="50"/>
      <c r="M41" s="50"/>
      <c r="N41" s="50"/>
      <c r="O41" s="50"/>
      <c r="P41" s="50"/>
      <c r="Q41" s="50"/>
      <c r="R41" s="50"/>
      <c r="S41" s="50"/>
      <c r="T41" s="50"/>
      <c r="U41" s="50"/>
      <c r="V41" s="50"/>
      <c r="W41" s="50"/>
      <c r="X41" s="50"/>
      <c r="Y41" s="50"/>
      <c r="Z41" s="43" t="str">
        <f t="shared" si="0"/>
        <v>Очікую</v>
      </c>
      <c r="AA41" s="22"/>
      <c r="AB41" s="40"/>
    </row>
    <row r="42" spans="1:28" s="11" customFormat="1" ht="15" customHeight="1" x14ac:dyDescent="0.25">
      <c r="A42" s="41"/>
      <c r="B42" s="12"/>
      <c r="C42" s="48"/>
      <c r="D42" s="48">
        <v>33</v>
      </c>
      <c r="E42" s="49"/>
      <c r="F42" s="50"/>
      <c r="G42" s="50"/>
      <c r="H42" s="50"/>
      <c r="I42" s="50"/>
      <c r="J42" s="50"/>
      <c r="K42" s="50"/>
      <c r="L42" s="50"/>
      <c r="M42" s="50"/>
      <c r="N42" s="50"/>
      <c r="O42" s="50"/>
      <c r="P42" s="50"/>
      <c r="Q42" s="50"/>
      <c r="R42" s="50"/>
      <c r="S42" s="50"/>
      <c r="T42" s="50"/>
      <c r="U42" s="50"/>
      <c r="V42" s="50"/>
      <c r="W42" s="50"/>
      <c r="X42" s="50"/>
      <c r="Y42" s="50"/>
      <c r="Z42" s="43" t="str">
        <f t="shared" si="0"/>
        <v>Очікую</v>
      </c>
      <c r="AA42" s="22"/>
      <c r="AB42" s="40"/>
    </row>
    <row r="43" spans="1:28" s="11" customFormat="1" ht="15" customHeight="1" x14ac:dyDescent="0.25">
      <c r="A43" s="41"/>
      <c r="B43" s="12"/>
      <c r="C43" s="48"/>
      <c r="D43" s="48">
        <v>34</v>
      </c>
      <c r="E43" s="49"/>
      <c r="F43" s="50"/>
      <c r="G43" s="50"/>
      <c r="H43" s="50"/>
      <c r="I43" s="50"/>
      <c r="J43" s="50"/>
      <c r="K43" s="50"/>
      <c r="L43" s="50"/>
      <c r="M43" s="50"/>
      <c r="N43" s="50"/>
      <c r="O43" s="50"/>
      <c r="P43" s="50"/>
      <c r="Q43" s="50"/>
      <c r="R43" s="50"/>
      <c r="S43" s="50"/>
      <c r="T43" s="50"/>
      <c r="U43" s="50"/>
      <c r="V43" s="50"/>
      <c r="W43" s="50"/>
      <c r="X43" s="50"/>
      <c r="Y43" s="50"/>
      <c r="Z43" s="43" t="str">
        <f t="shared" si="0"/>
        <v>Очікую</v>
      </c>
      <c r="AA43" s="22"/>
      <c r="AB43" s="40"/>
    </row>
    <row r="44" spans="1:28" s="11" customFormat="1" ht="15" customHeight="1" x14ac:dyDescent="0.25">
      <c r="A44" s="41"/>
      <c r="B44" s="12"/>
      <c r="C44" s="48"/>
      <c r="D44" s="48">
        <v>35</v>
      </c>
      <c r="E44" s="49"/>
      <c r="F44" s="50"/>
      <c r="G44" s="50"/>
      <c r="H44" s="50"/>
      <c r="I44" s="50"/>
      <c r="J44" s="50"/>
      <c r="K44" s="50"/>
      <c r="L44" s="50"/>
      <c r="M44" s="50"/>
      <c r="N44" s="50"/>
      <c r="O44" s="50"/>
      <c r="P44" s="50"/>
      <c r="Q44" s="50"/>
      <c r="R44" s="50"/>
      <c r="S44" s="50"/>
      <c r="T44" s="50"/>
      <c r="U44" s="50"/>
      <c r="V44" s="50"/>
      <c r="W44" s="50"/>
      <c r="X44" s="50"/>
      <c r="Y44" s="50"/>
      <c r="Z44" s="43" t="str">
        <f t="shared" si="0"/>
        <v>Очікую</v>
      </c>
      <c r="AA44" s="22"/>
      <c r="AB44" s="40"/>
    </row>
    <row r="45" spans="1:28" s="11" customFormat="1" ht="15" customHeight="1" x14ac:dyDescent="0.25">
      <c r="A45" s="41"/>
      <c r="B45" s="12"/>
      <c r="C45" s="48"/>
      <c r="D45" s="48">
        <v>36</v>
      </c>
      <c r="E45" s="49"/>
      <c r="F45" s="50"/>
      <c r="G45" s="50"/>
      <c r="H45" s="50"/>
      <c r="I45" s="50"/>
      <c r="J45" s="50"/>
      <c r="K45" s="50"/>
      <c r="L45" s="50"/>
      <c r="M45" s="50"/>
      <c r="N45" s="50"/>
      <c r="O45" s="50"/>
      <c r="P45" s="50"/>
      <c r="Q45" s="50"/>
      <c r="R45" s="50"/>
      <c r="S45" s="50"/>
      <c r="T45" s="50"/>
      <c r="U45" s="50"/>
      <c r="V45" s="50"/>
      <c r="W45" s="50"/>
      <c r="X45" s="50"/>
      <c r="Y45" s="50"/>
      <c r="Z45" s="43" t="str">
        <f t="shared" si="0"/>
        <v>Очікую</v>
      </c>
      <c r="AA45" s="22"/>
      <c r="AB45" s="40"/>
    </row>
    <row r="46" spans="1:28" s="11" customFormat="1" ht="15" customHeight="1" x14ac:dyDescent="0.25">
      <c r="A46" s="41"/>
      <c r="B46" s="12"/>
      <c r="C46" s="48"/>
      <c r="D46" s="48">
        <v>37</v>
      </c>
      <c r="E46" s="49"/>
      <c r="F46" s="50"/>
      <c r="G46" s="50"/>
      <c r="H46" s="50"/>
      <c r="I46" s="50"/>
      <c r="J46" s="50"/>
      <c r="K46" s="50"/>
      <c r="L46" s="50"/>
      <c r="M46" s="50"/>
      <c r="N46" s="50"/>
      <c r="O46" s="50"/>
      <c r="P46" s="50"/>
      <c r="Q46" s="50"/>
      <c r="R46" s="50"/>
      <c r="S46" s="50"/>
      <c r="T46" s="50"/>
      <c r="U46" s="50"/>
      <c r="V46" s="50"/>
      <c r="W46" s="50"/>
      <c r="X46" s="50"/>
      <c r="Y46" s="50"/>
      <c r="Z46" s="43" t="str">
        <f t="shared" si="0"/>
        <v>Очікую</v>
      </c>
      <c r="AA46" s="22"/>
      <c r="AB46" s="40"/>
    </row>
    <row r="47" spans="1:28" s="11" customFormat="1" ht="15" customHeight="1" x14ac:dyDescent="0.25">
      <c r="A47" s="41"/>
      <c r="B47" s="12"/>
      <c r="C47" s="48"/>
      <c r="D47" s="48">
        <v>38</v>
      </c>
      <c r="E47" s="49"/>
      <c r="F47" s="50"/>
      <c r="G47" s="50"/>
      <c r="H47" s="50"/>
      <c r="I47" s="50"/>
      <c r="J47" s="50"/>
      <c r="K47" s="50"/>
      <c r="L47" s="50"/>
      <c r="M47" s="50"/>
      <c r="N47" s="50"/>
      <c r="O47" s="50"/>
      <c r="P47" s="50"/>
      <c r="Q47" s="50"/>
      <c r="R47" s="50"/>
      <c r="S47" s="50"/>
      <c r="T47" s="50"/>
      <c r="U47" s="50"/>
      <c r="V47" s="50"/>
      <c r="W47" s="50"/>
      <c r="X47" s="50"/>
      <c r="Y47" s="50"/>
      <c r="Z47" s="43" t="str">
        <f t="shared" si="0"/>
        <v>Очікую</v>
      </c>
      <c r="AA47" s="22"/>
      <c r="AB47" s="40"/>
    </row>
    <row r="48" spans="1:28" s="11" customFormat="1" ht="15" customHeight="1" x14ac:dyDescent="0.25">
      <c r="A48" s="41"/>
      <c r="B48" s="12"/>
      <c r="C48" s="48"/>
      <c r="D48" s="48">
        <v>39</v>
      </c>
      <c r="E48" s="49"/>
      <c r="F48" s="50"/>
      <c r="G48" s="50"/>
      <c r="H48" s="50"/>
      <c r="I48" s="50"/>
      <c r="J48" s="50"/>
      <c r="K48" s="50"/>
      <c r="L48" s="50"/>
      <c r="M48" s="50"/>
      <c r="N48" s="50"/>
      <c r="O48" s="50"/>
      <c r="P48" s="50"/>
      <c r="Q48" s="50"/>
      <c r="R48" s="50"/>
      <c r="S48" s="50"/>
      <c r="T48" s="50"/>
      <c r="U48" s="50"/>
      <c r="V48" s="50"/>
      <c r="W48" s="50"/>
      <c r="X48" s="50"/>
      <c r="Y48" s="50"/>
      <c r="Z48" s="43" t="str">
        <f t="shared" si="0"/>
        <v>Очікую</v>
      </c>
      <c r="AA48" s="22"/>
      <c r="AB48" s="40"/>
    </row>
    <row r="49" spans="1:28" s="11" customFormat="1" ht="15" customHeight="1" x14ac:dyDescent="0.25">
      <c r="A49" s="41"/>
      <c r="B49" s="12"/>
      <c r="C49" s="48"/>
      <c r="D49" s="48">
        <v>40</v>
      </c>
      <c r="E49" s="49"/>
      <c r="F49" s="50"/>
      <c r="G49" s="50"/>
      <c r="H49" s="50"/>
      <c r="I49" s="50"/>
      <c r="J49" s="50"/>
      <c r="K49" s="50"/>
      <c r="L49" s="50"/>
      <c r="M49" s="50"/>
      <c r="N49" s="50"/>
      <c r="O49" s="50"/>
      <c r="P49" s="50"/>
      <c r="Q49" s="50"/>
      <c r="R49" s="50"/>
      <c r="S49" s="50"/>
      <c r="T49" s="50"/>
      <c r="U49" s="50"/>
      <c r="V49" s="50"/>
      <c r="W49" s="50"/>
      <c r="X49" s="50"/>
      <c r="Y49" s="50"/>
      <c r="Z49" s="43" t="str">
        <f t="shared" si="0"/>
        <v>Очікую</v>
      </c>
      <c r="AA49" s="22"/>
      <c r="AB49" s="40"/>
    </row>
    <row r="50" spans="1:28" s="11" customFormat="1" ht="15" customHeight="1" x14ac:dyDescent="0.25">
      <c r="A50" s="41"/>
      <c r="B50" s="12"/>
      <c r="C50" s="48"/>
      <c r="D50" s="48">
        <v>41</v>
      </c>
      <c r="E50" s="49"/>
      <c r="F50" s="50"/>
      <c r="G50" s="50"/>
      <c r="H50" s="50"/>
      <c r="I50" s="50"/>
      <c r="J50" s="50"/>
      <c r="K50" s="50"/>
      <c r="L50" s="50"/>
      <c r="M50" s="50"/>
      <c r="N50" s="50"/>
      <c r="O50" s="50"/>
      <c r="P50" s="50"/>
      <c r="Q50" s="50"/>
      <c r="R50" s="50"/>
      <c r="S50" s="50"/>
      <c r="T50" s="50"/>
      <c r="U50" s="50"/>
      <c r="V50" s="50"/>
      <c r="W50" s="50"/>
      <c r="X50" s="50"/>
      <c r="Y50" s="50"/>
      <c r="Z50" s="43" t="str">
        <f t="shared" si="0"/>
        <v>Очікую</v>
      </c>
      <c r="AA50" s="22"/>
      <c r="AB50" s="40"/>
    </row>
    <row r="51" spans="1:28" s="11" customFormat="1" ht="15" customHeight="1" x14ac:dyDescent="0.25">
      <c r="A51" s="41"/>
      <c r="B51" s="12"/>
      <c r="C51" s="48"/>
      <c r="D51" s="48">
        <v>42</v>
      </c>
      <c r="E51" s="49"/>
      <c r="F51" s="50"/>
      <c r="G51" s="50"/>
      <c r="H51" s="50"/>
      <c r="I51" s="50"/>
      <c r="J51" s="50"/>
      <c r="K51" s="50"/>
      <c r="L51" s="50"/>
      <c r="M51" s="50"/>
      <c r="N51" s="50"/>
      <c r="O51" s="50"/>
      <c r="P51" s="50"/>
      <c r="Q51" s="50"/>
      <c r="R51" s="50"/>
      <c r="S51" s="50"/>
      <c r="T51" s="50"/>
      <c r="U51" s="50"/>
      <c r="V51" s="50"/>
      <c r="W51" s="50"/>
      <c r="X51" s="50"/>
      <c r="Y51" s="50"/>
      <c r="Z51" s="43" t="str">
        <f t="shared" si="0"/>
        <v>Очікую</v>
      </c>
      <c r="AA51" s="22"/>
      <c r="AB51" s="40"/>
    </row>
    <row r="52" spans="1:28" s="11" customFormat="1" ht="15" customHeight="1" x14ac:dyDescent="0.25">
      <c r="A52" s="41"/>
      <c r="B52" s="12"/>
      <c r="C52" s="48"/>
      <c r="D52" s="48">
        <v>43</v>
      </c>
      <c r="E52" s="49"/>
      <c r="F52" s="50"/>
      <c r="G52" s="50"/>
      <c r="H52" s="50"/>
      <c r="I52" s="50"/>
      <c r="J52" s="50"/>
      <c r="K52" s="50"/>
      <c r="L52" s="50"/>
      <c r="M52" s="50"/>
      <c r="N52" s="50"/>
      <c r="O52" s="50"/>
      <c r="P52" s="50"/>
      <c r="Q52" s="50"/>
      <c r="R52" s="50"/>
      <c r="S52" s="50"/>
      <c r="T52" s="50"/>
      <c r="U52" s="50"/>
      <c r="V52" s="50"/>
      <c r="W52" s="50"/>
      <c r="X52" s="50"/>
      <c r="Y52" s="50"/>
      <c r="Z52" s="43" t="str">
        <f t="shared" si="0"/>
        <v>Очікую</v>
      </c>
      <c r="AA52" s="22"/>
      <c r="AB52" s="40"/>
    </row>
    <row r="53" spans="1:28" s="11" customFormat="1" ht="15" customHeight="1" x14ac:dyDescent="0.25">
      <c r="A53" s="41"/>
      <c r="B53" s="12"/>
      <c r="C53" s="48"/>
      <c r="D53" s="48">
        <v>44</v>
      </c>
      <c r="E53" s="49"/>
      <c r="F53" s="50"/>
      <c r="G53" s="50"/>
      <c r="H53" s="50"/>
      <c r="I53" s="50"/>
      <c r="J53" s="50"/>
      <c r="K53" s="50"/>
      <c r="L53" s="50"/>
      <c r="M53" s="50"/>
      <c r="N53" s="50"/>
      <c r="O53" s="50"/>
      <c r="P53" s="50"/>
      <c r="Q53" s="50"/>
      <c r="R53" s="50"/>
      <c r="S53" s="50"/>
      <c r="T53" s="50"/>
      <c r="U53" s="50"/>
      <c r="V53" s="50"/>
      <c r="W53" s="50"/>
      <c r="X53" s="50"/>
      <c r="Y53" s="50"/>
      <c r="Z53" s="43" t="str">
        <f t="shared" si="0"/>
        <v>Очікую</v>
      </c>
      <c r="AA53" s="22"/>
      <c r="AB53" s="40"/>
    </row>
    <row r="54" spans="1:28" s="11" customFormat="1" ht="15" customHeight="1" x14ac:dyDescent="0.25">
      <c r="A54" s="41"/>
      <c r="B54" s="12"/>
      <c r="C54" s="48"/>
      <c r="D54" s="48">
        <v>45</v>
      </c>
      <c r="E54" s="49"/>
      <c r="F54" s="50"/>
      <c r="G54" s="50"/>
      <c r="H54" s="50"/>
      <c r="I54" s="50"/>
      <c r="J54" s="50"/>
      <c r="K54" s="50"/>
      <c r="L54" s="50"/>
      <c r="M54" s="50"/>
      <c r="N54" s="50"/>
      <c r="O54" s="50"/>
      <c r="P54" s="50"/>
      <c r="Q54" s="50"/>
      <c r="R54" s="50"/>
      <c r="S54" s="50"/>
      <c r="T54" s="50"/>
      <c r="U54" s="50"/>
      <c r="V54" s="50"/>
      <c r="W54" s="50"/>
      <c r="X54" s="50"/>
      <c r="Y54" s="50"/>
      <c r="Z54" s="43" t="str">
        <f t="shared" si="0"/>
        <v>Очікую</v>
      </c>
      <c r="AA54" s="22"/>
      <c r="AB54" s="40"/>
    </row>
    <row r="55" spans="1:28" s="11" customFormat="1" ht="15" customHeight="1" x14ac:dyDescent="0.25">
      <c r="A55" s="41"/>
      <c r="B55" s="12"/>
      <c r="C55" s="48"/>
      <c r="D55" s="48">
        <v>46</v>
      </c>
      <c r="E55" s="49"/>
      <c r="F55" s="50"/>
      <c r="G55" s="50"/>
      <c r="H55" s="50"/>
      <c r="I55" s="50"/>
      <c r="J55" s="50"/>
      <c r="K55" s="50"/>
      <c r="L55" s="50"/>
      <c r="M55" s="50"/>
      <c r="N55" s="50"/>
      <c r="O55" s="50"/>
      <c r="P55" s="50"/>
      <c r="Q55" s="50"/>
      <c r="R55" s="50"/>
      <c r="S55" s="50"/>
      <c r="T55" s="50"/>
      <c r="U55" s="50"/>
      <c r="V55" s="50"/>
      <c r="W55" s="50"/>
      <c r="X55" s="50"/>
      <c r="Y55" s="50"/>
      <c r="Z55" s="43" t="str">
        <f t="shared" si="0"/>
        <v>Очікую</v>
      </c>
      <c r="AA55" s="22"/>
      <c r="AB55" s="40"/>
    </row>
    <row r="56" spans="1:28" s="11" customFormat="1" ht="15" customHeight="1" x14ac:dyDescent="0.25">
      <c r="A56" s="41"/>
      <c r="B56" s="12"/>
      <c r="C56" s="48"/>
      <c r="D56" s="48">
        <v>47</v>
      </c>
      <c r="E56" s="49"/>
      <c r="F56" s="50"/>
      <c r="G56" s="50"/>
      <c r="H56" s="50"/>
      <c r="I56" s="50"/>
      <c r="J56" s="50"/>
      <c r="K56" s="50"/>
      <c r="L56" s="50"/>
      <c r="M56" s="50"/>
      <c r="N56" s="50"/>
      <c r="O56" s="50"/>
      <c r="P56" s="50"/>
      <c r="Q56" s="50"/>
      <c r="R56" s="50"/>
      <c r="S56" s="50"/>
      <c r="T56" s="50"/>
      <c r="U56" s="50"/>
      <c r="V56" s="50"/>
      <c r="W56" s="50"/>
      <c r="X56" s="50"/>
      <c r="Y56" s="50"/>
      <c r="Z56" s="43" t="str">
        <f t="shared" si="0"/>
        <v>Очікую</v>
      </c>
      <c r="AA56" s="22"/>
      <c r="AB56" s="40"/>
    </row>
    <row r="57" spans="1:28" s="11" customFormat="1" ht="15" customHeight="1" x14ac:dyDescent="0.25">
      <c r="A57" s="41"/>
      <c r="B57" s="12"/>
      <c r="C57" s="48"/>
      <c r="D57" s="48">
        <v>48</v>
      </c>
      <c r="E57" s="49"/>
      <c r="F57" s="50"/>
      <c r="G57" s="50"/>
      <c r="H57" s="50"/>
      <c r="I57" s="50"/>
      <c r="J57" s="50"/>
      <c r="K57" s="50"/>
      <c r="L57" s="50"/>
      <c r="M57" s="50"/>
      <c r="N57" s="50"/>
      <c r="O57" s="50"/>
      <c r="P57" s="50"/>
      <c r="Q57" s="50"/>
      <c r="R57" s="50"/>
      <c r="S57" s="50"/>
      <c r="T57" s="50"/>
      <c r="U57" s="50"/>
      <c r="V57" s="50"/>
      <c r="W57" s="50"/>
      <c r="X57" s="50"/>
      <c r="Y57" s="50"/>
      <c r="Z57" s="43" t="str">
        <f t="shared" si="0"/>
        <v>Очікую</v>
      </c>
      <c r="AA57" s="22"/>
      <c r="AB57" s="40"/>
    </row>
    <row r="58" spans="1:28" s="11" customFormat="1" ht="15" customHeight="1" x14ac:dyDescent="0.25">
      <c r="A58" s="41"/>
      <c r="B58" s="12"/>
      <c r="C58" s="48"/>
      <c r="D58" s="48">
        <v>49</v>
      </c>
      <c r="E58" s="49"/>
      <c r="F58" s="50"/>
      <c r="G58" s="50"/>
      <c r="H58" s="50"/>
      <c r="I58" s="50"/>
      <c r="J58" s="50"/>
      <c r="K58" s="50"/>
      <c r="L58" s="50"/>
      <c r="M58" s="50"/>
      <c r="N58" s="50"/>
      <c r="O58" s="50"/>
      <c r="P58" s="50"/>
      <c r="Q58" s="50"/>
      <c r="R58" s="50"/>
      <c r="S58" s="50"/>
      <c r="T58" s="50"/>
      <c r="U58" s="50"/>
      <c r="V58" s="50"/>
      <c r="W58" s="50"/>
      <c r="X58" s="50"/>
      <c r="Y58" s="50"/>
      <c r="Z58" s="43" t="str">
        <f t="shared" si="0"/>
        <v>Очікую</v>
      </c>
      <c r="AA58" s="22"/>
      <c r="AB58" s="40"/>
    </row>
    <row r="59" spans="1:28" s="11" customFormat="1" ht="15" customHeight="1" x14ac:dyDescent="0.25">
      <c r="A59" s="41"/>
      <c r="B59" s="12"/>
      <c r="C59" s="48"/>
      <c r="D59" s="48">
        <v>50</v>
      </c>
      <c r="E59" s="49"/>
      <c r="F59" s="50"/>
      <c r="G59" s="50"/>
      <c r="H59" s="50"/>
      <c r="I59" s="50"/>
      <c r="J59" s="50"/>
      <c r="K59" s="50"/>
      <c r="L59" s="50"/>
      <c r="M59" s="50"/>
      <c r="N59" s="50"/>
      <c r="O59" s="50"/>
      <c r="P59" s="50"/>
      <c r="Q59" s="50"/>
      <c r="R59" s="50"/>
      <c r="S59" s="50"/>
      <c r="T59" s="50"/>
      <c r="U59" s="50"/>
      <c r="V59" s="50"/>
      <c r="W59" s="50"/>
      <c r="X59" s="50"/>
      <c r="Y59" s="50"/>
      <c r="Z59" s="43" t="str">
        <f t="shared" si="0"/>
        <v>Очікую</v>
      </c>
      <c r="AA59" s="22"/>
      <c r="AB59" s="40"/>
    </row>
    <row r="60" spans="1:28" s="11" customFormat="1" ht="15" customHeight="1" x14ac:dyDescent="0.25">
      <c r="A60" s="41"/>
      <c r="B60" s="12"/>
      <c r="C60" s="48"/>
      <c r="D60" s="48">
        <v>51</v>
      </c>
      <c r="E60" s="49"/>
      <c r="F60" s="50"/>
      <c r="G60" s="50"/>
      <c r="H60" s="50"/>
      <c r="I60" s="50"/>
      <c r="J60" s="50"/>
      <c r="K60" s="50"/>
      <c r="L60" s="50"/>
      <c r="M60" s="50"/>
      <c r="N60" s="50"/>
      <c r="O60" s="50"/>
      <c r="P60" s="50"/>
      <c r="Q60" s="50"/>
      <c r="R60" s="50"/>
      <c r="S60" s="50"/>
      <c r="T60" s="50"/>
      <c r="U60" s="50"/>
      <c r="V60" s="50"/>
      <c r="W60" s="50"/>
      <c r="X60" s="50"/>
      <c r="Y60" s="50"/>
      <c r="Z60" s="43" t="str">
        <f t="shared" si="0"/>
        <v>Очікую</v>
      </c>
      <c r="AA60" s="22"/>
      <c r="AB60" s="40"/>
    </row>
    <row r="61" spans="1:28" s="11" customFormat="1" ht="15" customHeight="1" x14ac:dyDescent="0.25">
      <c r="A61" s="41"/>
      <c r="B61" s="12"/>
      <c r="C61" s="48"/>
      <c r="D61" s="48">
        <v>52</v>
      </c>
      <c r="E61" s="49"/>
      <c r="F61" s="50"/>
      <c r="G61" s="50"/>
      <c r="H61" s="50"/>
      <c r="I61" s="50"/>
      <c r="J61" s="50"/>
      <c r="K61" s="50"/>
      <c r="L61" s="50"/>
      <c r="M61" s="50"/>
      <c r="N61" s="50"/>
      <c r="O61" s="50"/>
      <c r="P61" s="50"/>
      <c r="Q61" s="50"/>
      <c r="R61" s="50"/>
      <c r="S61" s="50"/>
      <c r="T61" s="50"/>
      <c r="U61" s="50"/>
      <c r="V61" s="50"/>
      <c r="W61" s="50"/>
      <c r="X61" s="50"/>
      <c r="Y61" s="50"/>
      <c r="Z61" s="43" t="str">
        <f t="shared" si="0"/>
        <v>Очікую</v>
      </c>
      <c r="AA61" s="22"/>
      <c r="AB61" s="40"/>
    </row>
    <row r="62" spans="1:28" s="11" customFormat="1" ht="15" customHeight="1" x14ac:dyDescent="0.25">
      <c r="A62" s="41"/>
      <c r="B62" s="12"/>
      <c r="C62" s="48"/>
      <c r="D62" s="48">
        <v>53</v>
      </c>
      <c r="E62" s="49"/>
      <c r="F62" s="50"/>
      <c r="G62" s="50"/>
      <c r="H62" s="50"/>
      <c r="I62" s="50"/>
      <c r="J62" s="50"/>
      <c r="K62" s="50"/>
      <c r="L62" s="50"/>
      <c r="M62" s="50"/>
      <c r="N62" s="50"/>
      <c r="O62" s="50"/>
      <c r="P62" s="50"/>
      <c r="Q62" s="50"/>
      <c r="R62" s="50"/>
      <c r="S62" s="50"/>
      <c r="T62" s="50"/>
      <c r="U62" s="50"/>
      <c r="V62" s="50"/>
      <c r="W62" s="50"/>
      <c r="X62" s="50"/>
      <c r="Y62" s="50"/>
      <c r="Z62" s="43" t="str">
        <f t="shared" si="0"/>
        <v>Очікую</v>
      </c>
      <c r="AA62" s="22"/>
      <c r="AB62" s="40"/>
    </row>
    <row r="63" spans="1:28" s="11" customFormat="1" ht="15" customHeight="1" x14ac:dyDescent="0.25">
      <c r="A63" s="41"/>
      <c r="B63" s="12"/>
      <c r="C63" s="48"/>
      <c r="D63" s="48">
        <v>54</v>
      </c>
      <c r="E63" s="49"/>
      <c r="F63" s="50"/>
      <c r="G63" s="50"/>
      <c r="H63" s="50"/>
      <c r="I63" s="50"/>
      <c r="J63" s="50"/>
      <c r="K63" s="50"/>
      <c r="L63" s="50"/>
      <c r="M63" s="50"/>
      <c r="N63" s="50"/>
      <c r="O63" s="50"/>
      <c r="P63" s="50"/>
      <c r="Q63" s="50"/>
      <c r="R63" s="50"/>
      <c r="S63" s="50"/>
      <c r="T63" s="50"/>
      <c r="U63" s="50"/>
      <c r="V63" s="50"/>
      <c r="W63" s="50"/>
      <c r="X63" s="50"/>
      <c r="Y63" s="50"/>
      <c r="Z63" s="43" t="str">
        <f t="shared" si="0"/>
        <v>Очікую</v>
      </c>
      <c r="AA63" s="22"/>
      <c r="AB63" s="40"/>
    </row>
    <row r="64" spans="1:28" s="11" customFormat="1" ht="15" customHeight="1" x14ac:dyDescent="0.25">
      <c r="A64" s="41"/>
      <c r="B64" s="12"/>
      <c r="C64" s="48"/>
      <c r="D64" s="48">
        <v>55</v>
      </c>
      <c r="E64" s="49"/>
      <c r="F64" s="50"/>
      <c r="G64" s="50"/>
      <c r="H64" s="50"/>
      <c r="I64" s="50"/>
      <c r="J64" s="50"/>
      <c r="K64" s="50"/>
      <c r="L64" s="50"/>
      <c r="M64" s="50"/>
      <c r="N64" s="50"/>
      <c r="O64" s="50"/>
      <c r="P64" s="50"/>
      <c r="Q64" s="50"/>
      <c r="R64" s="50"/>
      <c r="S64" s="50"/>
      <c r="T64" s="50"/>
      <c r="U64" s="50"/>
      <c r="V64" s="50"/>
      <c r="W64" s="50"/>
      <c r="X64" s="50"/>
      <c r="Y64" s="50"/>
      <c r="Z64" s="43" t="str">
        <f t="shared" si="0"/>
        <v>Очікую</v>
      </c>
      <c r="AA64" s="22"/>
      <c r="AB64" s="40"/>
    </row>
    <row r="65" spans="1:28" s="11" customFormat="1" ht="15" customHeight="1" x14ac:dyDescent="0.25">
      <c r="A65" s="41"/>
      <c r="B65" s="12"/>
      <c r="C65" s="48"/>
      <c r="D65" s="48">
        <v>56</v>
      </c>
      <c r="E65" s="49"/>
      <c r="F65" s="50"/>
      <c r="G65" s="50"/>
      <c r="H65" s="50"/>
      <c r="I65" s="50"/>
      <c r="J65" s="50"/>
      <c r="K65" s="50"/>
      <c r="L65" s="50"/>
      <c r="M65" s="50"/>
      <c r="N65" s="50"/>
      <c r="O65" s="50"/>
      <c r="P65" s="50"/>
      <c r="Q65" s="50"/>
      <c r="R65" s="50"/>
      <c r="S65" s="50"/>
      <c r="T65" s="50"/>
      <c r="U65" s="50"/>
      <c r="V65" s="50"/>
      <c r="W65" s="50"/>
      <c r="X65" s="50"/>
      <c r="Y65" s="50"/>
      <c r="Z65" s="43" t="str">
        <f t="shared" si="0"/>
        <v>Очікую</v>
      </c>
      <c r="AA65" s="22"/>
      <c r="AB65" s="40"/>
    </row>
    <row r="66" spans="1:28" s="11" customFormat="1" ht="15" customHeight="1" x14ac:dyDescent="0.25">
      <c r="A66" s="41"/>
      <c r="B66" s="12"/>
      <c r="C66" s="48"/>
      <c r="D66" s="48">
        <v>57</v>
      </c>
      <c r="E66" s="49"/>
      <c r="F66" s="50"/>
      <c r="G66" s="50"/>
      <c r="H66" s="50"/>
      <c r="I66" s="50"/>
      <c r="J66" s="50"/>
      <c r="K66" s="50"/>
      <c r="L66" s="50"/>
      <c r="M66" s="50"/>
      <c r="N66" s="50"/>
      <c r="O66" s="50"/>
      <c r="P66" s="50"/>
      <c r="Q66" s="50"/>
      <c r="R66" s="50"/>
      <c r="S66" s="50"/>
      <c r="T66" s="50"/>
      <c r="U66" s="50"/>
      <c r="V66" s="50"/>
      <c r="W66" s="50"/>
      <c r="X66" s="50"/>
      <c r="Y66" s="50"/>
      <c r="Z66" s="43" t="str">
        <f t="shared" si="0"/>
        <v>Очікую</v>
      </c>
      <c r="AA66" s="22"/>
      <c r="AB66" s="40"/>
    </row>
    <row r="67" spans="1:28" s="11" customFormat="1" ht="15" customHeight="1" x14ac:dyDescent="0.25">
      <c r="A67" s="41"/>
      <c r="B67" s="12"/>
      <c r="C67" s="48"/>
      <c r="D67" s="48">
        <v>58</v>
      </c>
      <c r="E67" s="49"/>
      <c r="F67" s="50"/>
      <c r="G67" s="50"/>
      <c r="H67" s="50"/>
      <c r="I67" s="50"/>
      <c r="J67" s="50"/>
      <c r="K67" s="50"/>
      <c r="L67" s="50"/>
      <c r="M67" s="50"/>
      <c r="N67" s="50"/>
      <c r="O67" s="50"/>
      <c r="P67" s="50"/>
      <c r="Q67" s="50"/>
      <c r="R67" s="50"/>
      <c r="S67" s="50"/>
      <c r="T67" s="50"/>
      <c r="U67" s="50"/>
      <c r="V67" s="50"/>
      <c r="W67" s="50"/>
      <c r="X67" s="50"/>
      <c r="Y67" s="50"/>
      <c r="Z67" s="43" t="str">
        <f t="shared" si="0"/>
        <v>Очікую</v>
      </c>
      <c r="AA67" s="22"/>
      <c r="AB67" s="40"/>
    </row>
    <row r="68" spans="1:28" s="11" customFormat="1" ht="15" customHeight="1" x14ac:dyDescent="0.25">
      <c r="A68" s="41"/>
      <c r="B68" s="12"/>
      <c r="C68" s="48"/>
      <c r="D68" s="48">
        <v>59</v>
      </c>
      <c r="E68" s="49"/>
      <c r="F68" s="50"/>
      <c r="G68" s="50"/>
      <c r="H68" s="50"/>
      <c r="I68" s="50"/>
      <c r="J68" s="50"/>
      <c r="K68" s="50"/>
      <c r="L68" s="50"/>
      <c r="M68" s="50"/>
      <c r="N68" s="50"/>
      <c r="O68" s="50"/>
      <c r="P68" s="50"/>
      <c r="Q68" s="50"/>
      <c r="R68" s="50"/>
      <c r="S68" s="50"/>
      <c r="T68" s="50"/>
      <c r="U68" s="50"/>
      <c r="V68" s="50"/>
      <c r="W68" s="50"/>
      <c r="X68" s="50"/>
      <c r="Y68" s="50"/>
      <c r="Z68" s="43" t="str">
        <f t="shared" si="0"/>
        <v>Очікую</v>
      </c>
      <c r="AA68" s="22"/>
      <c r="AB68" s="40"/>
    </row>
    <row r="69" spans="1:28" s="11" customFormat="1" ht="15" customHeight="1" x14ac:dyDescent="0.25">
      <c r="A69" s="41"/>
      <c r="B69" s="12"/>
      <c r="C69" s="48"/>
      <c r="D69" s="48">
        <v>60</v>
      </c>
      <c r="E69" s="49"/>
      <c r="F69" s="50"/>
      <c r="G69" s="50"/>
      <c r="H69" s="50"/>
      <c r="I69" s="50"/>
      <c r="J69" s="50"/>
      <c r="K69" s="50"/>
      <c r="L69" s="50"/>
      <c r="M69" s="50"/>
      <c r="N69" s="50"/>
      <c r="O69" s="50"/>
      <c r="P69" s="50"/>
      <c r="Q69" s="50"/>
      <c r="R69" s="50"/>
      <c r="S69" s="50"/>
      <c r="T69" s="50"/>
      <c r="U69" s="50"/>
      <c r="V69" s="50"/>
      <c r="W69" s="50"/>
      <c r="X69" s="50"/>
      <c r="Y69" s="50"/>
      <c r="Z69" s="43" t="str">
        <f t="shared" si="0"/>
        <v>Очікую</v>
      </c>
      <c r="AA69" s="22"/>
      <c r="AB69" s="40"/>
    </row>
    <row r="70" spans="1:28" s="11" customFormat="1" ht="15" customHeight="1" x14ac:dyDescent="0.25">
      <c r="A70" s="41"/>
      <c r="B70" s="12"/>
      <c r="C70" s="48"/>
      <c r="D70" s="48">
        <v>61</v>
      </c>
      <c r="E70" s="49"/>
      <c r="F70" s="50"/>
      <c r="G70" s="50"/>
      <c r="H70" s="50"/>
      <c r="I70" s="50"/>
      <c r="J70" s="50"/>
      <c r="K70" s="50"/>
      <c r="L70" s="50"/>
      <c r="M70" s="50"/>
      <c r="N70" s="50"/>
      <c r="O70" s="50"/>
      <c r="P70" s="50"/>
      <c r="Q70" s="50"/>
      <c r="R70" s="50"/>
      <c r="S70" s="50"/>
      <c r="T70" s="50"/>
      <c r="U70" s="50"/>
      <c r="V70" s="50"/>
      <c r="W70" s="50"/>
      <c r="X70" s="50"/>
      <c r="Y70" s="50"/>
      <c r="Z70" s="43" t="str">
        <f t="shared" si="0"/>
        <v>Очікую</v>
      </c>
      <c r="AA70" s="22"/>
      <c r="AB70" s="40"/>
    </row>
    <row r="71" spans="1:28" s="11" customFormat="1" ht="15" customHeight="1" x14ac:dyDescent="0.25">
      <c r="A71" s="41"/>
      <c r="B71" s="12"/>
      <c r="C71" s="48"/>
      <c r="D71" s="48">
        <v>62</v>
      </c>
      <c r="E71" s="49"/>
      <c r="F71" s="50"/>
      <c r="G71" s="50"/>
      <c r="H71" s="50"/>
      <c r="I71" s="50"/>
      <c r="J71" s="50"/>
      <c r="K71" s="50"/>
      <c r="L71" s="50"/>
      <c r="M71" s="50"/>
      <c r="N71" s="50"/>
      <c r="O71" s="50"/>
      <c r="P71" s="50"/>
      <c r="Q71" s="50"/>
      <c r="R71" s="50"/>
      <c r="S71" s="50"/>
      <c r="T71" s="50"/>
      <c r="U71" s="50"/>
      <c r="V71" s="50"/>
      <c r="W71" s="50"/>
      <c r="X71" s="50"/>
      <c r="Y71" s="50"/>
      <c r="Z71" s="43" t="str">
        <f t="shared" si="0"/>
        <v>Очікую</v>
      </c>
      <c r="AA71" s="22"/>
      <c r="AB71" s="40"/>
    </row>
    <row r="72" spans="1:28" s="11" customFormat="1" ht="15" customHeight="1" x14ac:dyDescent="0.25">
      <c r="A72" s="41"/>
      <c r="B72" s="12"/>
      <c r="C72" s="48"/>
      <c r="D72" s="48">
        <v>63</v>
      </c>
      <c r="E72" s="49"/>
      <c r="F72" s="50"/>
      <c r="G72" s="50"/>
      <c r="H72" s="50"/>
      <c r="I72" s="50"/>
      <c r="J72" s="50"/>
      <c r="K72" s="50"/>
      <c r="L72" s="50"/>
      <c r="M72" s="50"/>
      <c r="N72" s="50"/>
      <c r="O72" s="50"/>
      <c r="P72" s="50"/>
      <c r="Q72" s="50"/>
      <c r="R72" s="50"/>
      <c r="S72" s="50"/>
      <c r="T72" s="50"/>
      <c r="U72" s="50"/>
      <c r="V72" s="50"/>
      <c r="W72" s="50"/>
      <c r="X72" s="50"/>
      <c r="Y72" s="50"/>
      <c r="Z72" s="43" t="str">
        <f t="shared" si="0"/>
        <v>Очікую</v>
      </c>
      <c r="AA72" s="22"/>
      <c r="AB72" s="40"/>
    </row>
    <row r="73" spans="1:28" s="11" customFormat="1" ht="15" customHeight="1" x14ac:dyDescent="0.25">
      <c r="A73" s="41"/>
      <c r="B73" s="12"/>
      <c r="C73" s="48"/>
      <c r="D73" s="48">
        <v>64</v>
      </c>
      <c r="E73" s="49"/>
      <c r="F73" s="50"/>
      <c r="G73" s="50"/>
      <c r="H73" s="50"/>
      <c r="I73" s="50"/>
      <c r="J73" s="50"/>
      <c r="K73" s="50"/>
      <c r="L73" s="50"/>
      <c r="M73" s="50"/>
      <c r="N73" s="50"/>
      <c r="O73" s="50"/>
      <c r="P73" s="50"/>
      <c r="Q73" s="50"/>
      <c r="R73" s="50"/>
      <c r="S73" s="50"/>
      <c r="T73" s="50"/>
      <c r="U73" s="50"/>
      <c r="V73" s="50"/>
      <c r="W73" s="50"/>
      <c r="X73" s="50"/>
      <c r="Y73" s="50"/>
      <c r="Z73" s="43" t="str">
        <f t="shared" si="0"/>
        <v>Очікую</v>
      </c>
      <c r="AA73" s="22"/>
      <c r="AB73" s="40"/>
    </row>
    <row r="74" spans="1:28" s="11" customFormat="1" ht="15" customHeight="1" x14ac:dyDescent="0.25">
      <c r="A74" s="41"/>
      <c r="B74" s="12"/>
      <c r="C74" s="48"/>
      <c r="D74" s="48">
        <v>65</v>
      </c>
      <c r="E74" s="49"/>
      <c r="F74" s="50"/>
      <c r="G74" s="50"/>
      <c r="H74" s="50"/>
      <c r="I74" s="50"/>
      <c r="J74" s="50"/>
      <c r="K74" s="50"/>
      <c r="L74" s="50"/>
      <c r="M74" s="50"/>
      <c r="N74" s="50"/>
      <c r="O74" s="50"/>
      <c r="P74" s="50"/>
      <c r="Q74" s="50"/>
      <c r="R74" s="50"/>
      <c r="S74" s="50"/>
      <c r="T74" s="50"/>
      <c r="U74" s="50"/>
      <c r="V74" s="50"/>
      <c r="W74" s="50"/>
      <c r="X74" s="50"/>
      <c r="Y74" s="50"/>
      <c r="Z74" s="43" t="str">
        <f t="shared" si="0"/>
        <v>Очікую</v>
      </c>
      <c r="AA74" s="22"/>
      <c r="AB74" s="40"/>
    </row>
    <row r="75" spans="1:28" s="11" customFormat="1" ht="15" customHeight="1" x14ac:dyDescent="0.25">
      <c r="A75" s="41"/>
      <c r="B75" s="12"/>
      <c r="C75" s="48"/>
      <c r="D75" s="48">
        <v>66</v>
      </c>
      <c r="E75" s="49"/>
      <c r="F75" s="50"/>
      <c r="G75" s="50"/>
      <c r="H75" s="50"/>
      <c r="I75" s="50"/>
      <c r="J75" s="50"/>
      <c r="K75" s="50"/>
      <c r="L75" s="50"/>
      <c r="M75" s="50"/>
      <c r="N75" s="50"/>
      <c r="O75" s="50"/>
      <c r="P75" s="50"/>
      <c r="Q75" s="50"/>
      <c r="R75" s="50"/>
      <c r="S75" s="50"/>
      <c r="T75" s="50"/>
      <c r="U75" s="50"/>
      <c r="V75" s="50"/>
      <c r="W75" s="50"/>
      <c r="X75" s="50"/>
      <c r="Y75" s="50"/>
      <c r="Z75" s="43" t="str">
        <f t="shared" ref="Z75:Z109" si="1">IF(COUNTIF(F75:Y75,"=*")&gt;0,IF($C75="К","-"," - "),IF(COUNTIF(F75:Y75,"&lt;4")&gt;0,IF(C75="К","-"," - "),(IFERROR(AVERAGE(F75:Y75),"Очікую"))))</f>
        <v>Очікую</v>
      </c>
      <c r="AA75" s="22"/>
      <c r="AB75" s="40"/>
    </row>
    <row r="76" spans="1:28" s="11" customFormat="1" ht="15" customHeight="1" x14ac:dyDescent="0.25">
      <c r="A76" s="41"/>
      <c r="B76" s="12"/>
      <c r="C76" s="48"/>
      <c r="D76" s="48">
        <v>67</v>
      </c>
      <c r="E76" s="49"/>
      <c r="F76" s="50"/>
      <c r="G76" s="50"/>
      <c r="H76" s="50"/>
      <c r="I76" s="50"/>
      <c r="J76" s="50"/>
      <c r="K76" s="50"/>
      <c r="L76" s="50"/>
      <c r="M76" s="50"/>
      <c r="N76" s="50"/>
      <c r="O76" s="50"/>
      <c r="P76" s="50"/>
      <c r="Q76" s="50"/>
      <c r="R76" s="50"/>
      <c r="S76" s="50"/>
      <c r="T76" s="50"/>
      <c r="U76" s="50"/>
      <c r="V76" s="50"/>
      <c r="W76" s="50"/>
      <c r="X76" s="50"/>
      <c r="Y76" s="50"/>
      <c r="Z76" s="43" t="str">
        <f t="shared" si="1"/>
        <v>Очікую</v>
      </c>
      <c r="AA76" s="22"/>
      <c r="AB76" s="40"/>
    </row>
    <row r="77" spans="1:28" s="11" customFormat="1" ht="15" customHeight="1" x14ac:dyDescent="0.25">
      <c r="A77" s="41"/>
      <c r="B77" s="12"/>
      <c r="C77" s="48"/>
      <c r="D77" s="48">
        <v>68</v>
      </c>
      <c r="E77" s="49"/>
      <c r="F77" s="50"/>
      <c r="G77" s="50"/>
      <c r="H77" s="50"/>
      <c r="I77" s="50"/>
      <c r="J77" s="50"/>
      <c r="K77" s="50"/>
      <c r="L77" s="50"/>
      <c r="M77" s="50"/>
      <c r="N77" s="50"/>
      <c r="O77" s="50"/>
      <c r="P77" s="50"/>
      <c r="Q77" s="50"/>
      <c r="R77" s="50"/>
      <c r="S77" s="50"/>
      <c r="T77" s="50"/>
      <c r="U77" s="50"/>
      <c r="V77" s="50"/>
      <c r="W77" s="50"/>
      <c r="X77" s="50"/>
      <c r="Y77" s="50"/>
      <c r="Z77" s="43" t="str">
        <f t="shared" si="1"/>
        <v>Очікую</v>
      </c>
      <c r="AA77" s="22"/>
      <c r="AB77" s="40"/>
    </row>
    <row r="78" spans="1:28" s="11" customFormat="1" ht="15" customHeight="1" x14ac:dyDescent="0.25">
      <c r="A78" s="41"/>
      <c r="B78" s="12"/>
      <c r="C78" s="48"/>
      <c r="D78" s="48">
        <v>69</v>
      </c>
      <c r="E78" s="49"/>
      <c r="F78" s="50"/>
      <c r="G78" s="50"/>
      <c r="H78" s="50"/>
      <c r="I78" s="50"/>
      <c r="J78" s="50"/>
      <c r="K78" s="50"/>
      <c r="L78" s="50"/>
      <c r="M78" s="50"/>
      <c r="N78" s="50"/>
      <c r="O78" s="50"/>
      <c r="P78" s="50"/>
      <c r="Q78" s="50"/>
      <c r="R78" s="50"/>
      <c r="S78" s="50"/>
      <c r="T78" s="50"/>
      <c r="U78" s="50"/>
      <c r="V78" s="50"/>
      <c r="W78" s="50"/>
      <c r="X78" s="50"/>
      <c r="Y78" s="50"/>
      <c r="Z78" s="43" t="str">
        <f t="shared" si="1"/>
        <v>Очікую</v>
      </c>
      <c r="AA78" s="22"/>
      <c r="AB78" s="40"/>
    </row>
    <row r="79" spans="1:28" s="11" customFormat="1" ht="15" customHeight="1" x14ac:dyDescent="0.25">
      <c r="A79" s="41"/>
      <c r="B79" s="12"/>
      <c r="C79" s="48"/>
      <c r="D79" s="48">
        <v>70</v>
      </c>
      <c r="E79" s="49"/>
      <c r="F79" s="50"/>
      <c r="G79" s="50"/>
      <c r="H79" s="50"/>
      <c r="I79" s="50"/>
      <c r="J79" s="50"/>
      <c r="K79" s="50"/>
      <c r="L79" s="50"/>
      <c r="M79" s="50"/>
      <c r="N79" s="50"/>
      <c r="O79" s="50"/>
      <c r="P79" s="50"/>
      <c r="Q79" s="50"/>
      <c r="R79" s="50"/>
      <c r="S79" s="50"/>
      <c r="T79" s="50"/>
      <c r="U79" s="50"/>
      <c r="V79" s="50"/>
      <c r="W79" s="50"/>
      <c r="X79" s="50"/>
      <c r="Y79" s="50"/>
      <c r="Z79" s="43" t="str">
        <f t="shared" si="1"/>
        <v>Очікую</v>
      </c>
      <c r="AA79" s="22"/>
      <c r="AB79" s="40"/>
    </row>
    <row r="80" spans="1:28" s="11" customFormat="1" ht="15" customHeight="1" x14ac:dyDescent="0.25">
      <c r="A80" s="41"/>
      <c r="B80" s="12"/>
      <c r="C80" s="48"/>
      <c r="D80" s="48">
        <v>71</v>
      </c>
      <c r="E80" s="49"/>
      <c r="F80" s="50"/>
      <c r="G80" s="50"/>
      <c r="H80" s="50"/>
      <c r="I80" s="50"/>
      <c r="J80" s="50"/>
      <c r="K80" s="50"/>
      <c r="L80" s="50"/>
      <c r="M80" s="50"/>
      <c r="N80" s="50"/>
      <c r="O80" s="50"/>
      <c r="P80" s="50"/>
      <c r="Q80" s="50"/>
      <c r="R80" s="50"/>
      <c r="S80" s="50"/>
      <c r="T80" s="50"/>
      <c r="U80" s="50"/>
      <c r="V80" s="50"/>
      <c r="W80" s="50"/>
      <c r="X80" s="50"/>
      <c r="Y80" s="50"/>
      <c r="Z80" s="43" t="str">
        <f t="shared" si="1"/>
        <v>Очікую</v>
      </c>
      <c r="AA80" s="22"/>
      <c r="AB80" s="40"/>
    </row>
    <row r="81" spans="1:28" s="11" customFormat="1" ht="15" customHeight="1" x14ac:dyDescent="0.25">
      <c r="A81" s="41"/>
      <c r="B81" s="12"/>
      <c r="C81" s="48"/>
      <c r="D81" s="48">
        <v>72</v>
      </c>
      <c r="E81" s="49"/>
      <c r="F81" s="50"/>
      <c r="G81" s="50"/>
      <c r="H81" s="50"/>
      <c r="I81" s="50"/>
      <c r="J81" s="50"/>
      <c r="K81" s="50"/>
      <c r="L81" s="50"/>
      <c r="M81" s="50"/>
      <c r="N81" s="50"/>
      <c r="O81" s="50"/>
      <c r="P81" s="50"/>
      <c r="Q81" s="50"/>
      <c r="R81" s="50"/>
      <c r="S81" s="50"/>
      <c r="T81" s="50"/>
      <c r="U81" s="50"/>
      <c r="V81" s="50"/>
      <c r="W81" s="50"/>
      <c r="X81" s="50"/>
      <c r="Y81" s="50"/>
      <c r="Z81" s="43" t="str">
        <f t="shared" si="1"/>
        <v>Очікую</v>
      </c>
      <c r="AA81" s="22"/>
      <c r="AB81" s="40"/>
    </row>
    <row r="82" spans="1:28" s="11" customFormat="1" ht="15" customHeight="1" x14ac:dyDescent="0.25">
      <c r="A82" s="41"/>
      <c r="B82" s="12"/>
      <c r="C82" s="48"/>
      <c r="D82" s="48">
        <v>73</v>
      </c>
      <c r="E82" s="49"/>
      <c r="F82" s="50"/>
      <c r="G82" s="50"/>
      <c r="H82" s="50"/>
      <c r="I82" s="50"/>
      <c r="J82" s="50"/>
      <c r="K82" s="50"/>
      <c r="L82" s="50"/>
      <c r="M82" s="50"/>
      <c r="N82" s="50"/>
      <c r="O82" s="50"/>
      <c r="P82" s="50"/>
      <c r="Q82" s="50"/>
      <c r="R82" s="50"/>
      <c r="S82" s="50"/>
      <c r="T82" s="50"/>
      <c r="U82" s="50"/>
      <c r="V82" s="50"/>
      <c r="W82" s="50"/>
      <c r="X82" s="50"/>
      <c r="Y82" s="50"/>
      <c r="Z82" s="43" t="str">
        <f t="shared" si="1"/>
        <v>Очікую</v>
      </c>
      <c r="AA82" s="22"/>
      <c r="AB82" s="40"/>
    </row>
    <row r="83" spans="1:28" s="11" customFormat="1" ht="15" customHeight="1" x14ac:dyDescent="0.25">
      <c r="A83" s="41"/>
      <c r="B83" s="12"/>
      <c r="C83" s="48"/>
      <c r="D83" s="48">
        <v>74</v>
      </c>
      <c r="E83" s="49"/>
      <c r="F83" s="50"/>
      <c r="G83" s="50"/>
      <c r="H83" s="50"/>
      <c r="I83" s="50"/>
      <c r="J83" s="50"/>
      <c r="K83" s="50"/>
      <c r="L83" s="50"/>
      <c r="M83" s="50"/>
      <c r="N83" s="50"/>
      <c r="O83" s="50"/>
      <c r="P83" s="50"/>
      <c r="Q83" s="50"/>
      <c r="R83" s="50"/>
      <c r="S83" s="50"/>
      <c r="T83" s="50"/>
      <c r="U83" s="50"/>
      <c r="V83" s="50"/>
      <c r="W83" s="50"/>
      <c r="X83" s="50"/>
      <c r="Y83" s="50"/>
      <c r="Z83" s="43" t="str">
        <f t="shared" si="1"/>
        <v>Очікую</v>
      </c>
      <c r="AA83" s="22"/>
      <c r="AB83" s="40"/>
    </row>
    <row r="84" spans="1:28" s="11" customFormat="1" ht="15" customHeight="1" x14ac:dyDescent="0.25">
      <c r="A84" s="41"/>
      <c r="B84" s="12"/>
      <c r="C84" s="48"/>
      <c r="D84" s="48">
        <v>75</v>
      </c>
      <c r="E84" s="49"/>
      <c r="F84" s="50"/>
      <c r="G84" s="50"/>
      <c r="H84" s="50"/>
      <c r="I84" s="50"/>
      <c r="J84" s="50"/>
      <c r="K84" s="50"/>
      <c r="L84" s="50"/>
      <c r="M84" s="50"/>
      <c r="N84" s="50"/>
      <c r="O84" s="50"/>
      <c r="P84" s="50"/>
      <c r="Q84" s="50"/>
      <c r="R84" s="50"/>
      <c r="S84" s="50"/>
      <c r="T84" s="50"/>
      <c r="U84" s="50"/>
      <c r="V84" s="50"/>
      <c r="W84" s="50"/>
      <c r="X84" s="50"/>
      <c r="Y84" s="50"/>
      <c r="Z84" s="43" t="str">
        <f t="shared" si="1"/>
        <v>Очікую</v>
      </c>
      <c r="AA84" s="22"/>
      <c r="AB84" s="40"/>
    </row>
    <row r="85" spans="1:28" s="11" customFormat="1" ht="15" customHeight="1" x14ac:dyDescent="0.25">
      <c r="A85" s="41"/>
      <c r="B85" s="12"/>
      <c r="C85" s="48"/>
      <c r="D85" s="48">
        <v>76</v>
      </c>
      <c r="E85" s="49"/>
      <c r="F85" s="50"/>
      <c r="G85" s="50"/>
      <c r="H85" s="50"/>
      <c r="I85" s="50"/>
      <c r="J85" s="50"/>
      <c r="K85" s="50"/>
      <c r="L85" s="50"/>
      <c r="M85" s="50"/>
      <c r="N85" s="50"/>
      <c r="O85" s="50"/>
      <c r="P85" s="50"/>
      <c r="Q85" s="50"/>
      <c r="R85" s="50"/>
      <c r="S85" s="50"/>
      <c r="T85" s="50"/>
      <c r="U85" s="50"/>
      <c r="V85" s="50"/>
      <c r="W85" s="50"/>
      <c r="X85" s="50"/>
      <c r="Y85" s="50"/>
      <c r="Z85" s="43" t="str">
        <f t="shared" si="1"/>
        <v>Очікую</v>
      </c>
      <c r="AA85" s="22"/>
      <c r="AB85" s="40"/>
    </row>
    <row r="86" spans="1:28" s="11" customFormat="1" ht="15" customHeight="1" x14ac:dyDescent="0.25">
      <c r="A86" s="41"/>
      <c r="B86" s="12"/>
      <c r="C86" s="48"/>
      <c r="D86" s="48">
        <v>77</v>
      </c>
      <c r="E86" s="49"/>
      <c r="F86" s="50"/>
      <c r="G86" s="50"/>
      <c r="H86" s="50"/>
      <c r="I86" s="50"/>
      <c r="J86" s="50"/>
      <c r="K86" s="50"/>
      <c r="L86" s="50"/>
      <c r="M86" s="50"/>
      <c r="N86" s="50"/>
      <c r="O86" s="50"/>
      <c r="P86" s="50"/>
      <c r="Q86" s="50"/>
      <c r="R86" s="50"/>
      <c r="S86" s="50"/>
      <c r="T86" s="50"/>
      <c r="U86" s="50"/>
      <c r="V86" s="50"/>
      <c r="W86" s="50"/>
      <c r="X86" s="50"/>
      <c r="Y86" s="50"/>
      <c r="Z86" s="43" t="str">
        <f t="shared" si="1"/>
        <v>Очікую</v>
      </c>
      <c r="AA86" s="22"/>
      <c r="AB86" s="40"/>
    </row>
    <row r="87" spans="1:28" s="11" customFormat="1" ht="15" customHeight="1" x14ac:dyDescent="0.25">
      <c r="A87" s="41"/>
      <c r="B87" s="12"/>
      <c r="C87" s="48"/>
      <c r="D87" s="48">
        <v>78</v>
      </c>
      <c r="E87" s="49"/>
      <c r="F87" s="50"/>
      <c r="G87" s="50"/>
      <c r="H87" s="50"/>
      <c r="I87" s="50"/>
      <c r="J87" s="50"/>
      <c r="K87" s="50"/>
      <c r="L87" s="50"/>
      <c r="M87" s="50"/>
      <c r="N87" s="50"/>
      <c r="O87" s="50"/>
      <c r="P87" s="50"/>
      <c r="Q87" s="50"/>
      <c r="R87" s="50"/>
      <c r="S87" s="50"/>
      <c r="T87" s="50"/>
      <c r="U87" s="50"/>
      <c r="V87" s="50"/>
      <c r="W87" s="50"/>
      <c r="X87" s="50"/>
      <c r="Y87" s="50"/>
      <c r="Z87" s="43" t="str">
        <f t="shared" si="1"/>
        <v>Очікую</v>
      </c>
      <c r="AA87" s="22"/>
      <c r="AB87" s="40"/>
    </row>
    <row r="88" spans="1:28" s="11" customFormat="1" ht="15" customHeight="1" x14ac:dyDescent="0.25">
      <c r="A88" s="41"/>
      <c r="B88" s="12"/>
      <c r="C88" s="48"/>
      <c r="D88" s="48">
        <v>79</v>
      </c>
      <c r="E88" s="49"/>
      <c r="F88" s="50"/>
      <c r="G88" s="50"/>
      <c r="H88" s="50"/>
      <c r="I88" s="50"/>
      <c r="J88" s="50"/>
      <c r="K88" s="50"/>
      <c r="L88" s="50"/>
      <c r="M88" s="50"/>
      <c r="N88" s="50"/>
      <c r="O88" s="50"/>
      <c r="P88" s="50"/>
      <c r="Q88" s="50"/>
      <c r="R88" s="50"/>
      <c r="S88" s="50"/>
      <c r="T88" s="50"/>
      <c r="U88" s="50"/>
      <c r="V88" s="50"/>
      <c r="W88" s="50"/>
      <c r="X88" s="50"/>
      <c r="Y88" s="50"/>
      <c r="Z88" s="43" t="str">
        <f t="shared" si="1"/>
        <v>Очікую</v>
      </c>
      <c r="AA88" s="22"/>
      <c r="AB88" s="40"/>
    </row>
    <row r="89" spans="1:28" s="11" customFormat="1" ht="15" customHeight="1" x14ac:dyDescent="0.25">
      <c r="A89" s="41"/>
      <c r="B89" s="12"/>
      <c r="C89" s="48"/>
      <c r="D89" s="48">
        <v>80</v>
      </c>
      <c r="E89" s="49"/>
      <c r="F89" s="50"/>
      <c r="G89" s="50"/>
      <c r="H89" s="50"/>
      <c r="I89" s="50"/>
      <c r="J89" s="50"/>
      <c r="K89" s="50"/>
      <c r="L89" s="50"/>
      <c r="M89" s="50"/>
      <c r="N89" s="50"/>
      <c r="O89" s="50"/>
      <c r="P89" s="50"/>
      <c r="Q89" s="50"/>
      <c r="R89" s="50"/>
      <c r="S89" s="50"/>
      <c r="T89" s="50"/>
      <c r="U89" s="50"/>
      <c r="V89" s="50"/>
      <c r="W89" s="50"/>
      <c r="X89" s="50"/>
      <c r="Y89" s="50"/>
      <c r="Z89" s="43" t="str">
        <f t="shared" si="1"/>
        <v>Очікую</v>
      </c>
      <c r="AA89" s="22"/>
      <c r="AB89" s="40"/>
    </row>
    <row r="90" spans="1:28" s="11" customFormat="1" ht="15" customHeight="1" x14ac:dyDescent="0.25">
      <c r="A90" s="41"/>
      <c r="B90" s="12"/>
      <c r="C90" s="48"/>
      <c r="D90" s="48">
        <v>81</v>
      </c>
      <c r="E90" s="49"/>
      <c r="F90" s="50"/>
      <c r="G90" s="50"/>
      <c r="H90" s="50"/>
      <c r="I90" s="50"/>
      <c r="J90" s="50"/>
      <c r="K90" s="50"/>
      <c r="L90" s="50"/>
      <c r="M90" s="50"/>
      <c r="N90" s="50"/>
      <c r="O90" s="50"/>
      <c r="P90" s="50"/>
      <c r="Q90" s="50"/>
      <c r="R90" s="50"/>
      <c r="S90" s="50"/>
      <c r="T90" s="50"/>
      <c r="U90" s="50"/>
      <c r="V90" s="50"/>
      <c r="W90" s="50"/>
      <c r="X90" s="50"/>
      <c r="Y90" s="50"/>
      <c r="Z90" s="43" t="str">
        <f t="shared" si="1"/>
        <v>Очікую</v>
      </c>
      <c r="AA90" s="22"/>
      <c r="AB90" s="40"/>
    </row>
    <row r="91" spans="1:28" s="11" customFormat="1" ht="15" customHeight="1" x14ac:dyDescent="0.25">
      <c r="A91" s="41"/>
      <c r="B91" s="12"/>
      <c r="C91" s="48"/>
      <c r="D91" s="48">
        <v>82</v>
      </c>
      <c r="E91" s="49"/>
      <c r="F91" s="50"/>
      <c r="G91" s="50"/>
      <c r="H91" s="50"/>
      <c r="I91" s="50"/>
      <c r="J91" s="50"/>
      <c r="K91" s="50"/>
      <c r="L91" s="50"/>
      <c r="M91" s="50"/>
      <c r="N91" s="50"/>
      <c r="O91" s="50"/>
      <c r="P91" s="50"/>
      <c r="Q91" s="50"/>
      <c r="R91" s="50"/>
      <c r="S91" s="50"/>
      <c r="T91" s="50"/>
      <c r="U91" s="50"/>
      <c r="V91" s="50"/>
      <c r="W91" s="50"/>
      <c r="X91" s="50"/>
      <c r="Y91" s="50"/>
      <c r="Z91" s="43" t="str">
        <f t="shared" si="1"/>
        <v>Очікую</v>
      </c>
      <c r="AA91" s="22"/>
      <c r="AB91" s="40"/>
    </row>
    <row r="92" spans="1:28" s="11" customFormat="1" ht="15" customHeight="1" x14ac:dyDescent="0.25">
      <c r="A92" s="41"/>
      <c r="B92" s="12"/>
      <c r="C92" s="48"/>
      <c r="D92" s="48">
        <v>83</v>
      </c>
      <c r="E92" s="49"/>
      <c r="F92" s="50"/>
      <c r="G92" s="50"/>
      <c r="H92" s="50"/>
      <c r="I92" s="50"/>
      <c r="J92" s="50"/>
      <c r="K92" s="50"/>
      <c r="L92" s="50"/>
      <c r="M92" s="50"/>
      <c r="N92" s="50"/>
      <c r="O92" s="50"/>
      <c r="P92" s="50"/>
      <c r="Q92" s="50"/>
      <c r="R92" s="50"/>
      <c r="S92" s="50"/>
      <c r="T92" s="50"/>
      <c r="U92" s="50"/>
      <c r="V92" s="50"/>
      <c r="W92" s="50"/>
      <c r="X92" s="50"/>
      <c r="Y92" s="50"/>
      <c r="Z92" s="43" t="str">
        <f t="shared" si="1"/>
        <v>Очікую</v>
      </c>
      <c r="AA92" s="22"/>
      <c r="AB92" s="40"/>
    </row>
    <row r="93" spans="1:28" s="11" customFormat="1" ht="15" customHeight="1" x14ac:dyDescent="0.25">
      <c r="A93" s="41"/>
      <c r="B93" s="12"/>
      <c r="C93" s="48"/>
      <c r="D93" s="48">
        <v>84</v>
      </c>
      <c r="E93" s="49"/>
      <c r="F93" s="50"/>
      <c r="G93" s="50"/>
      <c r="H93" s="50"/>
      <c r="I93" s="50"/>
      <c r="J93" s="50"/>
      <c r="K93" s="50"/>
      <c r="L93" s="50"/>
      <c r="M93" s="50"/>
      <c r="N93" s="50"/>
      <c r="O93" s="50"/>
      <c r="P93" s="50"/>
      <c r="Q93" s="50"/>
      <c r="R93" s="50"/>
      <c r="S93" s="50"/>
      <c r="T93" s="50"/>
      <c r="U93" s="50"/>
      <c r="V93" s="50"/>
      <c r="W93" s="50"/>
      <c r="X93" s="50"/>
      <c r="Y93" s="50"/>
      <c r="Z93" s="43" t="str">
        <f t="shared" si="1"/>
        <v>Очікую</v>
      </c>
      <c r="AA93" s="22"/>
      <c r="AB93" s="40"/>
    </row>
    <row r="94" spans="1:28" s="11" customFormat="1" ht="15" customHeight="1" x14ac:dyDescent="0.25">
      <c r="A94" s="41"/>
      <c r="B94" s="12"/>
      <c r="C94" s="48"/>
      <c r="D94" s="48">
        <v>85</v>
      </c>
      <c r="E94" s="49"/>
      <c r="F94" s="50"/>
      <c r="G94" s="50"/>
      <c r="H94" s="50"/>
      <c r="I94" s="50"/>
      <c r="J94" s="50"/>
      <c r="K94" s="50"/>
      <c r="L94" s="50"/>
      <c r="M94" s="50"/>
      <c r="N94" s="50"/>
      <c r="O94" s="50"/>
      <c r="P94" s="50"/>
      <c r="Q94" s="50"/>
      <c r="R94" s="50"/>
      <c r="S94" s="50"/>
      <c r="T94" s="50"/>
      <c r="U94" s="50"/>
      <c r="V94" s="50"/>
      <c r="W94" s="50"/>
      <c r="X94" s="50"/>
      <c r="Y94" s="50"/>
      <c r="Z94" s="43" t="str">
        <f t="shared" si="1"/>
        <v>Очікую</v>
      </c>
      <c r="AA94" s="22"/>
      <c r="AB94" s="40"/>
    </row>
    <row r="95" spans="1:28" s="11" customFormat="1" ht="15" customHeight="1" x14ac:dyDescent="0.25">
      <c r="A95" s="41"/>
      <c r="B95" s="12"/>
      <c r="C95" s="48"/>
      <c r="D95" s="48">
        <v>86</v>
      </c>
      <c r="E95" s="49"/>
      <c r="F95" s="50"/>
      <c r="G95" s="50"/>
      <c r="H95" s="50"/>
      <c r="I95" s="50"/>
      <c r="J95" s="50"/>
      <c r="K95" s="50"/>
      <c r="L95" s="50"/>
      <c r="M95" s="50"/>
      <c r="N95" s="50"/>
      <c r="O95" s="50"/>
      <c r="P95" s="50"/>
      <c r="Q95" s="50"/>
      <c r="R95" s="50"/>
      <c r="S95" s="50"/>
      <c r="T95" s="50"/>
      <c r="U95" s="50"/>
      <c r="V95" s="50"/>
      <c r="W95" s="50"/>
      <c r="X95" s="50"/>
      <c r="Y95" s="50"/>
      <c r="Z95" s="43" t="str">
        <f t="shared" si="1"/>
        <v>Очікую</v>
      </c>
      <c r="AA95" s="22"/>
      <c r="AB95" s="40"/>
    </row>
    <row r="96" spans="1:28" s="11" customFormat="1" ht="15" customHeight="1" x14ac:dyDescent="0.25">
      <c r="A96" s="41"/>
      <c r="B96" s="12"/>
      <c r="C96" s="48"/>
      <c r="D96" s="48">
        <v>87</v>
      </c>
      <c r="E96" s="49"/>
      <c r="F96" s="50"/>
      <c r="G96" s="50"/>
      <c r="H96" s="50"/>
      <c r="I96" s="50"/>
      <c r="J96" s="50"/>
      <c r="K96" s="50"/>
      <c r="L96" s="50"/>
      <c r="M96" s="50"/>
      <c r="N96" s="50"/>
      <c r="O96" s="50"/>
      <c r="P96" s="50"/>
      <c r="Q96" s="50"/>
      <c r="R96" s="50"/>
      <c r="S96" s="50"/>
      <c r="T96" s="50"/>
      <c r="U96" s="50"/>
      <c r="V96" s="50"/>
      <c r="W96" s="50"/>
      <c r="X96" s="50"/>
      <c r="Y96" s="50"/>
      <c r="Z96" s="43" t="str">
        <f t="shared" si="1"/>
        <v>Очікую</v>
      </c>
      <c r="AA96" s="22"/>
      <c r="AB96" s="40"/>
    </row>
    <row r="97" spans="1:28" s="11" customFormat="1" ht="15" customHeight="1" x14ac:dyDescent="0.25">
      <c r="A97" s="41"/>
      <c r="B97" s="12"/>
      <c r="C97" s="48"/>
      <c r="D97" s="48">
        <v>88</v>
      </c>
      <c r="E97" s="49"/>
      <c r="F97" s="50"/>
      <c r="G97" s="50"/>
      <c r="H97" s="50"/>
      <c r="I97" s="50"/>
      <c r="J97" s="50"/>
      <c r="K97" s="50"/>
      <c r="L97" s="50"/>
      <c r="M97" s="50"/>
      <c r="N97" s="50"/>
      <c r="O97" s="50"/>
      <c r="P97" s="50"/>
      <c r="Q97" s="50"/>
      <c r="R97" s="50"/>
      <c r="S97" s="50"/>
      <c r="T97" s="50"/>
      <c r="U97" s="50"/>
      <c r="V97" s="50"/>
      <c r="W97" s="50"/>
      <c r="X97" s="50"/>
      <c r="Y97" s="50"/>
      <c r="Z97" s="43" t="str">
        <f t="shared" si="1"/>
        <v>Очікую</v>
      </c>
      <c r="AA97" s="22"/>
      <c r="AB97" s="40"/>
    </row>
    <row r="98" spans="1:28" s="11" customFormat="1" ht="15" customHeight="1" x14ac:dyDescent="0.25">
      <c r="A98" s="41"/>
      <c r="B98" s="12"/>
      <c r="C98" s="48"/>
      <c r="D98" s="48">
        <v>89</v>
      </c>
      <c r="E98" s="49"/>
      <c r="F98" s="50"/>
      <c r="G98" s="50"/>
      <c r="H98" s="50"/>
      <c r="I98" s="50"/>
      <c r="J98" s="50"/>
      <c r="K98" s="50"/>
      <c r="L98" s="50"/>
      <c r="M98" s="50"/>
      <c r="N98" s="50"/>
      <c r="O98" s="50"/>
      <c r="P98" s="50"/>
      <c r="Q98" s="50"/>
      <c r="R98" s="50"/>
      <c r="S98" s="50"/>
      <c r="T98" s="50"/>
      <c r="U98" s="50"/>
      <c r="V98" s="50"/>
      <c r="W98" s="50"/>
      <c r="X98" s="50"/>
      <c r="Y98" s="50"/>
      <c r="Z98" s="43" t="str">
        <f t="shared" si="1"/>
        <v>Очікую</v>
      </c>
      <c r="AA98" s="22"/>
      <c r="AB98" s="40"/>
    </row>
    <row r="99" spans="1:28" s="11" customFormat="1" ht="15" customHeight="1" x14ac:dyDescent="0.25">
      <c r="A99" s="41"/>
      <c r="B99" s="12"/>
      <c r="C99" s="48"/>
      <c r="D99" s="48">
        <v>90</v>
      </c>
      <c r="E99" s="49"/>
      <c r="F99" s="50"/>
      <c r="G99" s="50"/>
      <c r="H99" s="50"/>
      <c r="I99" s="50"/>
      <c r="J99" s="50"/>
      <c r="K99" s="50"/>
      <c r="L99" s="50"/>
      <c r="M99" s="50"/>
      <c r="N99" s="50"/>
      <c r="O99" s="50"/>
      <c r="P99" s="50"/>
      <c r="Q99" s="50"/>
      <c r="R99" s="50"/>
      <c r="S99" s="50"/>
      <c r="T99" s="50"/>
      <c r="U99" s="50"/>
      <c r="V99" s="50"/>
      <c r="W99" s="50"/>
      <c r="X99" s="50"/>
      <c r="Y99" s="50"/>
      <c r="Z99" s="43" t="str">
        <f t="shared" si="1"/>
        <v>Очікую</v>
      </c>
      <c r="AA99" s="22"/>
      <c r="AB99" s="40"/>
    </row>
    <row r="100" spans="1:28" s="11" customFormat="1" ht="15" customHeight="1" x14ac:dyDescent="0.25">
      <c r="A100" s="41"/>
      <c r="B100" s="12"/>
      <c r="C100" s="48"/>
      <c r="D100" s="48">
        <v>91</v>
      </c>
      <c r="E100" s="49"/>
      <c r="F100" s="50"/>
      <c r="G100" s="50"/>
      <c r="H100" s="50"/>
      <c r="I100" s="50"/>
      <c r="J100" s="50"/>
      <c r="K100" s="50"/>
      <c r="L100" s="50"/>
      <c r="M100" s="50"/>
      <c r="N100" s="50"/>
      <c r="O100" s="50"/>
      <c r="P100" s="50"/>
      <c r="Q100" s="50"/>
      <c r="R100" s="50"/>
      <c r="S100" s="50"/>
      <c r="T100" s="50"/>
      <c r="U100" s="50"/>
      <c r="V100" s="50"/>
      <c r="W100" s="50"/>
      <c r="X100" s="50"/>
      <c r="Y100" s="50"/>
      <c r="Z100" s="43" t="str">
        <f t="shared" si="1"/>
        <v>Очікую</v>
      </c>
      <c r="AA100" s="22"/>
      <c r="AB100" s="40"/>
    </row>
    <row r="101" spans="1:28" s="11" customFormat="1" ht="15" customHeight="1" x14ac:dyDescent="0.25">
      <c r="A101" s="41"/>
      <c r="B101" s="12"/>
      <c r="C101" s="48"/>
      <c r="D101" s="48">
        <v>92</v>
      </c>
      <c r="E101" s="49"/>
      <c r="F101" s="50"/>
      <c r="G101" s="50"/>
      <c r="H101" s="50"/>
      <c r="I101" s="50"/>
      <c r="J101" s="50"/>
      <c r="K101" s="50"/>
      <c r="L101" s="50"/>
      <c r="M101" s="50"/>
      <c r="N101" s="50"/>
      <c r="O101" s="50"/>
      <c r="P101" s="50"/>
      <c r="Q101" s="50"/>
      <c r="R101" s="50"/>
      <c r="S101" s="50"/>
      <c r="T101" s="50"/>
      <c r="U101" s="50"/>
      <c r="V101" s="50"/>
      <c r="W101" s="50"/>
      <c r="X101" s="50"/>
      <c r="Y101" s="50"/>
      <c r="Z101" s="43" t="str">
        <f t="shared" si="1"/>
        <v>Очікую</v>
      </c>
      <c r="AA101" s="22"/>
      <c r="AB101" s="40"/>
    </row>
    <row r="102" spans="1:28" s="11" customFormat="1" ht="15" customHeight="1" x14ac:dyDescent="0.25">
      <c r="A102" s="41"/>
      <c r="B102" s="12"/>
      <c r="C102" s="48"/>
      <c r="D102" s="48">
        <v>93</v>
      </c>
      <c r="E102" s="49"/>
      <c r="F102" s="50"/>
      <c r="G102" s="50"/>
      <c r="H102" s="50"/>
      <c r="I102" s="50"/>
      <c r="J102" s="50"/>
      <c r="K102" s="50"/>
      <c r="L102" s="50"/>
      <c r="M102" s="50"/>
      <c r="N102" s="50"/>
      <c r="O102" s="50"/>
      <c r="P102" s="50"/>
      <c r="Q102" s="50"/>
      <c r="R102" s="50"/>
      <c r="S102" s="50"/>
      <c r="T102" s="50"/>
      <c r="U102" s="50"/>
      <c r="V102" s="50"/>
      <c r="W102" s="50"/>
      <c r="X102" s="50"/>
      <c r="Y102" s="50"/>
      <c r="Z102" s="43" t="str">
        <f t="shared" si="1"/>
        <v>Очікую</v>
      </c>
      <c r="AA102" s="22"/>
      <c r="AB102" s="40"/>
    </row>
    <row r="103" spans="1:28" s="11" customFormat="1" ht="15" customHeight="1" x14ac:dyDescent="0.25">
      <c r="A103" s="41"/>
      <c r="B103" s="12"/>
      <c r="C103" s="48"/>
      <c r="D103" s="48">
        <v>94</v>
      </c>
      <c r="E103" s="49"/>
      <c r="F103" s="50"/>
      <c r="G103" s="50"/>
      <c r="H103" s="50"/>
      <c r="I103" s="50"/>
      <c r="J103" s="50"/>
      <c r="K103" s="50"/>
      <c r="L103" s="50"/>
      <c r="M103" s="50"/>
      <c r="N103" s="50"/>
      <c r="O103" s="50"/>
      <c r="P103" s="50"/>
      <c r="Q103" s="50"/>
      <c r="R103" s="50"/>
      <c r="S103" s="50"/>
      <c r="T103" s="50"/>
      <c r="U103" s="50"/>
      <c r="V103" s="50"/>
      <c r="W103" s="50"/>
      <c r="X103" s="50"/>
      <c r="Y103" s="50"/>
      <c r="Z103" s="43" t="str">
        <f t="shared" si="1"/>
        <v>Очікую</v>
      </c>
      <c r="AA103" s="22"/>
      <c r="AB103" s="40"/>
    </row>
    <row r="104" spans="1:28" s="11" customFormat="1" ht="15" customHeight="1" x14ac:dyDescent="0.25">
      <c r="A104" s="41"/>
      <c r="B104" s="12"/>
      <c r="C104" s="48"/>
      <c r="D104" s="48">
        <v>95</v>
      </c>
      <c r="E104" s="49"/>
      <c r="F104" s="50"/>
      <c r="G104" s="50"/>
      <c r="H104" s="50"/>
      <c r="I104" s="50"/>
      <c r="J104" s="50"/>
      <c r="K104" s="50"/>
      <c r="L104" s="50"/>
      <c r="M104" s="50"/>
      <c r="N104" s="50"/>
      <c r="O104" s="50"/>
      <c r="P104" s="50"/>
      <c r="Q104" s="50"/>
      <c r="R104" s="50"/>
      <c r="S104" s="50"/>
      <c r="T104" s="50"/>
      <c r="U104" s="50"/>
      <c r="V104" s="50"/>
      <c r="W104" s="50"/>
      <c r="X104" s="50"/>
      <c r="Y104" s="50"/>
      <c r="Z104" s="43" t="str">
        <f t="shared" si="1"/>
        <v>Очікую</v>
      </c>
      <c r="AA104" s="22"/>
      <c r="AB104" s="40"/>
    </row>
    <row r="105" spans="1:28" s="11" customFormat="1" ht="15" customHeight="1" x14ac:dyDescent="0.25">
      <c r="A105" s="41"/>
      <c r="B105" s="12"/>
      <c r="C105" s="48"/>
      <c r="D105" s="48">
        <v>96</v>
      </c>
      <c r="E105" s="49"/>
      <c r="F105" s="50"/>
      <c r="G105" s="50"/>
      <c r="H105" s="50"/>
      <c r="I105" s="50"/>
      <c r="J105" s="50"/>
      <c r="K105" s="50"/>
      <c r="L105" s="50"/>
      <c r="M105" s="50"/>
      <c r="N105" s="50"/>
      <c r="O105" s="50"/>
      <c r="P105" s="50"/>
      <c r="Q105" s="50"/>
      <c r="R105" s="50"/>
      <c r="S105" s="50"/>
      <c r="T105" s="50"/>
      <c r="U105" s="50"/>
      <c r="V105" s="50"/>
      <c r="W105" s="50"/>
      <c r="X105" s="50"/>
      <c r="Y105" s="50"/>
      <c r="Z105" s="43" t="str">
        <f t="shared" si="1"/>
        <v>Очікую</v>
      </c>
      <c r="AA105" s="22"/>
      <c r="AB105" s="40"/>
    </row>
    <row r="106" spans="1:28" s="11" customFormat="1" ht="15" customHeight="1" x14ac:dyDescent="0.25">
      <c r="A106" s="41"/>
      <c r="B106" s="12"/>
      <c r="C106" s="48"/>
      <c r="D106" s="48">
        <v>97</v>
      </c>
      <c r="E106" s="49"/>
      <c r="F106" s="50"/>
      <c r="G106" s="50"/>
      <c r="H106" s="50"/>
      <c r="I106" s="50"/>
      <c r="J106" s="50"/>
      <c r="K106" s="50"/>
      <c r="L106" s="50"/>
      <c r="M106" s="50"/>
      <c r="N106" s="50"/>
      <c r="O106" s="50"/>
      <c r="P106" s="50"/>
      <c r="Q106" s="50"/>
      <c r="R106" s="50"/>
      <c r="S106" s="50"/>
      <c r="T106" s="50"/>
      <c r="U106" s="50"/>
      <c r="V106" s="50"/>
      <c r="W106" s="50"/>
      <c r="X106" s="50"/>
      <c r="Y106" s="50"/>
      <c r="Z106" s="43" t="str">
        <f t="shared" si="1"/>
        <v>Очікую</v>
      </c>
      <c r="AA106" s="22"/>
      <c r="AB106" s="40"/>
    </row>
    <row r="107" spans="1:28" s="11" customFormat="1" ht="15" customHeight="1" x14ac:dyDescent="0.25">
      <c r="A107" s="41"/>
      <c r="B107" s="12"/>
      <c r="C107" s="48"/>
      <c r="D107" s="48">
        <v>98</v>
      </c>
      <c r="E107" s="49"/>
      <c r="F107" s="50"/>
      <c r="G107" s="50"/>
      <c r="H107" s="50"/>
      <c r="I107" s="50"/>
      <c r="J107" s="50"/>
      <c r="K107" s="50"/>
      <c r="L107" s="50"/>
      <c r="M107" s="50"/>
      <c r="N107" s="50"/>
      <c r="O107" s="50"/>
      <c r="P107" s="50"/>
      <c r="Q107" s="50"/>
      <c r="R107" s="50"/>
      <c r="S107" s="50"/>
      <c r="T107" s="50"/>
      <c r="U107" s="50"/>
      <c r="V107" s="50"/>
      <c r="W107" s="50"/>
      <c r="X107" s="50"/>
      <c r="Y107" s="50"/>
      <c r="Z107" s="43" t="str">
        <f t="shared" si="1"/>
        <v>Очікую</v>
      </c>
      <c r="AA107" s="22"/>
      <c r="AB107" s="40"/>
    </row>
    <row r="108" spans="1:28" s="11" customFormat="1" ht="15" customHeight="1" x14ac:dyDescent="0.25">
      <c r="A108" s="41"/>
      <c r="B108" s="12"/>
      <c r="C108" s="48"/>
      <c r="D108" s="48">
        <v>99</v>
      </c>
      <c r="E108" s="49"/>
      <c r="F108" s="50"/>
      <c r="G108" s="50"/>
      <c r="H108" s="50"/>
      <c r="I108" s="50"/>
      <c r="J108" s="50"/>
      <c r="K108" s="50"/>
      <c r="L108" s="50"/>
      <c r="M108" s="50"/>
      <c r="N108" s="50"/>
      <c r="O108" s="50"/>
      <c r="P108" s="50"/>
      <c r="Q108" s="50"/>
      <c r="R108" s="50"/>
      <c r="S108" s="50"/>
      <c r="T108" s="50"/>
      <c r="U108" s="50"/>
      <c r="V108" s="50"/>
      <c r="W108" s="50"/>
      <c r="X108" s="50"/>
      <c r="Y108" s="50"/>
      <c r="Z108" s="43" t="str">
        <f t="shared" si="1"/>
        <v>Очікую</v>
      </c>
      <c r="AA108" s="22"/>
      <c r="AB108" s="40"/>
    </row>
    <row r="109" spans="1:28" s="11" customFormat="1" ht="15" customHeight="1" x14ac:dyDescent="0.25">
      <c r="A109" s="41"/>
      <c r="B109" s="12"/>
      <c r="C109" s="48"/>
      <c r="D109" s="48">
        <v>100</v>
      </c>
      <c r="E109" s="49"/>
      <c r="F109" s="50"/>
      <c r="G109" s="50"/>
      <c r="H109" s="50"/>
      <c r="I109" s="50"/>
      <c r="J109" s="50"/>
      <c r="K109" s="50"/>
      <c r="L109" s="50"/>
      <c r="M109" s="50"/>
      <c r="N109" s="50"/>
      <c r="O109" s="50"/>
      <c r="P109" s="50"/>
      <c r="Q109" s="50"/>
      <c r="R109" s="50"/>
      <c r="S109" s="50"/>
      <c r="T109" s="50"/>
      <c r="U109" s="50"/>
      <c r="V109" s="50"/>
      <c r="W109" s="50"/>
      <c r="X109" s="50"/>
      <c r="Y109" s="50"/>
      <c r="Z109" s="43" t="str">
        <f t="shared" si="1"/>
        <v>Очікую</v>
      </c>
      <c r="AA109" s="22"/>
      <c r="AB109" s="40"/>
    </row>
    <row r="110" spans="1:28" ht="15" customHeight="1" x14ac:dyDescent="0.25">
      <c r="A110" s="41"/>
      <c r="B110" s="12"/>
      <c r="C110" s="6"/>
      <c r="D110" s="6"/>
      <c r="E110" s="7" t="s">
        <v>4</v>
      </c>
      <c r="F110" s="8" t="str">
        <f>IF(SUM(F10:F109)=0,IF(COUNTA(F10:F109)=0,"Очікую",0),SUM(F10:F109)/$D109)</f>
        <v>Очікую</v>
      </c>
      <c r="G110" s="8" t="str">
        <f t="shared" ref="G110:Y110" si="2">IF(SUM(G10:G109)=0,IF(COUNTA(G10:G109)=0,"Очікую",0),SUM(G10:G109)/$D109)</f>
        <v>Очікую</v>
      </c>
      <c r="H110" s="8" t="str">
        <f t="shared" si="2"/>
        <v>Очікую</v>
      </c>
      <c r="I110" s="8" t="str">
        <f t="shared" si="2"/>
        <v>Очікую</v>
      </c>
      <c r="J110" s="8" t="str">
        <f t="shared" si="2"/>
        <v>Очікую</v>
      </c>
      <c r="K110" s="8" t="str">
        <f t="shared" si="2"/>
        <v>Очікую</v>
      </c>
      <c r="L110" s="8" t="str">
        <f t="shared" si="2"/>
        <v>Очікую</v>
      </c>
      <c r="M110" s="8" t="str">
        <f t="shared" si="2"/>
        <v>Очікую</v>
      </c>
      <c r="N110" s="8" t="str">
        <f t="shared" si="2"/>
        <v>Очікую</v>
      </c>
      <c r="O110" s="8" t="str">
        <f t="shared" si="2"/>
        <v>Очікую</v>
      </c>
      <c r="P110" s="8" t="str">
        <f t="shared" si="2"/>
        <v>Очікую</v>
      </c>
      <c r="Q110" s="8" t="str">
        <f t="shared" si="2"/>
        <v>Очікую</v>
      </c>
      <c r="R110" s="8" t="str">
        <f t="shared" si="2"/>
        <v>Очікую</v>
      </c>
      <c r="S110" s="8" t="str">
        <f t="shared" si="2"/>
        <v>Очікую</v>
      </c>
      <c r="T110" s="8" t="str">
        <f t="shared" si="2"/>
        <v>Очікую</v>
      </c>
      <c r="U110" s="8" t="str">
        <f t="shared" si="2"/>
        <v>Очікую</v>
      </c>
      <c r="V110" s="8" t="str">
        <f t="shared" si="2"/>
        <v>Очікую</v>
      </c>
      <c r="W110" s="8" t="str">
        <f t="shared" si="2"/>
        <v>Очікую</v>
      </c>
      <c r="X110" s="8" t="str">
        <f t="shared" si="2"/>
        <v>Очікую</v>
      </c>
      <c r="Y110" s="8" t="str">
        <f t="shared" si="2"/>
        <v>Очікую</v>
      </c>
      <c r="Z110" s="9" t="str">
        <f>IFERROR(AVERAGE(F110:Y110),"Очікую")</f>
        <v>Очікую</v>
      </c>
      <c r="AA110" s="20"/>
      <c r="AB110" s="40"/>
    </row>
    <row r="111" spans="1:28" ht="15" customHeight="1" x14ac:dyDescent="0.25">
      <c r="A111" s="41"/>
      <c r="B111" s="12"/>
      <c r="C111" s="6"/>
      <c r="D111" s="6"/>
      <c r="E111" s="7" t="s">
        <v>5</v>
      </c>
      <c r="F111" s="44" t="str">
        <f>IF(SUM(F10:F109)=0,IF(COUNTA(F10:F109)=0,"Очікую",0),IF(COUNTIF(F10:F109,"&gt;=4")=0,0,COUNTIF(F10:F109,"&gt;=4")/$D109*100))</f>
        <v>Очікую</v>
      </c>
      <c r="G111" s="44" t="str">
        <f t="shared" ref="G111:Y111" si="3">IF(SUM(G10:G109)=0,IF(COUNTA(G10:G109)=0,"Очікую",0),IF(COUNTIF(G10:G109,"&gt;=4")=0,0,COUNTIF(G10:G109,"&gt;=4")/$D109*100))</f>
        <v>Очікую</v>
      </c>
      <c r="H111" s="44" t="str">
        <f t="shared" si="3"/>
        <v>Очікую</v>
      </c>
      <c r="I111" s="44" t="str">
        <f t="shared" si="3"/>
        <v>Очікую</v>
      </c>
      <c r="J111" s="44" t="str">
        <f t="shared" si="3"/>
        <v>Очікую</v>
      </c>
      <c r="K111" s="44" t="str">
        <f t="shared" si="3"/>
        <v>Очікую</v>
      </c>
      <c r="L111" s="44" t="str">
        <f t="shared" si="3"/>
        <v>Очікую</v>
      </c>
      <c r="M111" s="44" t="str">
        <f t="shared" si="3"/>
        <v>Очікую</v>
      </c>
      <c r="N111" s="44" t="str">
        <f t="shared" si="3"/>
        <v>Очікую</v>
      </c>
      <c r="O111" s="44" t="str">
        <f t="shared" si="3"/>
        <v>Очікую</v>
      </c>
      <c r="P111" s="44" t="str">
        <f t="shared" si="3"/>
        <v>Очікую</v>
      </c>
      <c r="Q111" s="44" t="str">
        <f t="shared" si="3"/>
        <v>Очікую</v>
      </c>
      <c r="R111" s="44" t="str">
        <f t="shared" si="3"/>
        <v>Очікую</v>
      </c>
      <c r="S111" s="44" t="str">
        <f t="shared" si="3"/>
        <v>Очікую</v>
      </c>
      <c r="T111" s="44" t="str">
        <f t="shared" si="3"/>
        <v>Очікую</v>
      </c>
      <c r="U111" s="44" t="str">
        <f t="shared" si="3"/>
        <v>Очікую</v>
      </c>
      <c r="V111" s="44" t="str">
        <f t="shared" si="3"/>
        <v>Очікую</v>
      </c>
      <c r="W111" s="44" t="str">
        <f t="shared" si="3"/>
        <v>Очікую</v>
      </c>
      <c r="X111" s="44" t="str">
        <f t="shared" si="3"/>
        <v>Очікую</v>
      </c>
      <c r="Y111" s="44" t="str">
        <f t="shared" si="3"/>
        <v>Очікую</v>
      </c>
      <c r="Z111" s="6"/>
      <c r="AA111" s="20"/>
      <c r="AB111" s="40"/>
    </row>
    <row r="112" spans="1:28" ht="15" customHeight="1" x14ac:dyDescent="0.25">
      <c r="A112" s="41"/>
      <c r="B112" s="12"/>
      <c r="C112" s="6"/>
      <c r="D112" s="6"/>
      <c r="E112" s="7" t="s">
        <v>6</v>
      </c>
      <c r="F112" s="44" t="str">
        <f>IF(SUM(F10:F109)=0,IF(COUNTA(F10:F109)=0,"Очікую",0),IF(COUNTIF(F10:F109,"&gt;=7")=0,0,COUNTIF(F10:F109,"&gt;=7")/$D109*100))</f>
        <v>Очікую</v>
      </c>
      <c r="G112" s="44" t="str">
        <f t="shared" ref="G112:Y112" si="4">IF(SUM(G10:G109)=0,IF(COUNTA(G10:G109)=0,"Очікую",0),IF(COUNTIF(G10:G109,"&gt;=7")=0,0,COUNTIF(G10:G109,"&gt;=7")/$D109*100))</f>
        <v>Очікую</v>
      </c>
      <c r="H112" s="44" t="str">
        <f t="shared" si="4"/>
        <v>Очікую</v>
      </c>
      <c r="I112" s="44" t="str">
        <f t="shared" si="4"/>
        <v>Очікую</v>
      </c>
      <c r="J112" s="44" t="str">
        <f t="shared" si="4"/>
        <v>Очікую</v>
      </c>
      <c r="K112" s="44" t="str">
        <f t="shared" si="4"/>
        <v>Очікую</v>
      </c>
      <c r="L112" s="44" t="str">
        <f t="shared" si="4"/>
        <v>Очікую</v>
      </c>
      <c r="M112" s="44" t="str">
        <f>IF(SUM(M10:M109)=0,IF(COUNTA(M10:M109)=0,"Очікую",0),IF(COUNTIF(M10:M109,"&gt;=7")=0,0,COUNTIF(M10:M109,"&gt;=7")/$D109*100))</f>
        <v>Очікую</v>
      </c>
      <c r="N112" s="44" t="str">
        <f t="shared" si="4"/>
        <v>Очікую</v>
      </c>
      <c r="O112" s="44" t="str">
        <f t="shared" si="4"/>
        <v>Очікую</v>
      </c>
      <c r="P112" s="44" t="str">
        <f t="shared" si="4"/>
        <v>Очікую</v>
      </c>
      <c r="Q112" s="44" t="str">
        <f t="shared" si="4"/>
        <v>Очікую</v>
      </c>
      <c r="R112" s="44" t="str">
        <f t="shared" si="4"/>
        <v>Очікую</v>
      </c>
      <c r="S112" s="44" t="str">
        <f t="shared" si="4"/>
        <v>Очікую</v>
      </c>
      <c r="T112" s="44" t="str">
        <f t="shared" si="4"/>
        <v>Очікую</v>
      </c>
      <c r="U112" s="44" t="str">
        <f t="shared" si="4"/>
        <v>Очікую</v>
      </c>
      <c r="V112" s="44" t="str">
        <f t="shared" si="4"/>
        <v>Очікую</v>
      </c>
      <c r="W112" s="44" t="str">
        <f t="shared" si="4"/>
        <v>Очікую</v>
      </c>
      <c r="X112" s="44" t="str">
        <f t="shared" si="4"/>
        <v>Очікую</v>
      </c>
      <c r="Y112" s="44" t="str">
        <f t="shared" si="4"/>
        <v>Очікую</v>
      </c>
      <c r="Z112" s="6"/>
      <c r="AA112" s="20"/>
      <c r="AB112" s="40"/>
    </row>
    <row r="113" spans="1:28" ht="15" customHeight="1" x14ac:dyDescent="0.25">
      <c r="A113" s="41"/>
      <c r="B113" s="12"/>
      <c r="C113" s="6"/>
      <c r="D113" s="6"/>
      <c r="E113" s="7" t="s">
        <v>7</v>
      </c>
      <c r="F113" s="8" t="str">
        <f>IFERROR(AVERAGE(F111:Y111),"Очікую")</f>
        <v>Очікую</v>
      </c>
      <c r="G113" s="6"/>
      <c r="H113" s="6"/>
      <c r="I113" s="6"/>
      <c r="J113" s="6"/>
      <c r="K113" s="6"/>
      <c r="L113" s="6"/>
      <c r="M113" s="6"/>
      <c r="N113" s="6"/>
      <c r="O113" s="6"/>
      <c r="P113" s="6"/>
      <c r="Q113" s="6"/>
      <c r="R113" s="6"/>
      <c r="S113" s="6"/>
      <c r="T113" s="6"/>
      <c r="U113" s="6"/>
      <c r="V113" s="6"/>
      <c r="W113" s="6"/>
      <c r="X113" s="6"/>
      <c r="Y113" s="6"/>
      <c r="Z113" s="6"/>
      <c r="AA113" s="20"/>
      <c r="AB113" s="40"/>
    </row>
    <row r="114" spans="1:28" ht="15" customHeight="1" x14ac:dyDescent="0.25">
      <c r="A114" s="41"/>
      <c r="B114" s="12"/>
      <c r="C114" s="6"/>
      <c r="D114" s="6"/>
      <c r="E114" s="7" t="s">
        <v>8</v>
      </c>
      <c r="F114" s="8" t="str">
        <f>IFERROR(AVERAGE(F112:Y112),"Очікую")</f>
        <v>Очікую</v>
      </c>
      <c r="G114" s="6"/>
      <c r="H114" s="6"/>
      <c r="I114" s="6"/>
      <c r="J114" s="6"/>
      <c r="K114" s="6"/>
      <c r="L114" s="6"/>
      <c r="M114" s="6"/>
      <c r="N114" s="6"/>
      <c r="O114" s="6"/>
      <c r="P114" s="6"/>
      <c r="Q114" s="6"/>
      <c r="R114" s="6"/>
      <c r="S114" s="6"/>
      <c r="T114" s="6"/>
      <c r="U114" s="6"/>
      <c r="V114" s="6"/>
      <c r="W114" s="6"/>
      <c r="X114" s="6"/>
      <c r="Y114" s="6"/>
      <c r="Z114" s="6"/>
      <c r="AA114" s="20"/>
      <c r="AB114" s="40"/>
    </row>
    <row r="115" spans="1:28" ht="15" customHeight="1" x14ac:dyDescent="0.25">
      <c r="A115" s="41"/>
      <c r="B115" s="12"/>
      <c r="C115" s="6"/>
      <c r="D115" s="6"/>
      <c r="E115" s="7" t="s">
        <v>9</v>
      </c>
      <c r="F115" s="5" t="str">
        <f>IF(COUNTIF(C10:C109,"=Б")=0,IF(COUNTIF(C10:C109,"=К")=0,"Очікую",0),COUNTIF(C10:C109,"=Б"))</f>
        <v>Очікую</v>
      </c>
      <c r="G115" s="6"/>
      <c r="H115" s="6"/>
      <c r="I115" s="6"/>
      <c r="J115" s="6"/>
      <c r="K115" s="6"/>
      <c r="L115" s="6"/>
      <c r="M115" s="6"/>
      <c r="N115" s="6"/>
      <c r="O115" s="6"/>
      <c r="P115" s="6"/>
      <c r="Q115" s="6"/>
      <c r="R115" s="6"/>
      <c r="S115" s="6"/>
      <c r="T115" s="6"/>
      <c r="U115" s="6"/>
      <c r="V115" s="6"/>
      <c r="W115" s="60"/>
      <c r="X115" s="60"/>
      <c r="Y115" s="60"/>
      <c r="Z115" s="60"/>
      <c r="AA115" s="20"/>
      <c r="AB115" s="40"/>
    </row>
    <row r="116" spans="1:28" ht="15" customHeight="1" x14ac:dyDescent="0.3">
      <c r="A116" s="41"/>
      <c r="B116" s="12"/>
      <c r="C116" s="6"/>
      <c r="D116" s="6"/>
      <c r="E116" s="7" t="s">
        <v>10</v>
      </c>
      <c r="F116" s="5" t="str">
        <f>IF(COUNTIF(C10:C109,"=К")=0,IF(COUNTIF(C10:C109,"=Б")=0,"Очікую",0),COUNTIF(C10:C109,"=К"))</f>
        <v>Очікую</v>
      </c>
      <c r="G116" s="6"/>
      <c r="H116" s="63" t="s">
        <v>11</v>
      </c>
      <c r="I116" s="6"/>
      <c r="J116" s="6"/>
      <c r="K116" s="6"/>
      <c r="L116" s="6"/>
      <c r="M116" s="6"/>
      <c r="N116" s="63"/>
      <c r="O116" s="63"/>
      <c r="P116" s="63"/>
      <c r="Q116" s="63"/>
      <c r="R116" s="6"/>
      <c r="S116" s="6"/>
      <c r="T116" s="6"/>
      <c r="U116" s="64"/>
      <c r="V116" s="62"/>
      <c r="W116" s="62"/>
      <c r="X116" s="62"/>
      <c r="Y116" s="62"/>
      <c r="Z116" s="62"/>
      <c r="AA116" s="20"/>
      <c r="AB116" s="40"/>
    </row>
    <row r="117" spans="1:28" ht="15" customHeight="1" x14ac:dyDescent="0.25">
      <c r="A117" s="41"/>
      <c r="B117" s="12"/>
      <c r="C117" s="6"/>
      <c r="D117" s="6"/>
      <c r="E117" s="7" t="s">
        <v>12</v>
      </c>
      <c r="F117" s="4"/>
      <c r="G117" s="6"/>
      <c r="H117" s="63"/>
      <c r="I117" s="6"/>
      <c r="J117" s="6"/>
      <c r="K117" s="6"/>
      <c r="L117" s="6"/>
      <c r="M117" s="6"/>
      <c r="N117" s="63"/>
      <c r="O117" s="63"/>
      <c r="P117" s="63"/>
      <c r="Q117" s="63"/>
      <c r="R117" s="6"/>
      <c r="S117" s="6"/>
      <c r="T117" s="6"/>
      <c r="U117" s="64"/>
      <c r="V117" s="60"/>
      <c r="W117" s="60"/>
      <c r="X117" s="60"/>
      <c r="Y117" s="60"/>
      <c r="Z117" s="60"/>
      <c r="AA117" s="20"/>
      <c r="AB117" s="40"/>
    </row>
    <row r="118" spans="1:28" ht="15" customHeight="1" x14ac:dyDescent="0.3">
      <c r="A118" s="41"/>
      <c r="B118" s="12"/>
      <c r="C118" s="6"/>
      <c r="D118" s="6"/>
      <c r="E118" s="7" t="s">
        <v>13</v>
      </c>
      <c r="F118" s="5" t="str">
        <f>IF(F115="Очікую","Очікую",IF(F115-COUNTIF(Z10:Z109," - ")&lt;ROUNDDOWN(F115*0.4,0),F115-COUNTIF(Z10:Z109," - "),ROUNDDOWN(F115*0.4,0)))</f>
        <v>Очікую</v>
      </c>
      <c r="G118" s="6"/>
      <c r="H118" s="64" t="s">
        <v>14</v>
      </c>
      <c r="I118" s="6"/>
      <c r="J118" s="6"/>
      <c r="K118" s="6"/>
      <c r="L118" s="6"/>
      <c r="M118" s="6"/>
      <c r="N118" s="64"/>
      <c r="O118" s="64"/>
      <c r="P118" s="64"/>
      <c r="Q118" s="64"/>
      <c r="R118" s="6"/>
      <c r="S118" s="6"/>
      <c r="T118" s="6"/>
      <c r="U118" s="64"/>
      <c r="V118" s="62"/>
      <c r="W118" s="62"/>
      <c r="X118" s="62"/>
      <c r="Y118" s="62"/>
      <c r="Z118" s="62"/>
      <c r="AA118" s="20"/>
      <c r="AB118" s="40"/>
    </row>
    <row r="119" spans="1:28" ht="12" customHeight="1" thickBot="1" x14ac:dyDescent="0.3">
      <c r="A119" s="41"/>
      <c r="B119" s="21"/>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5"/>
      <c r="AB119" s="40"/>
    </row>
    <row r="120" spans="1:28" ht="12" customHeight="1" x14ac:dyDescent="0.25">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c r="AA120" s="39"/>
      <c r="AB120" s="40"/>
    </row>
  </sheetData>
  <sheetProtection insertRows="0" deleteRows="0"/>
  <mergeCells count="10">
    <mergeCell ref="C8:C9"/>
    <mergeCell ref="D8:D9"/>
    <mergeCell ref="E8:E9"/>
    <mergeCell ref="F8:Y8"/>
    <mergeCell ref="Z8:Z9"/>
    <mergeCell ref="C3:Z3"/>
    <mergeCell ref="C4:Z4"/>
    <mergeCell ref="C5:Z5"/>
    <mergeCell ref="C6:Z6"/>
    <mergeCell ref="C7:Z7"/>
  </mergeCells>
  <printOptions horizontalCentered="1"/>
  <pageMargins left="0.19685039370078741" right="0.19685039370078741" top="0.19685039370078741" bottom="0.19685039370078741" header="0" footer="0"/>
  <pageSetup paperSize="9" scale="3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70C0"/>
    <pageSetUpPr fitToPage="1"/>
  </sheetPr>
  <dimension ref="A1:BP120"/>
  <sheetViews>
    <sheetView zoomScaleNormal="100" workbookViewId="0"/>
  </sheetViews>
  <sheetFormatPr defaultColWidth="0" defaultRowHeight="0" customHeight="1" zeroHeight="1" x14ac:dyDescent="0.25"/>
  <cols>
    <col min="1" max="2" width="2.7109375" style="1" customWidth="1"/>
    <col min="3" max="3" width="4.140625" style="1" customWidth="1"/>
    <col min="4" max="4" width="6.5703125" style="1" customWidth="1"/>
    <col min="5" max="5" width="40.42578125" style="1" customWidth="1"/>
    <col min="6" max="25" width="6.7109375" style="1" customWidth="1"/>
    <col min="26" max="26" width="11.28515625" style="1" customWidth="1"/>
    <col min="27" max="28" width="2.7109375" style="1" customWidth="1"/>
    <col min="29" max="34" width="14.42578125" style="1" hidden="1" customWidth="1"/>
    <col min="35" max="35" width="14.85546875" style="1" hidden="1" customWidth="1"/>
    <col min="36" max="49" width="3.7109375" style="1" hidden="1" customWidth="1"/>
    <col min="50" max="68" width="5.7109375" style="1" hidden="1" customWidth="1"/>
    <col min="69" max="16384" width="14.42578125" style="1" hidden="1"/>
  </cols>
  <sheetData>
    <row r="1" spans="1:28" ht="12" customHeight="1" thickBot="1" x14ac:dyDescent="0.3">
      <c r="A1" s="38" t="s">
        <v>18</v>
      </c>
      <c r="B1" s="39"/>
      <c r="C1" s="39"/>
      <c r="D1" s="39"/>
      <c r="E1" s="39"/>
      <c r="F1" s="39"/>
      <c r="G1" s="39"/>
      <c r="H1" s="39"/>
      <c r="I1" s="39"/>
      <c r="J1" s="39"/>
      <c r="K1" s="39"/>
      <c r="L1" s="39"/>
      <c r="M1" s="39"/>
      <c r="N1" s="39"/>
      <c r="O1" s="39"/>
      <c r="P1" s="39"/>
      <c r="Q1" s="39"/>
      <c r="R1" s="39"/>
      <c r="S1" s="39"/>
      <c r="T1" s="39"/>
      <c r="U1" s="39"/>
      <c r="V1" s="39"/>
      <c r="W1" s="39"/>
      <c r="X1" s="39"/>
      <c r="Y1" s="39"/>
      <c r="Z1" s="39"/>
      <c r="AA1" s="39"/>
      <c r="AB1" s="39"/>
    </row>
    <row r="2" spans="1:28" ht="12" customHeight="1" x14ac:dyDescent="0.25">
      <c r="A2" s="41"/>
      <c r="B2" s="17"/>
      <c r="C2" s="18"/>
      <c r="D2" s="18"/>
      <c r="E2" s="18"/>
      <c r="F2" s="18"/>
      <c r="G2" s="18"/>
      <c r="H2" s="18"/>
      <c r="I2" s="18"/>
      <c r="J2" s="18"/>
      <c r="K2" s="18"/>
      <c r="L2" s="18"/>
      <c r="M2" s="18"/>
      <c r="N2" s="18"/>
      <c r="O2" s="18"/>
      <c r="P2" s="18"/>
      <c r="Q2" s="18"/>
      <c r="R2" s="18"/>
      <c r="S2" s="18"/>
      <c r="T2" s="18"/>
      <c r="U2" s="18"/>
      <c r="V2" s="18"/>
      <c r="W2" s="18"/>
      <c r="X2" s="18"/>
      <c r="Y2" s="18"/>
      <c r="Z2" s="18"/>
      <c r="AA2" s="19"/>
      <c r="AB2" s="40"/>
    </row>
    <row r="3" spans="1:28" s="2" customFormat="1" ht="54.95" customHeight="1" x14ac:dyDescent="0.3">
      <c r="A3" s="41"/>
      <c r="B3" s="12"/>
      <c r="C3" s="70" t="s">
        <v>19</v>
      </c>
      <c r="D3" s="70"/>
      <c r="E3" s="70"/>
      <c r="F3" s="70"/>
      <c r="G3" s="70"/>
      <c r="H3" s="70"/>
      <c r="I3" s="70"/>
      <c r="J3" s="70"/>
      <c r="K3" s="70"/>
      <c r="L3" s="70"/>
      <c r="M3" s="70"/>
      <c r="N3" s="70"/>
      <c r="O3" s="70"/>
      <c r="P3" s="70"/>
      <c r="Q3" s="70"/>
      <c r="R3" s="70"/>
      <c r="S3" s="70"/>
      <c r="T3" s="70"/>
      <c r="U3" s="70"/>
      <c r="V3" s="70"/>
      <c r="W3" s="70"/>
      <c r="X3" s="70"/>
      <c r="Y3" s="70"/>
      <c r="Z3" s="70"/>
      <c r="AA3" s="20"/>
      <c r="AB3" s="40"/>
    </row>
    <row r="4" spans="1:28" s="3" customFormat="1" ht="15" customHeight="1" x14ac:dyDescent="0.25">
      <c r="A4" s="41"/>
      <c r="B4" s="12"/>
      <c r="C4" s="71" t="s">
        <v>16</v>
      </c>
      <c r="D4" s="71"/>
      <c r="E4" s="71"/>
      <c r="F4" s="71"/>
      <c r="G4" s="71"/>
      <c r="H4" s="71"/>
      <c r="I4" s="71"/>
      <c r="J4" s="71"/>
      <c r="K4" s="71"/>
      <c r="L4" s="71"/>
      <c r="M4" s="71"/>
      <c r="N4" s="71"/>
      <c r="O4" s="71"/>
      <c r="P4" s="71"/>
      <c r="Q4" s="71"/>
      <c r="R4" s="71"/>
      <c r="S4" s="71"/>
      <c r="T4" s="71"/>
      <c r="U4" s="71"/>
      <c r="V4" s="71"/>
      <c r="W4" s="71"/>
      <c r="X4" s="71"/>
      <c r="Y4" s="71"/>
      <c r="Z4" s="71"/>
      <c r="AA4" s="20"/>
      <c r="AB4" s="40"/>
    </row>
    <row r="5" spans="1:28" s="2" customFormat="1" ht="15" customHeight="1" x14ac:dyDescent="0.25">
      <c r="A5" s="41"/>
      <c r="B5" s="12"/>
      <c r="C5" s="72" t="s">
        <v>20</v>
      </c>
      <c r="D5" s="72"/>
      <c r="E5" s="72"/>
      <c r="F5" s="72"/>
      <c r="G5" s="72"/>
      <c r="H5" s="72"/>
      <c r="I5" s="72"/>
      <c r="J5" s="72"/>
      <c r="K5" s="72"/>
      <c r="L5" s="72"/>
      <c r="M5" s="72"/>
      <c r="N5" s="72"/>
      <c r="O5" s="72"/>
      <c r="P5" s="72"/>
      <c r="Q5" s="72"/>
      <c r="R5" s="72"/>
      <c r="S5" s="72"/>
      <c r="T5" s="72"/>
      <c r="U5" s="72"/>
      <c r="V5" s="72"/>
      <c r="W5" s="72"/>
      <c r="X5" s="72"/>
      <c r="Y5" s="72"/>
      <c r="Z5" s="72"/>
      <c r="AA5" s="20"/>
      <c r="AB5" s="40"/>
    </row>
    <row r="6" spans="1:28" s="2" customFormat="1" ht="15" customHeight="1" x14ac:dyDescent="0.25">
      <c r="A6" s="41"/>
      <c r="B6" s="12"/>
      <c r="C6" s="72" t="s">
        <v>22</v>
      </c>
      <c r="D6" s="72"/>
      <c r="E6" s="72"/>
      <c r="F6" s="72"/>
      <c r="G6" s="72"/>
      <c r="H6" s="72"/>
      <c r="I6" s="72"/>
      <c r="J6" s="72"/>
      <c r="K6" s="72"/>
      <c r="L6" s="72"/>
      <c r="M6" s="72"/>
      <c r="N6" s="72"/>
      <c r="O6" s="72"/>
      <c r="P6" s="72"/>
      <c r="Q6" s="72"/>
      <c r="R6" s="72"/>
      <c r="S6" s="72"/>
      <c r="T6" s="72"/>
      <c r="U6" s="72"/>
      <c r="V6" s="72"/>
      <c r="W6" s="72"/>
      <c r="X6" s="72"/>
      <c r="Y6" s="72"/>
      <c r="Z6" s="72"/>
      <c r="AA6" s="20"/>
      <c r="AB6" s="40"/>
    </row>
    <row r="7" spans="1:28" s="2" customFormat="1" ht="15" customHeight="1" x14ac:dyDescent="0.25">
      <c r="A7" s="41"/>
      <c r="B7" s="12"/>
      <c r="C7" s="73" t="s">
        <v>21</v>
      </c>
      <c r="D7" s="73"/>
      <c r="E7" s="73"/>
      <c r="F7" s="73"/>
      <c r="G7" s="73"/>
      <c r="H7" s="73"/>
      <c r="I7" s="73"/>
      <c r="J7" s="73"/>
      <c r="K7" s="73"/>
      <c r="L7" s="73"/>
      <c r="M7" s="73"/>
      <c r="N7" s="73"/>
      <c r="O7" s="73"/>
      <c r="P7" s="73"/>
      <c r="Q7" s="73"/>
      <c r="R7" s="73"/>
      <c r="S7" s="73"/>
      <c r="T7" s="73"/>
      <c r="U7" s="73"/>
      <c r="V7" s="73"/>
      <c r="W7" s="73"/>
      <c r="X7" s="73"/>
      <c r="Y7" s="73"/>
      <c r="Z7" s="73"/>
      <c r="AA7" s="20"/>
      <c r="AB7" s="40"/>
    </row>
    <row r="8" spans="1:28" ht="15" customHeight="1" x14ac:dyDescent="0.25">
      <c r="A8" s="41"/>
      <c r="B8" s="12"/>
      <c r="C8" s="74" t="s">
        <v>0</v>
      </c>
      <c r="D8" s="76" t="s">
        <v>1</v>
      </c>
      <c r="E8" s="76" t="s">
        <v>2</v>
      </c>
      <c r="F8" s="77" t="s">
        <v>17</v>
      </c>
      <c r="G8" s="78"/>
      <c r="H8" s="78"/>
      <c r="I8" s="78"/>
      <c r="J8" s="78"/>
      <c r="K8" s="78"/>
      <c r="L8" s="78"/>
      <c r="M8" s="78"/>
      <c r="N8" s="78"/>
      <c r="O8" s="78"/>
      <c r="P8" s="78"/>
      <c r="Q8" s="78"/>
      <c r="R8" s="78"/>
      <c r="S8" s="78"/>
      <c r="T8" s="78"/>
      <c r="U8" s="78"/>
      <c r="V8" s="78"/>
      <c r="W8" s="78"/>
      <c r="X8" s="78"/>
      <c r="Y8" s="79"/>
      <c r="Z8" s="80" t="s">
        <v>3</v>
      </c>
      <c r="AA8" s="20"/>
      <c r="AB8" s="40"/>
    </row>
    <row r="9" spans="1:28" ht="125.1" customHeight="1" x14ac:dyDescent="0.25">
      <c r="A9" s="41"/>
      <c r="B9" s="12"/>
      <c r="C9" s="75"/>
      <c r="D9" s="75"/>
      <c r="E9" s="75"/>
      <c r="F9" s="13">
        <v>1</v>
      </c>
      <c r="G9" s="13">
        <v>2</v>
      </c>
      <c r="H9" s="13">
        <v>3</v>
      </c>
      <c r="I9" s="13">
        <v>4</v>
      </c>
      <c r="J9" s="13">
        <v>5</v>
      </c>
      <c r="K9" s="13">
        <v>6</v>
      </c>
      <c r="L9" s="13">
        <v>7</v>
      </c>
      <c r="M9" s="13">
        <v>8</v>
      </c>
      <c r="N9" s="13">
        <v>9</v>
      </c>
      <c r="O9" s="13">
        <v>10</v>
      </c>
      <c r="P9" s="13">
        <v>11</v>
      </c>
      <c r="Q9" s="13">
        <v>12</v>
      </c>
      <c r="R9" s="13">
        <v>13</v>
      </c>
      <c r="S9" s="13">
        <v>14</v>
      </c>
      <c r="T9" s="13">
        <v>15</v>
      </c>
      <c r="U9" s="13">
        <v>16</v>
      </c>
      <c r="V9" s="13">
        <v>17</v>
      </c>
      <c r="W9" s="13">
        <v>18</v>
      </c>
      <c r="X9" s="13">
        <v>19</v>
      </c>
      <c r="Y9" s="13">
        <v>20</v>
      </c>
      <c r="Z9" s="81"/>
      <c r="AA9" s="20"/>
      <c r="AB9" s="40"/>
    </row>
    <row r="10" spans="1:28" s="11" customFormat="1" ht="15" customHeight="1" x14ac:dyDescent="0.25">
      <c r="A10" s="41"/>
      <c r="B10" s="12"/>
      <c r="C10" s="48"/>
      <c r="D10" s="48">
        <v>1</v>
      </c>
      <c r="E10" s="49"/>
      <c r="F10" s="50"/>
      <c r="G10" s="50"/>
      <c r="H10" s="50"/>
      <c r="I10" s="50"/>
      <c r="J10" s="50"/>
      <c r="K10" s="50"/>
      <c r="L10" s="50"/>
      <c r="M10" s="50"/>
      <c r="N10" s="50"/>
      <c r="O10" s="50"/>
      <c r="P10" s="50"/>
      <c r="Q10" s="50"/>
      <c r="R10" s="50"/>
      <c r="S10" s="50"/>
      <c r="T10" s="50"/>
      <c r="U10" s="50"/>
      <c r="V10" s="50"/>
      <c r="W10" s="50"/>
      <c r="X10" s="50"/>
      <c r="Y10" s="50"/>
      <c r="Z10" s="43" t="str">
        <f>IF(COUNTIF(F10:Y10,"=*")&gt;0,IF($C10="К","-"," - "),IF(COUNTIF(F10:Y10,"&lt;4")&gt;0,IF(C10="К","-"," - "),(IFERROR(AVERAGE(F10:Y10),"Очікую"))))</f>
        <v>Очікую</v>
      </c>
      <c r="AA10" s="22"/>
      <c r="AB10" s="40"/>
    </row>
    <row r="11" spans="1:28" s="11" customFormat="1" ht="15" customHeight="1" x14ac:dyDescent="0.25">
      <c r="A11" s="41"/>
      <c r="B11" s="12"/>
      <c r="C11" s="48"/>
      <c r="D11" s="48">
        <v>2</v>
      </c>
      <c r="E11" s="49"/>
      <c r="F11" s="50"/>
      <c r="G11" s="50"/>
      <c r="H11" s="50"/>
      <c r="I11" s="50"/>
      <c r="J11" s="50"/>
      <c r="K11" s="50"/>
      <c r="L11" s="50"/>
      <c r="M11" s="50"/>
      <c r="N11" s="50"/>
      <c r="O11" s="50"/>
      <c r="P11" s="50"/>
      <c r="Q11" s="50"/>
      <c r="R11" s="50"/>
      <c r="S11" s="50"/>
      <c r="T11" s="50"/>
      <c r="U11" s="50"/>
      <c r="V11" s="50"/>
      <c r="W11" s="50"/>
      <c r="X11" s="50"/>
      <c r="Y11" s="50"/>
      <c r="Z11" s="43" t="str">
        <f t="shared" ref="Z11:Z74" si="0">IF(COUNTIF(F11:Y11,"=*")&gt;0,IF($C11="К","-"," - "),IF(COUNTIF(F11:Y11,"&lt;4")&gt;0,IF(C11="К","-"," - "),(IFERROR(AVERAGE(F11:Y11),"Очікую"))))</f>
        <v>Очікую</v>
      </c>
      <c r="AA11" s="22"/>
      <c r="AB11" s="40"/>
    </row>
    <row r="12" spans="1:28" s="11" customFormat="1" ht="15" customHeight="1" x14ac:dyDescent="0.25">
      <c r="A12" s="41"/>
      <c r="B12" s="12"/>
      <c r="C12" s="48"/>
      <c r="D12" s="48">
        <v>3</v>
      </c>
      <c r="E12" s="49"/>
      <c r="F12" s="50"/>
      <c r="G12" s="50"/>
      <c r="H12" s="50"/>
      <c r="I12" s="50"/>
      <c r="J12" s="50"/>
      <c r="K12" s="50"/>
      <c r="L12" s="50"/>
      <c r="M12" s="50"/>
      <c r="N12" s="50"/>
      <c r="O12" s="50"/>
      <c r="P12" s="50"/>
      <c r="Q12" s="50"/>
      <c r="R12" s="50"/>
      <c r="S12" s="50"/>
      <c r="T12" s="50"/>
      <c r="U12" s="50"/>
      <c r="V12" s="50"/>
      <c r="W12" s="50"/>
      <c r="X12" s="50"/>
      <c r="Y12" s="50"/>
      <c r="Z12" s="43" t="str">
        <f t="shared" si="0"/>
        <v>Очікую</v>
      </c>
      <c r="AA12" s="22"/>
      <c r="AB12" s="40"/>
    </row>
    <row r="13" spans="1:28" s="11" customFormat="1" ht="15" customHeight="1" x14ac:dyDescent="0.25">
      <c r="A13" s="41"/>
      <c r="B13" s="12"/>
      <c r="C13" s="48"/>
      <c r="D13" s="48">
        <v>4</v>
      </c>
      <c r="E13" s="49"/>
      <c r="F13" s="50"/>
      <c r="G13" s="50"/>
      <c r="H13" s="50"/>
      <c r="I13" s="50"/>
      <c r="J13" s="50"/>
      <c r="K13" s="50"/>
      <c r="L13" s="50"/>
      <c r="M13" s="50"/>
      <c r="N13" s="50"/>
      <c r="O13" s="50"/>
      <c r="P13" s="50"/>
      <c r="Q13" s="50"/>
      <c r="R13" s="50"/>
      <c r="S13" s="50"/>
      <c r="T13" s="50"/>
      <c r="U13" s="50"/>
      <c r="V13" s="50"/>
      <c r="W13" s="50"/>
      <c r="X13" s="50"/>
      <c r="Y13" s="50"/>
      <c r="Z13" s="43" t="str">
        <f t="shared" si="0"/>
        <v>Очікую</v>
      </c>
      <c r="AA13" s="22"/>
      <c r="AB13" s="40"/>
    </row>
    <row r="14" spans="1:28" s="11" customFormat="1" ht="15" customHeight="1" x14ac:dyDescent="0.25">
      <c r="A14" s="41"/>
      <c r="B14" s="12"/>
      <c r="C14" s="48"/>
      <c r="D14" s="48">
        <v>5</v>
      </c>
      <c r="E14" s="49"/>
      <c r="F14" s="50"/>
      <c r="G14" s="50"/>
      <c r="H14" s="50"/>
      <c r="I14" s="50"/>
      <c r="J14" s="50"/>
      <c r="K14" s="50"/>
      <c r="L14" s="50"/>
      <c r="M14" s="50"/>
      <c r="N14" s="50"/>
      <c r="O14" s="50"/>
      <c r="P14" s="50"/>
      <c r="Q14" s="50"/>
      <c r="R14" s="50"/>
      <c r="S14" s="50"/>
      <c r="T14" s="50"/>
      <c r="U14" s="50"/>
      <c r="V14" s="50"/>
      <c r="W14" s="50"/>
      <c r="X14" s="50"/>
      <c r="Y14" s="50"/>
      <c r="Z14" s="43" t="str">
        <f t="shared" si="0"/>
        <v>Очікую</v>
      </c>
      <c r="AA14" s="22"/>
      <c r="AB14" s="40"/>
    </row>
    <row r="15" spans="1:28" s="11" customFormat="1" ht="15" customHeight="1" x14ac:dyDescent="0.25">
      <c r="A15" s="41"/>
      <c r="B15" s="12"/>
      <c r="C15" s="48"/>
      <c r="D15" s="48">
        <v>6</v>
      </c>
      <c r="E15" s="49"/>
      <c r="F15" s="50"/>
      <c r="G15" s="50"/>
      <c r="H15" s="50"/>
      <c r="I15" s="50"/>
      <c r="J15" s="50"/>
      <c r="K15" s="50"/>
      <c r="L15" s="50"/>
      <c r="M15" s="50"/>
      <c r="N15" s="50"/>
      <c r="O15" s="50"/>
      <c r="P15" s="50"/>
      <c r="Q15" s="50"/>
      <c r="R15" s="50"/>
      <c r="S15" s="50"/>
      <c r="T15" s="50"/>
      <c r="U15" s="50"/>
      <c r="V15" s="50"/>
      <c r="W15" s="50"/>
      <c r="X15" s="50"/>
      <c r="Y15" s="50"/>
      <c r="Z15" s="43" t="str">
        <f t="shared" si="0"/>
        <v>Очікую</v>
      </c>
      <c r="AA15" s="22"/>
      <c r="AB15" s="40"/>
    </row>
    <row r="16" spans="1:28" s="11" customFormat="1" ht="15" customHeight="1" x14ac:dyDescent="0.25">
      <c r="A16" s="41"/>
      <c r="B16" s="12"/>
      <c r="C16" s="48"/>
      <c r="D16" s="48">
        <v>7</v>
      </c>
      <c r="E16" s="49"/>
      <c r="F16" s="50"/>
      <c r="G16" s="50"/>
      <c r="H16" s="50"/>
      <c r="I16" s="50"/>
      <c r="J16" s="50"/>
      <c r="K16" s="50"/>
      <c r="L16" s="50"/>
      <c r="M16" s="50"/>
      <c r="N16" s="50"/>
      <c r="O16" s="50"/>
      <c r="P16" s="50"/>
      <c r="Q16" s="50"/>
      <c r="R16" s="50"/>
      <c r="S16" s="50"/>
      <c r="T16" s="50"/>
      <c r="U16" s="50"/>
      <c r="V16" s="50"/>
      <c r="W16" s="50"/>
      <c r="X16" s="50"/>
      <c r="Y16" s="50"/>
      <c r="Z16" s="43" t="str">
        <f t="shared" si="0"/>
        <v>Очікую</v>
      </c>
      <c r="AA16" s="22"/>
      <c r="AB16" s="40"/>
    </row>
    <row r="17" spans="1:28" s="11" customFormat="1" ht="15" customHeight="1" x14ac:dyDescent="0.25">
      <c r="A17" s="41"/>
      <c r="B17" s="12"/>
      <c r="C17" s="48"/>
      <c r="D17" s="48">
        <v>8</v>
      </c>
      <c r="E17" s="49"/>
      <c r="F17" s="50"/>
      <c r="G17" s="50"/>
      <c r="H17" s="50"/>
      <c r="I17" s="50"/>
      <c r="J17" s="50"/>
      <c r="K17" s="50"/>
      <c r="L17" s="50"/>
      <c r="M17" s="50"/>
      <c r="N17" s="50"/>
      <c r="O17" s="50"/>
      <c r="P17" s="50"/>
      <c r="Q17" s="50"/>
      <c r="R17" s="50"/>
      <c r="S17" s="50"/>
      <c r="T17" s="50"/>
      <c r="U17" s="50"/>
      <c r="V17" s="50"/>
      <c r="W17" s="50"/>
      <c r="X17" s="50"/>
      <c r="Y17" s="50"/>
      <c r="Z17" s="43" t="str">
        <f t="shared" si="0"/>
        <v>Очікую</v>
      </c>
      <c r="AA17" s="22"/>
      <c r="AB17" s="40"/>
    </row>
    <row r="18" spans="1:28" s="11" customFormat="1" ht="15" customHeight="1" x14ac:dyDescent="0.25">
      <c r="A18" s="41"/>
      <c r="B18" s="12"/>
      <c r="C18" s="48"/>
      <c r="D18" s="48">
        <v>9</v>
      </c>
      <c r="E18" s="49"/>
      <c r="F18" s="50"/>
      <c r="G18" s="50"/>
      <c r="H18" s="50"/>
      <c r="I18" s="50"/>
      <c r="J18" s="50"/>
      <c r="K18" s="50"/>
      <c r="L18" s="50"/>
      <c r="M18" s="50"/>
      <c r="N18" s="50"/>
      <c r="O18" s="50"/>
      <c r="P18" s="50"/>
      <c r="Q18" s="50"/>
      <c r="R18" s="50"/>
      <c r="S18" s="50"/>
      <c r="T18" s="50"/>
      <c r="U18" s="50"/>
      <c r="V18" s="50"/>
      <c r="W18" s="50"/>
      <c r="X18" s="50"/>
      <c r="Y18" s="50"/>
      <c r="Z18" s="43" t="str">
        <f t="shared" si="0"/>
        <v>Очікую</v>
      </c>
      <c r="AA18" s="22"/>
      <c r="AB18" s="40"/>
    </row>
    <row r="19" spans="1:28" s="11" customFormat="1" ht="15" customHeight="1" x14ac:dyDescent="0.25">
      <c r="A19" s="41"/>
      <c r="B19" s="12"/>
      <c r="C19" s="48"/>
      <c r="D19" s="48">
        <v>10</v>
      </c>
      <c r="E19" s="49"/>
      <c r="F19" s="50"/>
      <c r="G19" s="50"/>
      <c r="H19" s="50"/>
      <c r="I19" s="50"/>
      <c r="J19" s="50"/>
      <c r="K19" s="50"/>
      <c r="L19" s="50"/>
      <c r="M19" s="50"/>
      <c r="N19" s="50"/>
      <c r="O19" s="50"/>
      <c r="P19" s="50"/>
      <c r="Q19" s="50"/>
      <c r="R19" s="50"/>
      <c r="S19" s="50"/>
      <c r="T19" s="50"/>
      <c r="U19" s="50"/>
      <c r="V19" s="50"/>
      <c r="W19" s="50"/>
      <c r="X19" s="50"/>
      <c r="Y19" s="50"/>
      <c r="Z19" s="43" t="str">
        <f t="shared" si="0"/>
        <v>Очікую</v>
      </c>
      <c r="AA19" s="22"/>
      <c r="AB19" s="40"/>
    </row>
    <row r="20" spans="1:28" s="11" customFormat="1" ht="15" customHeight="1" x14ac:dyDescent="0.25">
      <c r="A20" s="41"/>
      <c r="B20" s="12"/>
      <c r="C20" s="48"/>
      <c r="D20" s="48">
        <v>11</v>
      </c>
      <c r="E20" s="49"/>
      <c r="F20" s="50"/>
      <c r="G20" s="50"/>
      <c r="H20" s="50"/>
      <c r="I20" s="50"/>
      <c r="J20" s="50"/>
      <c r="K20" s="50"/>
      <c r="L20" s="50"/>
      <c r="M20" s="50"/>
      <c r="N20" s="50"/>
      <c r="O20" s="50"/>
      <c r="P20" s="50"/>
      <c r="Q20" s="50"/>
      <c r="R20" s="50"/>
      <c r="S20" s="50"/>
      <c r="T20" s="50"/>
      <c r="U20" s="50"/>
      <c r="V20" s="50"/>
      <c r="W20" s="50"/>
      <c r="X20" s="50"/>
      <c r="Y20" s="50"/>
      <c r="Z20" s="43" t="str">
        <f t="shared" si="0"/>
        <v>Очікую</v>
      </c>
      <c r="AA20" s="22"/>
      <c r="AB20" s="40"/>
    </row>
    <row r="21" spans="1:28" s="11" customFormat="1" ht="15" customHeight="1" x14ac:dyDescent="0.25">
      <c r="A21" s="41"/>
      <c r="B21" s="12"/>
      <c r="C21" s="48"/>
      <c r="D21" s="48">
        <v>12</v>
      </c>
      <c r="E21" s="49"/>
      <c r="F21" s="50"/>
      <c r="G21" s="50"/>
      <c r="H21" s="50"/>
      <c r="I21" s="50"/>
      <c r="J21" s="50"/>
      <c r="K21" s="50"/>
      <c r="L21" s="50"/>
      <c r="M21" s="50"/>
      <c r="N21" s="50"/>
      <c r="O21" s="50"/>
      <c r="P21" s="50"/>
      <c r="Q21" s="50"/>
      <c r="R21" s="50"/>
      <c r="S21" s="50"/>
      <c r="T21" s="50"/>
      <c r="U21" s="50"/>
      <c r="V21" s="50"/>
      <c r="W21" s="50"/>
      <c r="X21" s="50"/>
      <c r="Y21" s="50"/>
      <c r="Z21" s="43" t="str">
        <f t="shared" si="0"/>
        <v>Очікую</v>
      </c>
      <c r="AA21" s="22"/>
      <c r="AB21" s="40"/>
    </row>
    <row r="22" spans="1:28" s="11" customFormat="1" ht="15" customHeight="1" x14ac:dyDescent="0.25">
      <c r="A22" s="41"/>
      <c r="B22" s="12"/>
      <c r="C22" s="48"/>
      <c r="D22" s="48">
        <v>13</v>
      </c>
      <c r="E22" s="49"/>
      <c r="F22" s="50"/>
      <c r="G22" s="50"/>
      <c r="H22" s="50"/>
      <c r="I22" s="50"/>
      <c r="J22" s="50"/>
      <c r="K22" s="50"/>
      <c r="L22" s="50"/>
      <c r="M22" s="50"/>
      <c r="N22" s="50"/>
      <c r="O22" s="50"/>
      <c r="P22" s="50"/>
      <c r="Q22" s="50"/>
      <c r="R22" s="50"/>
      <c r="S22" s="50"/>
      <c r="T22" s="50"/>
      <c r="U22" s="50"/>
      <c r="V22" s="50"/>
      <c r="W22" s="50"/>
      <c r="X22" s="50"/>
      <c r="Y22" s="50"/>
      <c r="Z22" s="43" t="str">
        <f t="shared" si="0"/>
        <v>Очікую</v>
      </c>
      <c r="AA22" s="22"/>
      <c r="AB22" s="40"/>
    </row>
    <row r="23" spans="1:28" s="11" customFormat="1" ht="15" customHeight="1" x14ac:dyDescent="0.25">
      <c r="A23" s="41"/>
      <c r="B23" s="12"/>
      <c r="C23" s="48"/>
      <c r="D23" s="48">
        <v>14</v>
      </c>
      <c r="E23" s="49"/>
      <c r="F23" s="50"/>
      <c r="G23" s="50"/>
      <c r="H23" s="50"/>
      <c r="I23" s="50"/>
      <c r="J23" s="50"/>
      <c r="K23" s="50"/>
      <c r="L23" s="50"/>
      <c r="M23" s="50"/>
      <c r="N23" s="50"/>
      <c r="O23" s="50"/>
      <c r="P23" s="50"/>
      <c r="Q23" s="50"/>
      <c r="R23" s="50"/>
      <c r="S23" s="50"/>
      <c r="T23" s="50"/>
      <c r="U23" s="50"/>
      <c r="V23" s="50"/>
      <c r="W23" s="50"/>
      <c r="X23" s="50"/>
      <c r="Y23" s="50"/>
      <c r="Z23" s="43" t="str">
        <f t="shared" si="0"/>
        <v>Очікую</v>
      </c>
      <c r="AA23" s="22"/>
      <c r="AB23" s="40"/>
    </row>
    <row r="24" spans="1:28" s="11" customFormat="1" ht="15" customHeight="1" x14ac:dyDescent="0.25">
      <c r="A24" s="41"/>
      <c r="B24" s="12"/>
      <c r="C24" s="48"/>
      <c r="D24" s="48">
        <v>15</v>
      </c>
      <c r="E24" s="49"/>
      <c r="F24" s="50"/>
      <c r="G24" s="50"/>
      <c r="H24" s="50"/>
      <c r="I24" s="50"/>
      <c r="J24" s="50"/>
      <c r="K24" s="50"/>
      <c r="L24" s="50"/>
      <c r="M24" s="50"/>
      <c r="N24" s="50"/>
      <c r="O24" s="50"/>
      <c r="P24" s="50"/>
      <c r="Q24" s="50"/>
      <c r="R24" s="50"/>
      <c r="S24" s="50"/>
      <c r="T24" s="50"/>
      <c r="U24" s="50"/>
      <c r="V24" s="50"/>
      <c r="W24" s="50"/>
      <c r="X24" s="50"/>
      <c r="Y24" s="50"/>
      <c r="Z24" s="43" t="str">
        <f t="shared" si="0"/>
        <v>Очікую</v>
      </c>
      <c r="AA24" s="22"/>
      <c r="AB24" s="40"/>
    </row>
    <row r="25" spans="1:28" s="11" customFormat="1" ht="15" customHeight="1" x14ac:dyDescent="0.25">
      <c r="A25" s="41"/>
      <c r="B25" s="12"/>
      <c r="C25" s="48"/>
      <c r="D25" s="48">
        <v>16</v>
      </c>
      <c r="E25" s="49"/>
      <c r="F25" s="50"/>
      <c r="G25" s="50"/>
      <c r="H25" s="50"/>
      <c r="I25" s="50"/>
      <c r="J25" s="50"/>
      <c r="K25" s="50"/>
      <c r="L25" s="50"/>
      <c r="M25" s="50"/>
      <c r="N25" s="50"/>
      <c r="O25" s="50"/>
      <c r="P25" s="50"/>
      <c r="Q25" s="50"/>
      <c r="R25" s="50"/>
      <c r="S25" s="50"/>
      <c r="T25" s="50"/>
      <c r="U25" s="50"/>
      <c r="V25" s="50"/>
      <c r="W25" s="50"/>
      <c r="X25" s="50"/>
      <c r="Y25" s="50"/>
      <c r="Z25" s="43" t="str">
        <f t="shared" si="0"/>
        <v>Очікую</v>
      </c>
      <c r="AA25" s="22"/>
      <c r="AB25" s="40"/>
    </row>
    <row r="26" spans="1:28" s="11" customFormat="1" ht="15" customHeight="1" x14ac:dyDescent="0.25">
      <c r="A26" s="41"/>
      <c r="B26" s="12"/>
      <c r="C26" s="48"/>
      <c r="D26" s="48">
        <v>17</v>
      </c>
      <c r="E26" s="49"/>
      <c r="F26" s="50"/>
      <c r="G26" s="50"/>
      <c r="H26" s="50"/>
      <c r="I26" s="50"/>
      <c r="J26" s="50"/>
      <c r="K26" s="50"/>
      <c r="L26" s="50"/>
      <c r="M26" s="50"/>
      <c r="N26" s="50"/>
      <c r="O26" s="50"/>
      <c r="P26" s="50"/>
      <c r="Q26" s="50"/>
      <c r="R26" s="50"/>
      <c r="S26" s="50"/>
      <c r="T26" s="50"/>
      <c r="U26" s="50"/>
      <c r="V26" s="50"/>
      <c r="W26" s="50"/>
      <c r="X26" s="50"/>
      <c r="Y26" s="50"/>
      <c r="Z26" s="43" t="str">
        <f t="shared" si="0"/>
        <v>Очікую</v>
      </c>
      <c r="AA26" s="22"/>
      <c r="AB26" s="40"/>
    </row>
    <row r="27" spans="1:28" s="11" customFormat="1" ht="15" customHeight="1" x14ac:dyDescent="0.25">
      <c r="A27" s="41"/>
      <c r="B27" s="12"/>
      <c r="C27" s="48"/>
      <c r="D27" s="48">
        <v>18</v>
      </c>
      <c r="E27" s="49"/>
      <c r="F27" s="50"/>
      <c r="G27" s="50"/>
      <c r="H27" s="50"/>
      <c r="I27" s="50"/>
      <c r="J27" s="50"/>
      <c r="K27" s="50"/>
      <c r="L27" s="50"/>
      <c r="M27" s="50"/>
      <c r="N27" s="50"/>
      <c r="O27" s="50"/>
      <c r="P27" s="50"/>
      <c r="Q27" s="50"/>
      <c r="R27" s="50"/>
      <c r="S27" s="50"/>
      <c r="T27" s="50"/>
      <c r="U27" s="50"/>
      <c r="V27" s="50"/>
      <c r="W27" s="50"/>
      <c r="X27" s="50"/>
      <c r="Y27" s="50"/>
      <c r="Z27" s="43" t="str">
        <f t="shared" si="0"/>
        <v>Очікую</v>
      </c>
      <c r="AA27" s="22"/>
      <c r="AB27" s="40"/>
    </row>
    <row r="28" spans="1:28" s="11" customFormat="1" ht="15" customHeight="1" x14ac:dyDescent="0.25">
      <c r="A28" s="41"/>
      <c r="B28" s="12"/>
      <c r="C28" s="48"/>
      <c r="D28" s="48">
        <v>19</v>
      </c>
      <c r="E28" s="49"/>
      <c r="F28" s="50"/>
      <c r="G28" s="50"/>
      <c r="H28" s="50"/>
      <c r="I28" s="50"/>
      <c r="J28" s="50"/>
      <c r="K28" s="50"/>
      <c r="L28" s="50"/>
      <c r="M28" s="50"/>
      <c r="N28" s="50"/>
      <c r="O28" s="50"/>
      <c r="P28" s="50"/>
      <c r="Q28" s="50"/>
      <c r="R28" s="50"/>
      <c r="S28" s="50"/>
      <c r="T28" s="50"/>
      <c r="U28" s="50"/>
      <c r="V28" s="50"/>
      <c r="W28" s="50"/>
      <c r="X28" s="50"/>
      <c r="Y28" s="50"/>
      <c r="Z28" s="43" t="str">
        <f t="shared" si="0"/>
        <v>Очікую</v>
      </c>
      <c r="AA28" s="22"/>
      <c r="AB28" s="40"/>
    </row>
    <row r="29" spans="1:28" s="11" customFormat="1" ht="15" customHeight="1" x14ac:dyDescent="0.25">
      <c r="A29" s="41"/>
      <c r="B29" s="12"/>
      <c r="C29" s="48"/>
      <c r="D29" s="48">
        <v>20</v>
      </c>
      <c r="E29" s="49"/>
      <c r="F29" s="50"/>
      <c r="G29" s="50"/>
      <c r="H29" s="50"/>
      <c r="I29" s="50"/>
      <c r="J29" s="50"/>
      <c r="K29" s="50"/>
      <c r="L29" s="50"/>
      <c r="M29" s="50"/>
      <c r="N29" s="50"/>
      <c r="O29" s="50"/>
      <c r="P29" s="50"/>
      <c r="Q29" s="50"/>
      <c r="R29" s="50"/>
      <c r="S29" s="50"/>
      <c r="T29" s="50"/>
      <c r="U29" s="50"/>
      <c r="V29" s="50"/>
      <c r="W29" s="50"/>
      <c r="X29" s="50"/>
      <c r="Y29" s="50"/>
      <c r="Z29" s="43" t="str">
        <f t="shared" si="0"/>
        <v>Очікую</v>
      </c>
      <c r="AA29" s="22"/>
      <c r="AB29" s="40"/>
    </row>
    <row r="30" spans="1:28" s="11" customFormat="1" ht="15" customHeight="1" x14ac:dyDescent="0.25">
      <c r="A30" s="41"/>
      <c r="B30" s="12"/>
      <c r="C30" s="48"/>
      <c r="D30" s="48">
        <v>21</v>
      </c>
      <c r="E30" s="49"/>
      <c r="F30" s="50"/>
      <c r="G30" s="50"/>
      <c r="H30" s="50"/>
      <c r="I30" s="50"/>
      <c r="J30" s="50"/>
      <c r="K30" s="50"/>
      <c r="L30" s="50"/>
      <c r="M30" s="50"/>
      <c r="N30" s="50"/>
      <c r="O30" s="50"/>
      <c r="P30" s="50"/>
      <c r="Q30" s="50"/>
      <c r="R30" s="50"/>
      <c r="S30" s="50"/>
      <c r="T30" s="50"/>
      <c r="U30" s="50"/>
      <c r="V30" s="50"/>
      <c r="W30" s="50"/>
      <c r="X30" s="50"/>
      <c r="Y30" s="50"/>
      <c r="Z30" s="43" t="str">
        <f t="shared" si="0"/>
        <v>Очікую</v>
      </c>
      <c r="AA30" s="22"/>
      <c r="AB30" s="40"/>
    </row>
    <row r="31" spans="1:28" s="11" customFormat="1" ht="15" customHeight="1" x14ac:dyDescent="0.25">
      <c r="A31" s="41"/>
      <c r="B31" s="12"/>
      <c r="C31" s="48"/>
      <c r="D31" s="48">
        <v>22</v>
      </c>
      <c r="E31" s="49"/>
      <c r="F31" s="50"/>
      <c r="G31" s="50"/>
      <c r="H31" s="50"/>
      <c r="I31" s="50"/>
      <c r="J31" s="50"/>
      <c r="K31" s="50"/>
      <c r="L31" s="50"/>
      <c r="M31" s="50"/>
      <c r="N31" s="50"/>
      <c r="O31" s="50"/>
      <c r="P31" s="50"/>
      <c r="Q31" s="50"/>
      <c r="R31" s="50"/>
      <c r="S31" s="50"/>
      <c r="T31" s="50"/>
      <c r="U31" s="50"/>
      <c r="V31" s="50"/>
      <c r="W31" s="50"/>
      <c r="X31" s="50"/>
      <c r="Y31" s="50"/>
      <c r="Z31" s="43" t="str">
        <f t="shared" si="0"/>
        <v>Очікую</v>
      </c>
      <c r="AA31" s="22"/>
      <c r="AB31" s="40"/>
    </row>
    <row r="32" spans="1:28" s="11" customFormat="1" ht="15" customHeight="1" x14ac:dyDescent="0.25">
      <c r="A32" s="41"/>
      <c r="B32" s="12"/>
      <c r="C32" s="48"/>
      <c r="D32" s="48">
        <v>23</v>
      </c>
      <c r="E32" s="49"/>
      <c r="F32" s="50"/>
      <c r="G32" s="50"/>
      <c r="H32" s="50"/>
      <c r="I32" s="50"/>
      <c r="J32" s="50"/>
      <c r="K32" s="50"/>
      <c r="L32" s="50"/>
      <c r="M32" s="50"/>
      <c r="N32" s="50"/>
      <c r="O32" s="50"/>
      <c r="P32" s="50"/>
      <c r="Q32" s="50"/>
      <c r="R32" s="50"/>
      <c r="S32" s="50"/>
      <c r="T32" s="50"/>
      <c r="U32" s="50"/>
      <c r="V32" s="50"/>
      <c r="W32" s="50"/>
      <c r="X32" s="50"/>
      <c r="Y32" s="50"/>
      <c r="Z32" s="43" t="str">
        <f t="shared" si="0"/>
        <v>Очікую</v>
      </c>
      <c r="AA32" s="22"/>
      <c r="AB32" s="40"/>
    </row>
    <row r="33" spans="1:28" s="11" customFormat="1" ht="15" customHeight="1" x14ac:dyDescent="0.25">
      <c r="A33" s="41"/>
      <c r="B33" s="12"/>
      <c r="C33" s="48"/>
      <c r="D33" s="48">
        <v>24</v>
      </c>
      <c r="E33" s="49"/>
      <c r="F33" s="50"/>
      <c r="G33" s="50"/>
      <c r="H33" s="50"/>
      <c r="I33" s="50"/>
      <c r="J33" s="50"/>
      <c r="K33" s="50"/>
      <c r="L33" s="50"/>
      <c r="M33" s="50"/>
      <c r="N33" s="50"/>
      <c r="O33" s="50"/>
      <c r="P33" s="50"/>
      <c r="Q33" s="50"/>
      <c r="R33" s="50"/>
      <c r="S33" s="50"/>
      <c r="T33" s="50"/>
      <c r="U33" s="50"/>
      <c r="V33" s="50"/>
      <c r="W33" s="50"/>
      <c r="X33" s="50"/>
      <c r="Y33" s="50"/>
      <c r="Z33" s="43" t="str">
        <f t="shared" si="0"/>
        <v>Очікую</v>
      </c>
      <c r="AA33" s="22"/>
      <c r="AB33" s="40"/>
    </row>
    <row r="34" spans="1:28" s="11" customFormat="1" ht="15" customHeight="1" x14ac:dyDescent="0.25">
      <c r="A34" s="41"/>
      <c r="B34" s="12"/>
      <c r="C34" s="48"/>
      <c r="D34" s="48">
        <v>25</v>
      </c>
      <c r="E34" s="49"/>
      <c r="F34" s="50"/>
      <c r="G34" s="50"/>
      <c r="H34" s="50"/>
      <c r="I34" s="50"/>
      <c r="J34" s="50"/>
      <c r="K34" s="50"/>
      <c r="L34" s="50"/>
      <c r="M34" s="50"/>
      <c r="N34" s="50"/>
      <c r="O34" s="50"/>
      <c r="P34" s="50"/>
      <c r="Q34" s="50"/>
      <c r="R34" s="50"/>
      <c r="S34" s="50"/>
      <c r="T34" s="50"/>
      <c r="U34" s="50"/>
      <c r="V34" s="50"/>
      <c r="W34" s="50"/>
      <c r="X34" s="50"/>
      <c r="Y34" s="50"/>
      <c r="Z34" s="43" t="str">
        <f t="shared" si="0"/>
        <v>Очікую</v>
      </c>
      <c r="AA34" s="22"/>
      <c r="AB34" s="40"/>
    </row>
    <row r="35" spans="1:28" s="11" customFormat="1" ht="15" customHeight="1" x14ac:dyDescent="0.25">
      <c r="A35" s="41"/>
      <c r="B35" s="12"/>
      <c r="C35" s="48"/>
      <c r="D35" s="48">
        <v>26</v>
      </c>
      <c r="E35" s="49"/>
      <c r="F35" s="50"/>
      <c r="G35" s="50"/>
      <c r="H35" s="50"/>
      <c r="I35" s="50"/>
      <c r="J35" s="50"/>
      <c r="K35" s="50"/>
      <c r="L35" s="50"/>
      <c r="M35" s="50"/>
      <c r="N35" s="50"/>
      <c r="O35" s="50"/>
      <c r="P35" s="50"/>
      <c r="Q35" s="50"/>
      <c r="R35" s="50"/>
      <c r="S35" s="50"/>
      <c r="T35" s="50"/>
      <c r="U35" s="50"/>
      <c r="V35" s="50"/>
      <c r="W35" s="50"/>
      <c r="X35" s="50"/>
      <c r="Y35" s="50"/>
      <c r="Z35" s="43" t="str">
        <f t="shared" si="0"/>
        <v>Очікую</v>
      </c>
      <c r="AA35" s="22"/>
      <c r="AB35" s="40"/>
    </row>
    <row r="36" spans="1:28" s="11" customFormat="1" ht="15" customHeight="1" x14ac:dyDescent="0.25">
      <c r="A36" s="41"/>
      <c r="B36" s="12"/>
      <c r="C36" s="48"/>
      <c r="D36" s="48">
        <v>27</v>
      </c>
      <c r="E36" s="49"/>
      <c r="F36" s="50"/>
      <c r="G36" s="50"/>
      <c r="H36" s="50"/>
      <c r="I36" s="50"/>
      <c r="J36" s="50"/>
      <c r="K36" s="50"/>
      <c r="L36" s="50"/>
      <c r="M36" s="50"/>
      <c r="N36" s="50"/>
      <c r="O36" s="50"/>
      <c r="P36" s="50"/>
      <c r="Q36" s="50"/>
      <c r="R36" s="50"/>
      <c r="S36" s="50"/>
      <c r="T36" s="50"/>
      <c r="U36" s="50"/>
      <c r="V36" s="50"/>
      <c r="W36" s="50"/>
      <c r="X36" s="50"/>
      <c r="Y36" s="50"/>
      <c r="Z36" s="43" t="str">
        <f t="shared" si="0"/>
        <v>Очікую</v>
      </c>
      <c r="AA36" s="22"/>
      <c r="AB36" s="40"/>
    </row>
    <row r="37" spans="1:28" s="11" customFormat="1" ht="15" customHeight="1" x14ac:dyDescent="0.25">
      <c r="A37" s="41"/>
      <c r="B37" s="12"/>
      <c r="C37" s="48"/>
      <c r="D37" s="48">
        <v>28</v>
      </c>
      <c r="E37" s="49"/>
      <c r="F37" s="50"/>
      <c r="G37" s="50"/>
      <c r="H37" s="50"/>
      <c r="I37" s="50"/>
      <c r="J37" s="50"/>
      <c r="K37" s="50"/>
      <c r="L37" s="50"/>
      <c r="M37" s="50"/>
      <c r="N37" s="50"/>
      <c r="O37" s="50"/>
      <c r="P37" s="50"/>
      <c r="Q37" s="50"/>
      <c r="R37" s="50"/>
      <c r="S37" s="50"/>
      <c r="T37" s="50"/>
      <c r="U37" s="50"/>
      <c r="V37" s="50"/>
      <c r="W37" s="50"/>
      <c r="X37" s="50"/>
      <c r="Y37" s="50"/>
      <c r="Z37" s="43" t="str">
        <f t="shared" si="0"/>
        <v>Очікую</v>
      </c>
      <c r="AA37" s="22"/>
      <c r="AB37" s="40"/>
    </row>
    <row r="38" spans="1:28" s="11" customFormat="1" ht="15" customHeight="1" x14ac:dyDescent="0.25">
      <c r="A38" s="41"/>
      <c r="B38" s="12"/>
      <c r="C38" s="48"/>
      <c r="D38" s="48">
        <v>29</v>
      </c>
      <c r="E38" s="49"/>
      <c r="F38" s="50"/>
      <c r="G38" s="50"/>
      <c r="H38" s="50"/>
      <c r="I38" s="50"/>
      <c r="J38" s="50"/>
      <c r="K38" s="50"/>
      <c r="L38" s="50"/>
      <c r="M38" s="50"/>
      <c r="N38" s="50"/>
      <c r="O38" s="50"/>
      <c r="P38" s="50"/>
      <c r="Q38" s="50"/>
      <c r="R38" s="50"/>
      <c r="S38" s="50"/>
      <c r="T38" s="50"/>
      <c r="U38" s="50"/>
      <c r="V38" s="50"/>
      <c r="W38" s="50"/>
      <c r="X38" s="50"/>
      <c r="Y38" s="50"/>
      <c r="Z38" s="43" t="str">
        <f t="shared" si="0"/>
        <v>Очікую</v>
      </c>
      <c r="AA38" s="22"/>
      <c r="AB38" s="40"/>
    </row>
    <row r="39" spans="1:28" s="11" customFormat="1" ht="15" customHeight="1" x14ac:dyDescent="0.25">
      <c r="A39" s="41"/>
      <c r="B39" s="12"/>
      <c r="C39" s="48"/>
      <c r="D39" s="48">
        <v>30</v>
      </c>
      <c r="E39" s="49"/>
      <c r="F39" s="50"/>
      <c r="G39" s="50"/>
      <c r="H39" s="50"/>
      <c r="I39" s="50"/>
      <c r="J39" s="50"/>
      <c r="K39" s="50"/>
      <c r="L39" s="50"/>
      <c r="M39" s="50"/>
      <c r="N39" s="50"/>
      <c r="O39" s="50"/>
      <c r="P39" s="50"/>
      <c r="Q39" s="50"/>
      <c r="R39" s="50"/>
      <c r="S39" s="50"/>
      <c r="T39" s="50"/>
      <c r="U39" s="50"/>
      <c r="V39" s="50"/>
      <c r="W39" s="50"/>
      <c r="X39" s="50"/>
      <c r="Y39" s="50"/>
      <c r="Z39" s="43" t="str">
        <f t="shared" si="0"/>
        <v>Очікую</v>
      </c>
      <c r="AA39" s="22"/>
      <c r="AB39" s="40"/>
    </row>
    <row r="40" spans="1:28" s="11" customFormat="1" ht="15" customHeight="1" x14ac:dyDescent="0.25">
      <c r="A40" s="41"/>
      <c r="B40" s="12"/>
      <c r="C40" s="48"/>
      <c r="D40" s="48">
        <v>31</v>
      </c>
      <c r="E40" s="49"/>
      <c r="F40" s="50"/>
      <c r="G40" s="50"/>
      <c r="H40" s="50"/>
      <c r="I40" s="50"/>
      <c r="J40" s="50"/>
      <c r="K40" s="50"/>
      <c r="L40" s="50"/>
      <c r="M40" s="50"/>
      <c r="N40" s="50"/>
      <c r="O40" s="50"/>
      <c r="P40" s="50"/>
      <c r="Q40" s="50"/>
      <c r="R40" s="50"/>
      <c r="S40" s="50"/>
      <c r="T40" s="50"/>
      <c r="U40" s="50"/>
      <c r="V40" s="50"/>
      <c r="W40" s="50"/>
      <c r="X40" s="50"/>
      <c r="Y40" s="50"/>
      <c r="Z40" s="43" t="str">
        <f t="shared" si="0"/>
        <v>Очікую</v>
      </c>
      <c r="AA40" s="22"/>
      <c r="AB40" s="40"/>
    </row>
    <row r="41" spans="1:28" s="11" customFormat="1" ht="15" customHeight="1" x14ac:dyDescent="0.25">
      <c r="A41" s="41"/>
      <c r="B41" s="12"/>
      <c r="C41" s="48"/>
      <c r="D41" s="48">
        <v>32</v>
      </c>
      <c r="E41" s="49"/>
      <c r="F41" s="50"/>
      <c r="G41" s="50"/>
      <c r="H41" s="50"/>
      <c r="I41" s="50"/>
      <c r="J41" s="50"/>
      <c r="K41" s="50"/>
      <c r="L41" s="50"/>
      <c r="M41" s="50"/>
      <c r="N41" s="50"/>
      <c r="O41" s="50"/>
      <c r="P41" s="50"/>
      <c r="Q41" s="50"/>
      <c r="R41" s="50"/>
      <c r="S41" s="50"/>
      <c r="T41" s="50"/>
      <c r="U41" s="50"/>
      <c r="V41" s="50"/>
      <c r="W41" s="50"/>
      <c r="X41" s="50"/>
      <c r="Y41" s="50"/>
      <c r="Z41" s="43" t="str">
        <f t="shared" si="0"/>
        <v>Очікую</v>
      </c>
      <c r="AA41" s="22"/>
      <c r="AB41" s="40"/>
    </row>
    <row r="42" spans="1:28" s="11" customFormat="1" ht="15" customHeight="1" x14ac:dyDescent="0.25">
      <c r="A42" s="41"/>
      <c r="B42" s="12"/>
      <c r="C42" s="48"/>
      <c r="D42" s="48">
        <v>33</v>
      </c>
      <c r="E42" s="49"/>
      <c r="F42" s="50"/>
      <c r="G42" s="50"/>
      <c r="H42" s="50"/>
      <c r="I42" s="50"/>
      <c r="J42" s="50"/>
      <c r="K42" s="50"/>
      <c r="L42" s="50"/>
      <c r="M42" s="50"/>
      <c r="N42" s="50"/>
      <c r="O42" s="50"/>
      <c r="P42" s="50"/>
      <c r="Q42" s="50"/>
      <c r="R42" s="50"/>
      <c r="S42" s="50"/>
      <c r="T42" s="50"/>
      <c r="U42" s="50"/>
      <c r="V42" s="50"/>
      <c r="W42" s="50"/>
      <c r="X42" s="50"/>
      <c r="Y42" s="50"/>
      <c r="Z42" s="43" t="str">
        <f t="shared" si="0"/>
        <v>Очікую</v>
      </c>
      <c r="AA42" s="22"/>
      <c r="AB42" s="40"/>
    </row>
    <row r="43" spans="1:28" s="11" customFormat="1" ht="15" customHeight="1" x14ac:dyDescent="0.25">
      <c r="A43" s="41"/>
      <c r="B43" s="12"/>
      <c r="C43" s="48"/>
      <c r="D43" s="48">
        <v>34</v>
      </c>
      <c r="E43" s="49"/>
      <c r="F43" s="50"/>
      <c r="G43" s="50"/>
      <c r="H43" s="50"/>
      <c r="I43" s="50"/>
      <c r="J43" s="50"/>
      <c r="K43" s="50"/>
      <c r="L43" s="50"/>
      <c r="M43" s="50"/>
      <c r="N43" s="50"/>
      <c r="O43" s="50"/>
      <c r="P43" s="50"/>
      <c r="Q43" s="50"/>
      <c r="R43" s="50"/>
      <c r="S43" s="50"/>
      <c r="T43" s="50"/>
      <c r="U43" s="50"/>
      <c r="V43" s="50"/>
      <c r="W43" s="50"/>
      <c r="X43" s="50"/>
      <c r="Y43" s="50"/>
      <c r="Z43" s="43" t="str">
        <f t="shared" si="0"/>
        <v>Очікую</v>
      </c>
      <c r="AA43" s="22"/>
      <c r="AB43" s="40"/>
    </row>
    <row r="44" spans="1:28" s="11" customFormat="1" ht="15" customHeight="1" x14ac:dyDescent="0.25">
      <c r="A44" s="41"/>
      <c r="B44" s="12"/>
      <c r="C44" s="48"/>
      <c r="D44" s="48">
        <v>35</v>
      </c>
      <c r="E44" s="49"/>
      <c r="F44" s="50"/>
      <c r="G44" s="50"/>
      <c r="H44" s="50"/>
      <c r="I44" s="50"/>
      <c r="J44" s="50"/>
      <c r="K44" s="50"/>
      <c r="L44" s="50"/>
      <c r="M44" s="50"/>
      <c r="N44" s="50"/>
      <c r="O44" s="50"/>
      <c r="P44" s="50"/>
      <c r="Q44" s="50"/>
      <c r="R44" s="50"/>
      <c r="S44" s="50"/>
      <c r="T44" s="50"/>
      <c r="U44" s="50"/>
      <c r="V44" s="50"/>
      <c r="W44" s="50"/>
      <c r="X44" s="50"/>
      <c r="Y44" s="50"/>
      <c r="Z44" s="43" t="str">
        <f t="shared" si="0"/>
        <v>Очікую</v>
      </c>
      <c r="AA44" s="22"/>
      <c r="AB44" s="40"/>
    </row>
    <row r="45" spans="1:28" s="11" customFormat="1" ht="15" customHeight="1" x14ac:dyDescent="0.25">
      <c r="A45" s="41"/>
      <c r="B45" s="12"/>
      <c r="C45" s="48"/>
      <c r="D45" s="48">
        <v>36</v>
      </c>
      <c r="E45" s="49"/>
      <c r="F45" s="50"/>
      <c r="G45" s="50"/>
      <c r="H45" s="50"/>
      <c r="I45" s="50"/>
      <c r="J45" s="50"/>
      <c r="K45" s="50"/>
      <c r="L45" s="50"/>
      <c r="M45" s="50"/>
      <c r="N45" s="50"/>
      <c r="O45" s="50"/>
      <c r="P45" s="50"/>
      <c r="Q45" s="50"/>
      <c r="R45" s="50"/>
      <c r="S45" s="50"/>
      <c r="T45" s="50"/>
      <c r="U45" s="50"/>
      <c r="V45" s="50"/>
      <c r="W45" s="50"/>
      <c r="X45" s="50"/>
      <c r="Y45" s="50"/>
      <c r="Z45" s="43" t="str">
        <f t="shared" si="0"/>
        <v>Очікую</v>
      </c>
      <c r="AA45" s="22"/>
      <c r="AB45" s="40"/>
    </row>
    <row r="46" spans="1:28" s="11" customFormat="1" ht="15" customHeight="1" x14ac:dyDescent="0.25">
      <c r="A46" s="41"/>
      <c r="B46" s="12"/>
      <c r="C46" s="48"/>
      <c r="D46" s="48">
        <v>37</v>
      </c>
      <c r="E46" s="49"/>
      <c r="F46" s="50"/>
      <c r="G46" s="50"/>
      <c r="H46" s="50"/>
      <c r="I46" s="50"/>
      <c r="J46" s="50"/>
      <c r="K46" s="50"/>
      <c r="L46" s="50"/>
      <c r="M46" s="50"/>
      <c r="N46" s="50"/>
      <c r="O46" s="50"/>
      <c r="P46" s="50"/>
      <c r="Q46" s="50"/>
      <c r="R46" s="50"/>
      <c r="S46" s="50"/>
      <c r="T46" s="50"/>
      <c r="U46" s="50"/>
      <c r="V46" s="50"/>
      <c r="W46" s="50"/>
      <c r="X46" s="50"/>
      <c r="Y46" s="50"/>
      <c r="Z46" s="43" t="str">
        <f t="shared" si="0"/>
        <v>Очікую</v>
      </c>
      <c r="AA46" s="22"/>
      <c r="AB46" s="40"/>
    </row>
    <row r="47" spans="1:28" s="11" customFormat="1" ht="15" customHeight="1" x14ac:dyDescent="0.25">
      <c r="A47" s="41"/>
      <c r="B47" s="12"/>
      <c r="C47" s="48"/>
      <c r="D47" s="48">
        <v>38</v>
      </c>
      <c r="E47" s="49"/>
      <c r="F47" s="50"/>
      <c r="G47" s="50"/>
      <c r="H47" s="50"/>
      <c r="I47" s="50"/>
      <c r="J47" s="50"/>
      <c r="K47" s="50"/>
      <c r="L47" s="50"/>
      <c r="M47" s="50"/>
      <c r="N47" s="50"/>
      <c r="O47" s="50"/>
      <c r="P47" s="50"/>
      <c r="Q47" s="50"/>
      <c r="R47" s="50"/>
      <c r="S47" s="50"/>
      <c r="T47" s="50"/>
      <c r="U47" s="50"/>
      <c r="V47" s="50"/>
      <c r="W47" s="50"/>
      <c r="X47" s="50"/>
      <c r="Y47" s="50"/>
      <c r="Z47" s="43" t="str">
        <f t="shared" si="0"/>
        <v>Очікую</v>
      </c>
      <c r="AA47" s="22"/>
      <c r="AB47" s="40"/>
    </row>
    <row r="48" spans="1:28" s="11" customFormat="1" ht="15" customHeight="1" x14ac:dyDescent="0.25">
      <c r="A48" s="41"/>
      <c r="B48" s="12"/>
      <c r="C48" s="48"/>
      <c r="D48" s="48">
        <v>39</v>
      </c>
      <c r="E48" s="49"/>
      <c r="F48" s="50"/>
      <c r="G48" s="50"/>
      <c r="H48" s="50"/>
      <c r="I48" s="50"/>
      <c r="J48" s="50"/>
      <c r="K48" s="50"/>
      <c r="L48" s="50"/>
      <c r="M48" s="50"/>
      <c r="N48" s="50"/>
      <c r="O48" s="50"/>
      <c r="P48" s="50"/>
      <c r="Q48" s="50"/>
      <c r="R48" s="50"/>
      <c r="S48" s="50"/>
      <c r="T48" s="50"/>
      <c r="U48" s="50"/>
      <c r="V48" s="50"/>
      <c r="W48" s="50"/>
      <c r="X48" s="50"/>
      <c r="Y48" s="50"/>
      <c r="Z48" s="43" t="str">
        <f t="shared" si="0"/>
        <v>Очікую</v>
      </c>
      <c r="AA48" s="22"/>
      <c r="AB48" s="40"/>
    </row>
    <row r="49" spans="1:28" s="11" customFormat="1" ht="15" customHeight="1" x14ac:dyDescent="0.25">
      <c r="A49" s="41"/>
      <c r="B49" s="12"/>
      <c r="C49" s="48"/>
      <c r="D49" s="48">
        <v>40</v>
      </c>
      <c r="E49" s="49"/>
      <c r="F49" s="50"/>
      <c r="G49" s="50"/>
      <c r="H49" s="50"/>
      <c r="I49" s="50"/>
      <c r="J49" s="50"/>
      <c r="K49" s="50"/>
      <c r="L49" s="50"/>
      <c r="M49" s="50"/>
      <c r="N49" s="50"/>
      <c r="O49" s="50"/>
      <c r="P49" s="50"/>
      <c r="Q49" s="50"/>
      <c r="R49" s="50"/>
      <c r="S49" s="50"/>
      <c r="T49" s="50"/>
      <c r="U49" s="50"/>
      <c r="V49" s="50"/>
      <c r="W49" s="50"/>
      <c r="X49" s="50"/>
      <c r="Y49" s="50"/>
      <c r="Z49" s="43" t="str">
        <f t="shared" si="0"/>
        <v>Очікую</v>
      </c>
      <c r="AA49" s="22"/>
      <c r="AB49" s="40"/>
    </row>
    <row r="50" spans="1:28" s="11" customFormat="1" ht="15" customHeight="1" x14ac:dyDescent="0.25">
      <c r="A50" s="41"/>
      <c r="B50" s="12"/>
      <c r="C50" s="48"/>
      <c r="D50" s="48">
        <v>41</v>
      </c>
      <c r="E50" s="49"/>
      <c r="F50" s="50"/>
      <c r="G50" s="50"/>
      <c r="H50" s="50"/>
      <c r="I50" s="50"/>
      <c r="J50" s="50"/>
      <c r="K50" s="50"/>
      <c r="L50" s="50"/>
      <c r="M50" s="50"/>
      <c r="N50" s="50"/>
      <c r="O50" s="50"/>
      <c r="P50" s="50"/>
      <c r="Q50" s="50"/>
      <c r="R50" s="50"/>
      <c r="S50" s="50"/>
      <c r="T50" s="50"/>
      <c r="U50" s="50"/>
      <c r="V50" s="50"/>
      <c r="W50" s="50"/>
      <c r="X50" s="50"/>
      <c r="Y50" s="50"/>
      <c r="Z50" s="43" t="str">
        <f t="shared" si="0"/>
        <v>Очікую</v>
      </c>
      <c r="AA50" s="22"/>
      <c r="AB50" s="40"/>
    </row>
    <row r="51" spans="1:28" s="11" customFormat="1" ht="15" customHeight="1" x14ac:dyDescent="0.25">
      <c r="A51" s="41"/>
      <c r="B51" s="12"/>
      <c r="C51" s="48"/>
      <c r="D51" s="48">
        <v>42</v>
      </c>
      <c r="E51" s="49"/>
      <c r="F51" s="50"/>
      <c r="G51" s="50"/>
      <c r="H51" s="50"/>
      <c r="I51" s="50"/>
      <c r="J51" s="50"/>
      <c r="K51" s="50"/>
      <c r="L51" s="50"/>
      <c r="M51" s="50"/>
      <c r="N51" s="50"/>
      <c r="O51" s="50"/>
      <c r="P51" s="50"/>
      <c r="Q51" s="50"/>
      <c r="R51" s="50"/>
      <c r="S51" s="50"/>
      <c r="T51" s="50"/>
      <c r="U51" s="50"/>
      <c r="V51" s="50"/>
      <c r="W51" s="50"/>
      <c r="X51" s="50"/>
      <c r="Y51" s="50"/>
      <c r="Z51" s="43" t="str">
        <f t="shared" si="0"/>
        <v>Очікую</v>
      </c>
      <c r="AA51" s="22"/>
      <c r="AB51" s="40"/>
    </row>
    <row r="52" spans="1:28" s="11" customFormat="1" ht="15" customHeight="1" x14ac:dyDescent="0.25">
      <c r="A52" s="41"/>
      <c r="B52" s="12"/>
      <c r="C52" s="48"/>
      <c r="D52" s="48">
        <v>43</v>
      </c>
      <c r="E52" s="49"/>
      <c r="F52" s="50"/>
      <c r="G52" s="50"/>
      <c r="H52" s="50"/>
      <c r="I52" s="50"/>
      <c r="J52" s="50"/>
      <c r="K52" s="50"/>
      <c r="L52" s="50"/>
      <c r="M52" s="50"/>
      <c r="N52" s="50"/>
      <c r="O52" s="50"/>
      <c r="P52" s="50"/>
      <c r="Q52" s="50"/>
      <c r="R52" s="50"/>
      <c r="S52" s="50"/>
      <c r="T52" s="50"/>
      <c r="U52" s="50"/>
      <c r="V52" s="50"/>
      <c r="W52" s="50"/>
      <c r="X52" s="50"/>
      <c r="Y52" s="50"/>
      <c r="Z52" s="43" t="str">
        <f t="shared" si="0"/>
        <v>Очікую</v>
      </c>
      <c r="AA52" s="22"/>
      <c r="AB52" s="40"/>
    </row>
    <row r="53" spans="1:28" s="11" customFormat="1" ht="15" customHeight="1" x14ac:dyDescent="0.25">
      <c r="A53" s="41"/>
      <c r="B53" s="12"/>
      <c r="C53" s="48"/>
      <c r="D53" s="48">
        <v>44</v>
      </c>
      <c r="E53" s="49"/>
      <c r="F53" s="50"/>
      <c r="G53" s="50"/>
      <c r="H53" s="50"/>
      <c r="I53" s="50"/>
      <c r="J53" s="50"/>
      <c r="K53" s="50"/>
      <c r="L53" s="50"/>
      <c r="M53" s="50"/>
      <c r="N53" s="50"/>
      <c r="O53" s="50"/>
      <c r="P53" s="50"/>
      <c r="Q53" s="50"/>
      <c r="R53" s="50"/>
      <c r="S53" s="50"/>
      <c r="T53" s="50"/>
      <c r="U53" s="50"/>
      <c r="V53" s="50"/>
      <c r="W53" s="50"/>
      <c r="X53" s="50"/>
      <c r="Y53" s="50"/>
      <c r="Z53" s="43" t="str">
        <f t="shared" si="0"/>
        <v>Очікую</v>
      </c>
      <c r="AA53" s="22"/>
      <c r="AB53" s="40"/>
    </row>
    <row r="54" spans="1:28" s="11" customFormat="1" ht="15" customHeight="1" x14ac:dyDescent="0.25">
      <c r="A54" s="41"/>
      <c r="B54" s="12"/>
      <c r="C54" s="48"/>
      <c r="D54" s="48">
        <v>45</v>
      </c>
      <c r="E54" s="49"/>
      <c r="F54" s="50"/>
      <c r="G54" s="50"/>
      <c r="H54" s="50"/>
      <c r="I54" s="50"/>
      <c r="J54" s="50"/>
      <c r="K54" s="50"/>
      <c r="L54" s="50"/>
      <c r="M54" s="50"/>
      <c r="N54" s="50"/>
      <c r="O54" s="50"/>
      <c r="P54" s="50"/>
      <c r="Q54" s="50"/>
      <c r="R54" s="50"/>
      <c r="S54" s="50"/>
      <c r="T54" s="50"/>
      <c r="U54" s="50"/>
      <c r="V54" s="50"/>
      <c r="W54" s="50"/>
      <c r="X54" s="50"/>
      <c r="Y54" s="50"/>
      <c r="Z54" s="43" t="str">
        <f t="shared" si="0"/>
        <v>Очікую</v>
      </c>
      <c r="AA54" s="22"/>
      <c r="AB54" s="40"/>
    </row>
    <row r="55" spans="1:28" s="11" customFormat="1" ht="15" customHeight="1" x14ac:dyDescent="0.25">
      <c r="A55" s="41"/>
      <c r="B55" s="12"/>
      <c r="C55" s="48"/>
      <c r="D55" s="48">
        <v>46</v>
      </c>
      <c r="E55" s="49"/>
      <c r="F55" s="50"/>
      <c r="G55" s="50"/>
      <c r="H55" s="50"/>
      <c r="I55" s="50"/>
      <c r="J55" s="50"/>
      <c r="K55" s="50"/>
      <c r="L55" s="50"/>
      <c r="M55" s="50"/>
      <c r="N55" s="50"/>
      <c r="O55" s="50"/>
      <c r="P55" s="50"/>
      <c r="Q55" s="50"/>
      <c r="R55" s="50"/>
      <c r="S55" s="50"/>
      <c r="T55" s="50"/>
      <c r="U55" s="50"/>
      <c r="V55" s="50"/>
      <c r="W55" s="50"/>
      <c r="X55" s="50"/>
      <c r="Y55" s="50"/>
      <c r="Z55" s="43" t="str">
        <f t="shared" si="0"/>
        <v>Очікую</v>
      </c>
      <c r="AA55" s="22"/>
      <c r="AB55" s="40"/>
    </row>
    <row r="56" spans="1:28" s="11" customFormat="1" ht="15" customHeight="1" x14ac:dyDescent="0.25">
      <c r="A56" s="41"/>
      <c r="B56" s="12"/>
      <c r="C56" s="48"/>
      <c r="D56" s="48">
        <v>47</v>
      </c>
      <c r="E56" s="49"/>
      <c r="F56" s="50"/>
      <c r="G56" s="50"/>
      <c r="H56" s="50"/>
      <c r="I56" s="50"/>
      <c r="J56" s="50"/>
      <c r="K56" s="50"/>
      <c r="L56" s="50"/>
      <c r="M56" s="50"/>
      <c r="N56" s="50"/>
      <c r="O56" s="50"/>
      <c r="P56" s="50"/>
      <c r="Q56" s="50"/>
      <c r="R56" s="50"/>
      <c r="S56" s="50"/>
      <c r="T56" s="50"/>
      <c r="U56" s="50"/>
      <c r="V56" s="50"/>
      <c r="W56" s="50"/>
      <c r="X56" s="50"/>
      <c r="Y56" s="50"/>
      <c r="Z56" s="43" t="str">
        <f t="shared" si="0"/>
        <v>Очікую</v>
      </c>
      <c r="AA56" s="22"/>
      <c r="AB56" s="40"/>
    </row>
    <row r="57" spans="1:28" s="11" customFormat="1" ht="15" customHeight="1" x14ac:dyDescent="0.25">
      <c r="A57" s="41"/>
      <c r="B57" s="12"/>
      <c r="C57" s="48"/>
      <c r="D57" s="48">
        <v>48</v>
      </c>
      <c r="E57" s="49"/>
      <c r="F57" s="50"/>
      <c r="G57" s="50"/>
      <c r="H57" s="50"/>
      <c r="I57" s="50"/>
      <c r="J57" s="50"/>
      <c r="K57" s="50"/>
      <c r="L57" s="50"/>
      <c r="M57" s="50"/>
      <c r="N57" s="50"/>
      <c r="O57" s="50"/>
      <c r="P57" s="50"/>
      <c r="Q57" s="50"/>
      <c r="R57" s="50"/>
      <c r="S57" s="50"/>
      <c r="T57" s="50"/>
      <c r="U57" s="50"/>
      <c r="V57" s="50"/>
      <c r="W57" s="50"/>
      <c r="X57" s="50"/>
      <c r="Y57" s="50"/>
      <c r="Z57" s="43" t="str">
        <f t="shared" si="0"/>
        <v>Очікую</v>
      </c>
      <c r="AA57" s="22"/>
      <c r="AB57" s="40"/>
    </row>
    <row r="58" spans="1:28" s="11" customFormat="1" ht="15" customHeight="1" x14ac:dyDescent="0.25">
      <c r="A58" s="41"/>
      <c r="B58" s="12"/>
      <c r="C58" s="48"/>
      <c r="D58" s="48">
        <v>49</v>
      </c>
      <c r="E58" s="49"/>
      <c r="F58" s="50"/>
      <c r="G58" s="50"/>
      <c r="H58" s="50"/>
      <c r="I58" s="50"/>
      <c r="J58" s="50"/>
      <c r="K58" s="50"/>
      <c r="L58" s="50"/>
      <c r="M58" s="50"/>
      <c r="N58" s="50"/>
      <c r="O58" s="50"/>
      <c r="P58" s="50"/>
      <c r="Q58" s="50"/>
      <c r="R58" s="50"/>
      <c r="S58" s="50"/>
      <c r="T58" s="50"/>
      <c r="U58" s="50"/>
      <c r="V58" s="50"/>
      <c r="W58" s="50"/>
      <c r="X58" s="50"/>
      <c r="Y58" s="50"/>
      <c r="Z58" s="43" t="str">
        <f t="shared" si="0"/>
        <v>Очікую</v>
      </c>
      <c r="AA58" s="22"/>
      <c r="AB58" s="40"/>
    </row>
    <row r="59" spans="1:28" s="11" customFormat="1" ht="15" customHeight="1" x14ac:dyDescent="0.25">
      <c r="A59" s="41"/>
      <c r="B59" s="12"/>
      <c r="C59" s="48"/>
      <c r="D59" s="48">
        <v>50</v>
      </c>
      <c r="E59" s="49"/>
      <c r="F59" s="50"/>
      <c r="G59" s="50"/>
      <c r="H59" s="50"/>
      <c r="I59" s="50"/>
      <c r="J59" s="50"/>
      <c r="K59" s="50"/>
      <c r="L59" s="50"/>
      <c r="M59" s="50"/>
      <c r="N59" s="50"/>
      <c r="O59" s="50"/>
      <c r="P59" s="50"/>
      <c r="Q59" s="50"/>
      <c r="R59" s="50"/>
      <c r="S59" s="50"/>
      <c r="T59" s="50"/>
      <c r="U59" s="50"/>
      <c r="V59" s="50"/>
      <c r="W59" s="50"/>
      <c r="X59" s="50"/>
      <c r="Y59" s="50"/>
      <c r="Z59" s="43" t="str">
        <f t="shared" si="0"/>
        <v>Очікую</v>
      </c>
      <c r="AA59" s="22"/>
      <c r="AB59" s="40"/>
    </row>
    <row r="60" spans="1:28" s="11" customFormat="1" ht="15" customHeight="1" x14ac:dyDescent="0.25">
      <c r="A60" s="41"/>
      <c r="B60" s="12"/>
      <c r="C60" s="48"/>
      <c r="D60" s="48">
        <v>51</v>
      </c>
      <c r="E60" s="49"/>
      <c r="F60" s="50"/>
      <c r="G60" s="50"/>
      <c r="H60" s="50"/>
      <c r="I60" s="50"/>
      <c r="J60" s="50"/>
      <c r="K60" s="50"/>
      <c r="L60" s="50"/>
      <c r="M60" s="50"/>
      <c r="N60" s="50"/>
      <c r="O60" s="50"/>
      <c r="P60" s="50"/>
      <c r="Q60" s="50"/>
      <c r="R60" s="50"/>
      <c r="S60" s="50"/>
      <c r="T60" s="50"/>
      <c r="U60" s="50"/>
      <c r="V60" s="50"/>
      <c r="W60" s="50"/>
      <c r="X60" s="50"/>
      <c r="Y60" s="50"/>
      <c r="Z60" s="43" t="str">
        <f t="shared" si="0"/>
        <v>Очікую</v>
      </c>
      <c r="AA60" s="22"/>
      <c r="AB60" s="40"/>
    </row>
    <row r="61" spans="1:28" s="11" customFormat="1" ht="15" customHeight="1" x14ac:dyDescent="0.25">
      <c r="A61" s="41"/>
      <c r="B61" s="12"/>
      <c r="C61" s="48"/>
      <c r="D61" s="48">
        <v>52</v>
      </c>
      <c r="E61" s="49"/>
      <c r="F61" s="50"/>
      <c r="G61" s="50"/>
      <c r="H61" s="50"/>
      <c r="I61" s="50"/>
      <c r="J61" s="50"/>
      <c r="K61" s="50"/>
      <c r="L61" s="50"/>
      <c r="M61" s="50"/>
      <c r="N61" s="50"/>
      <c r="O61" s="50"/>
      <c r="P61" s="50"/>
      <c r="Q61" s="50"/>
      <c r="R61" s="50"/>
      <c r="S61" s="50"/>
      <c r="T61" s="50"/>
      <c r="U61" s="50"/>
      <c r="V61" s="50"/>
      <c r="W61" s="50"/>
      <c r="X61" s="50"/>
      <c r="Y61" s="50"/>
      <c r="Z61" s="43" t="str">
        <f t="shared" si="0"/>
        <v>Очікую</v>
      </c>
      <c r="AA61" s="22"/>
      <c r="AB61" s="40"/>
    </row>
    <row r="62" spans="1:28" s="11" customFormat="1" ht="15" customHeight="1" x14ac:dyDescent="0.25">
      <c r="A62" s="41"/>
      <c r="B62" s="12"/>
      <c r="C62" s="48"/>
      <c r="D62" s="48">
        <v>53</v>
      </c>
      <c r="E62" s="49"/>
      <c r="F62" s="50"/>
      <c r="G62" s="50"/>
      <c r="H62" s="50"/>
      <c r="I62" s="50"/>
      <c r="J62" s="50"/>
      <c r="K62" s="50"/>
      <c r="L62" s="50"/>
      <c r="M62" s="50"/>
      <c r="N62" s="50"/>
      <c r="O62" s="50"/>
      <c r="P62" s="50"/>
      <c r="Q62" s="50"/>
      <c r="R62" s="50"/>
      <c r="S62" s="50"/>
      <c r="T62" s="50"/>
      <c r="U62" s="50"/>
      <c r="V62" s="50"/>
      <c r="W62" s="50"/>
      <c r="X62" s="50"/>
      <c r="Y62" s="50"/>
      <c r="Z62" s="43" t="str">
        <f t="shared" si="0"/>
        <v>Очікую</v>
      </c>
      <c r="AA62" s="22"/>
      <c r="AB62" s="40"/>
    </row>
    <row r="63" spans="1:28" s="11" customFormat="1" ht="15" customHeight="1" x14ac:dyDescent="0.25">
      <c r="A63" s="41"/>
      <c r="B63" s="12"/>
      <c r="C63" s="48"/>
      <c r="D63" s="48">
        <v>54</v>
      </c>
      <c r="E63" s="49"/>
      <c r="F63" s="50"/>
      <c r="G63" s="50"/>
      <c r="H63" s="50"/>
      <c r="I63" s="50"/>
      <c r="J63" s="50"/>
      <c r="K63" s="50"/>
      <c r="L63" s="50"/>
      <c r="M63" s="50"/>
      <c r="N63" s="50"/>
      <c r="O63" s="50"/>
      <c r="P63" s="50"/>
      <c r="Q63" s="50"/>
      <c r="R63" s="50"/>
      <c r="S63" s="50"/>
      <c r="T63" s="50"/>
      <c r="U63" s="50"/>
      <c r="V63" s="50"/>
      <c r="W63" s="50"/>
      <c r="X63" s="50"/>
      <c r="Y63" s="50"/>
      <c r="Z63" s="43" t="str">
        <f t="shared" si="0"/>
        <v>Очікую</v>
      </c>
      <c r="AA63" s="22"/>
      <c r="AB63" s="40"/>
    </row>
    <row r="64" spans="1:28" s="11" customFormat="1" ht="15" customHeight="1" x14ac:dyDescent="0.25">
      <c r="A64" s="41"/>
      <c r="B64" s="12"/>
      <c r="C64" s="48"/>
      <c r="D64" s="48">
        <v>55</v>
      </c>
      <c r="E64" s="49"/>
      <c r="F64" s="50"/>
      <c r="G64" s="50"/>
      <c r="H64" s="50"/>
      <c r="I64" s="50"/>
      <c r="J64" s="50"/>
      <c r="K64" s="50"/>
      <c r="L64" s="50"/>
      <c r="M64" s="50"/>
      <c r="N64" s="50"/>
      <c r="O64" s="50"/>
      <c r="P64" s="50"/>
      <c r="Q64" s="50"/>
      <c r="R64" s="50"/>
      <c r="S64" s="50"/>
      <c r="T64" s="50"/>
      <c r="U64" s="50"/>
      <c r="V64" s="50"/>
      <c r="W64" s="50"/>
      <c r="X64" s="50"/>
      <c r="Y64" s="50"/>
      <c r="Z64" s="43" t="str">
        <f t="shared" si="0"/>
        <v>Очікую</v>
      </c>
      <c r="AA64" s="22"/>
      <c r="AB64" s="40"/>
    </row>
    <row r="65" spans="1:28" s="11" customFormat="1" ht="15" customHeight="1" x14ac:dyDescent="0.25">
      <c r="A65" s="41"/>
      <c r="B65" s="12"/>
      <c r="C65" s="48"/>
      <c r="D65" s="48">
        <v>56</v>
      </c>
      <c r="E65" s="49"/>
      <c r="F65" s="50"/>
      <c r="G65" s="50"/>
      <c r="H65" s="50"/>
      <c r="I65" s="50"/>
      <c r="J65" s="50"/>
      <c r="K65" s="50"/>
      <c r="L65" s="50"/>
      <c r="M65" s="50"/>
      <c r="N65" s="50"/>
      <c r="O65" s="50"/>
      <c r="P65" s="50"/>
      <c r="Q65" s="50"/>
      <c r="R65" s="50"/>
      <c r="S65" s="50"/>
      <c r="T65" s="50"/>
      <c r="U65" s="50"/>
      <c r="V65" s="50"/>
      <c r="W65" s="50"/>
      <c r="X65" s="50"/>
      <c r="Y65" s="50"/>
      <c r="Z65" s="43" t="str">
        <f t="shared" si="0"/>
        <v>Очікую</v>
      </c>
      <c r="AA65" s="22"/>
      <c r="AB65" s="40"/>
    </row>
    <row r="66" spans="1:28" s="11" customFormat="1" ht="15" customHeight="1" x14ac:dyDescent="0.25">
      <c r="A66" s="41"/>
      <c r="B66" s="12"/>
      <c r="C66" s="48"/>
      <c r="D66" s="48">
        <v>57</v>
      </c>
      <c r="E66" s="49"/>
      <c r="F66" s="50"/>
      <c r="G66" s="50"/>
      <c r="H66" s="50"/>
      <c r="I66" s="50"/>
      <c r="J66" s="50"/>
      <c r="K66" s="50"/>
      <c r="L66" s="50"/>
      <c r="M66" s="50"/>
      <c r="N66" s="50"/>
      <c r="O66" s="50"/>
      <c r="P66" s="50"/>
      <c r="Q66" s="50"/>
      <c r="R66" s="50"/>
      <c r="S66" s="50"/>
      <c r="T66" s="50"/>
      <c r="U66" s="50"/>
      <c r="V66" s="50"/>
      <c r="W66" s="50"/>
      <c r="X66" s="50"/>
      <c r="Y66" s="50"/>
      <c r="Z66" s="43" t="str">
        <f t="shared" si="0"/>
        <v>Очікую</v>
      </c>
      <c r="AA66" s="22"/>
      <c r="AB66" s="40"/>
    </row>
    <row r="67" spans="1:28" s="11" customFormat="1" ht="15" customHeight="1" x14ac:dyDescent="0.25">
      <c r="A67" s="41"/>
      <c r="B67" s="12"/>
      <c r="C67" s="48"/>
      <c r="D67" s="48">
        <v>58</v>
      </c>
      <c r="E67" s="49"/>
      <c r="F67" s="50"/>
      <c r="G67" s="50"/>
      <c r="H67" s="50"/>
      <c r="I67" s="50"/>
      <c r="J67" s="50"/>
      <c r="K67" s="50"/>
      <c r="L67" s="50"/>
      <c r="M67" s="50"/>
      <c r="N67" s="50"/>
      <c r="O67" s="50"/>
      <c r="P67" s="50"/>
      <c r="Q67" s="50"/>
      <c r="R67" s="50"/>
      <c r="S67" s="50"/>
      <c r="T67" s="50"/>
      <c r="U67" s="50"/>
      <c r="V67" s="50"/>
      <c r="W67" s="50"/>
      <c r="X67" s="50"/>
      <c r="Y67" s="50"/>
      <c r="Z67" s="43" t="str">
        <f t="shared" si="0"/>
        <v>Очікую</v>
      </c>
      <c r="AA67" s="22"/>
      <c r="AB67" s="40"/>
    </row>
    <row r="68" spans="1:28" s="11" customFormat="1" ht="15" customHeight="1" x14ac:dyDescent="0.25">
      <c r="A68" s="41"/>
      <c r="B68" s="12"/>
      <c r="C68" s="48"/>
      <c r="D68" s="48">
        <v>59</v>
      </c>
      <c r="E68" s="49"/>
      <c r="F68" s="50"/>
      <c r="G68" s="50"/>
      <c r="H68" s="50"/>
      <c r="I68" s="50"/>
      <c r="J68" s="50"/>
      <c r="K68" s="50"/>
      <c r="L68" s="50"/>
      <c r="M68" s="50"/>
      <c r="N68" s="50"/>
      <c r="O68" s="50"/>
      <c r="P68" s="50"/>
      <c r="Q68" s="50"/>
      <c r="R68" s="50"/>
      <c r="S68" s="50"/>
      <c r="T68" s="50"/>
      <c r="U68" s="50"/>
      <c r="V68" s="50"/>
      <c r="W68" s="50"/>
      <c r="X68" s="50"/>
      <c r="Y68" s="50"/>
      <c r="Z68" s="43" t="str">
        <f t="shared" si="0"/>
        <v>Очікую</v>
      </c>
      <c r="AA68" s="22"/>
      <c r="AB68" s="40"/>
    </row>
    <row r="69" spans="1:28" s="11" customFormat="1" ht="15" customHeight="1" x14ac:dyDescent="0.25">
      <c r="A69" s="41"/>
      <c r="B69" s="12"/>
      <c r="C69" s="48"/>
      <c r="D69" s="48">
        <v>60</v>
      </c>
      <c r="E69" s="49"/>
      <c r="F69" s="50"/>
      <c r="G69" s="50"/>
      <c r="H69" s="50"/>
      <c r="I69" s="50"/>
      <c r="J69" s="50"/>
      <c r="K69" s="50"/>
      <c r="L69" s="50"/>
      <c r="M69" s="50"/>
      <c r="N69" s="50"/>
      <c r="O69" s="50"/>
      <c r="P69" s="50"/>
      <c r="Q69" s="50"/>
      <c r="R69" s="50"/>
      <c r="S69" s="50"/>
      <c r="T69" s="50"/>
      <c r="U69" s="50"/>
      <c r="V69" s="50"/>
      <c r="W69" s="50"/>
      <c r="X69" s="50"/>
      <c r="Y69" s="50"/>
      <c r="Z69" s="43" t="str">
        <f t="shared" si="0"/>
        <v>Очікую</v>
      </c>
      <c r="AA69" s="22"/>
      <c r="AB69" s="40"/>
    </row>
    <row r="70" spans="1:28" s="11" customFormat="1" ht="15" customHeight="1" x14ac:dyDescent="0.25">
      <c r="A70" s="41"/>
      <c r="B70" s="12"/>
      <c r="C70" s="48"/>
      <c r="D70" s="48">
        <v>61</v>
      </c>
      <c r="E70" s="49"/>
      <c r="F70" s="50"/>
      <c r="G70" s="50"/>
      <c r="H70" s="50"/>
      <c r="I70" s="50"/>
      <c r="J70" s="50"/>
      <c r="K70" s="50"/>
      <c r="L70" s="50"/>
      <c r="M70" s="50"/>
      <c r="N70" s="50"/>
      <c r="O70" s="50"/>
      <c r="P70" s="50"/>
      <c r="Q70" s="50"/>
      <c r="R70" s="50"/>
      <c r="S70" s="50"/>
      <c r="T70" s="50"/>
      <c r="U70" s="50"/>
      <c r="V70" s="50"/>
      <c r="W70" s="50"/>
      <c r="X70" s="50"/>
      <c r="Y70" s="50"/>
      <c r="Z70" s="43" t="str">
        <f t="shared" si="0"/>
        <v>Очікую</v>
      </c>
      <c r="AA70" s="22"/>
      <c r="AB70" s="40"/>
    </row>
    <row r="71" spans="1:28" s="11" customFormat="1" ht="15" customHeight="1" x14ac:dyDescent="0.25">
      <c r="A71" s="41"/>
      <c r="B71" s="12"/>
      <c r="C71" s="48"/>
      <c r="D71" s="48">
        <v>62</v>
      </c>
      <c r="E71" s="49"/>
      <c r="F71" s="50"/>
      <c r="G71" s="50"/>
      <c r="H71" s="50"/>
      <c r="I71" s="50"/>
      <c r="J71" s="50"/>
      <c r="K71" s="50"/>
      <c r="L71" s="50"/>
      <c r="M71" s="50"/>
      <c r="N71" s="50"/>
      <c r="O71" s="50"/>
      <c r="P71" s="50"/>
      <c r="Q71" s="50"/>
      <c r="R71" s="50"/>
      <c r="S71" s="50"/>
      <c r="T71" s="50"/>
      <c r="U71" s="50"/>
      <c r="V71" s="50"/>
      <c r="W71" s="50"/>
      <c r="X71" s="50"/>
      <c r="Y71" s="50"/>
      <c r="Z71" s="43" t="str">
        <f t="shared" si="0"/>
        <v>Очікую</v>
      </c>
      <c r="AA71" s="22"/>
      <c r="AB71" s="40"/>
    </row>
    <row r="72" spans="1:28" s="11" customFormat="1" ht="15" customHeight="1" x14ac:dyDescent="0.25">
      <c r="A72" s="41"/>
      <c r="B72" s="12"/>
      <c r="C72" s="48"/>
      <c r="D72" s="48">
        <v>63</v>
      </c>
      <c r="E72" s="49"/>
      <c r="F72" s="50"/>
      <c r="G72" s="50"/>
      <c r="H72" s="50"/>
      <c r="I72" s="50"/>
      <c r="J72" s="50"/>
      <c r="K72" s="50"/>
      <c r="L72" s="50"/>
      <c r="M72" s="50"/>
      <c r="N72" s="50"/>
      <c r="O72" s="50"/>
      <c r="P72" s="50"/>
      <c r="Q72" s="50"/>
      <c r="R72" s="50"/>
      <c r="S72" s="50"/>
      <c r="T72" s="50"/>
      <c r="U72" s="50"/>
      <c r="V72" s="50"/>
      <c r="W72" s="50"/>
      <c r="X72" s="50"/>
      <c r="Y72" s="50"/>
      <c r="Z72" s="43" t="str">
        <f t="shared" si="0"/>
        <v>Очікую</v>
      </c>
      <c r="AA72" s="22"/>
      <c r="AB72" s="40"/>
    </row>
    <row r="73" spans="1:28" s="11" customFormat="1" ht="15" customHeight="1" x14ac:dyDescent="0.25">
      <c r="A73" s="41"/>
      <c r="B73" s="12"/>
      <c r="C73" s="48"/>
      <c r="D73" s="48">
        <v>64</v>
      </c>
      <c r="E73" s="49"/>
      <c r="F73" s="50"/>
      <c r="G73" s="50"/>
      <c r="H73" s="50"/>
      <c r="I73" s="50"/>
      <c r="J73" s="50"/>
      <c r="K73" s="50"/>
      <c r="L73" s="50"/>
      <c r="M73" s="50"/>
      <c r="N73" s="50"/>
      <c r="O73" s="50"/>
      <c r="P73" s="50"/>
      <c r="Q73" s="50"/>
      <c r="R73" s="50"/>
      <c r="S73" s="50"/>
      <c r="T73" s="50"/>
      <c r="U73" s="50"/>
      <c r="V73" s="50"/>
      <c r="W73" s="50"/>
      <c r="X73" s="50"/>
      <c r="Y73" s="50"/>
      <c r="Z73" s="43" t="str">
        <f t="shared" si="0"/>
        <v>Очікую</v>
      </c>
      <c r="AA73" s="22"/>
      <c r="AB73" s="40"/>
    </row>
    <row r="74" spans="1:28" s="11" customFormat="1" ht="15" customHeight="1" x14ac:dyDescent="0.25">
      <c r="A74" s="41"/>
      <c r="B74" s="12"/>
      <c r="C74" s="48"/>
      <c r="D74" s="48">
        <v>65</v>
      </c>
      <c r="E74" s="49"/>
      <c r="F74" s="50"/>
      <c r="G74" s="50"/>
      <c r="H74" s="50"/>
      <c r="I74" s="50"/>
      <c r="J74" s="50"/>
      <c r="K74" s="50"/>
      <c r="L74" s="50"/>
      <c r="M74" s="50"/>
      <c r="N74" s="50"/>
      <c r="O74" s="50"/>
      <c r="P74" s="50"/>
      <c r="Q74" s="50"/>
      <c r="R74" s="50"/>
      <c r="S74" s="50"/>
      <c r="T74" s="50"/>
      <c r="U74" s="50"/>
      <c r="V74" s="50"/>
      <c r="W74" s="50"/>
      <c r="X74" s="50"/>
      <c r="Y74" s="50"/>
      <c r="Z74" s="43" t="str">
        <f t="shared" si="0"/>
        <v>Очікую</v>
      </c>
      <c r="AA74" s="22"/>
      <c r="AB74" s="40"/>
    </row>
    <row r="75" spans="1:28" s="11" customFormat="1" ht="15" customHeight="1" x14ac:dyDescent="0.25">
      <c r="A75" s="41"/>
      <c r="B75" s="12"/>
      <c r="C75" s="48"/>
      <c r="D75" s="48">
        <v>66</v>
      </c>
      <c r="E75" s="49"/>
      <c r="F75" s="50"/>
      <c r="G75" s="50"/>
      <c r="H75" s="50"/>
      <c r="I75" s="50"/>
      <c r="J75" s="50"/>
      <c r="K75" s="50"/>
      <c r="L75" s="50"/>
      <c r="M75" s="50"/>
      <c r="N75" s="50"/>
      <c r="O75" s="50"/>
      <c r="P75" s="50"/>
      <c r="Q75" s="50"/>
      <c r="R75" s="50"/>
      <c r="S75" s="50"/>
      <c r="T75" s="50"/>
      <c r="U75" s="50"/>
      <c r="V75" s="50"/>
      <c r="W75" s="50"/>
      <c r="X75" s="50"/>
      <c r="Y75" s="50"/>
      <c r="Z75" s="43" t="str">
        <f t="shared" ref="Z75:Z109" si="1">IF(COUNTIF(F75:Y75,"=*")&gt;0,IF($C75="К","-"," - "),IF(COUNTIF(F75:Y75,"&lt;4")&gt;0,IF(C75="К","-"," - "),(IFERROR(AVERAGE(F75:Y75),"Очікую"))))</f>
        <v>Очікую</v>
      </c>
      <c r="AA75" s="22"/>
      <c r="AB75" s="40"/>
    </row>
    <row r="76" spans="1:28" s="11" customFormat="1" ht="15" customHeight="1" x14ac:dyDescent="0.25">
      <c r="A76" s="41"/>
      <c r="B76" s="12"/>
      <c r="C76" s="48"/>
      <c r="D76" s="48">
        <v>67</v>
      </c>
      <c r="E76" s="49"/>
      <c r="F76" s="50"/>
      <c r="G76" s="50"/>
      <c r="H76" s="50"/>
      <c r="I76" s="50"/>
      <c r="J76" s="50"/>
      <c r="K76" s="50"/>
      <c r="L76" s="50"/>
      <c r="M76" s="50"/>
      <c r="N76" s="50"/>
      <c r="O76" s="50"/>
      <c r="P76" s="50"/>
      <c r="Q76" s="50"/>
      <c r="R76" s="50"/>
      <c r="S76" s="50"/>
      <c r="T76" s="50"/>
      <c r="U76" s="50"/>
      <c r="V76" s="50"/>
      <c r="W76" s="50"/>
      <c r="X76" s="50"/>
      <c r="Y76" s="50"/>
      <c r="Z76" s="43" t="str">
        <f t="shared" si="1"/>
        <v>Очікую</v>
      </c>
      <c r="AA76" s="22"/>
      <c r="AB76" s="40"/>
    </row>
    <row r="77" spans="1:28" s="11" customFormat="1" ht="15" customHeight="1" x14ac:dyDescent="0.25">
      <c r="A77" s="41"/>
      <c r="B77" s="12"/>
      <c r="C77" s="48"/>
      <c r="D77" s="48">
        <v>68</v>
      </c>
      <c r="E77" s="49"/>
      <c r="F77" s="50"/>
      <c r="G77" s="50"/>
      <c r="H77" s="50"/>
      <c r="I77" s="50"/>
      <c r="J77" s="50"/>
      <c r="K77" s="50"/>
      <c r="L77" s="50"/>
      <c r="M77" s="50"/>
      <c r="N77" s="50"/>
      <c r="O77" s="50"/>
      <c r="P77" s="50"/>
      <c r="Q77" s="50"/>
      <c r="R77" s="50"/>
      <c r="S77" s="50"/>
      <c r="T77" s="50"/>
      <c r="U77" s="50"/>
      <c r="V77" s="50"/>
      <c r="W77" s="50"/>
      <c r="X77" s="50"/>
      <c r="Y77" s="50"/>
      <c r="Z77" s="43" t="str">
        <f t="shared" si="1"/>
        <v>Очікую</v>
      </c>
      <c r="AA77" s="22"/>
      <c r="AB77" s="40"/>
    </row>
    <row r="78" spans="1:28" s="11" customFormat="1" ht="15" customHeight="1" x14ac:dyDescent="0.25">
      <c r="A78" s="41"/>
      <c r="B78" s="12"/>
      <c r="C78" s="48"/>
      <c r="D78" s="48">
        <v>69</v>
      </c>
      <c r="E78" s="49"/>
      <c r="F78" s="50"/>
      <c r="G78" s="50"/>
      <c r="H78" s="50"/>
      <c r="I78" s="50"/>
      <c r="J78" s="50"/>
      <c r="K78" s="50"/>
      <c r="L78" s="50"/>
      <c r="M78" s="50"/>
      <c r="N78" s="50"/>
      <c r="O78" s="50"/>
      <c r="P78" s="50"/>
      <c r="Q78" s="50"/>
      <c r="R78" s="50"/>
      <c r="S78" s="50"/>
      <c r="T78" s="50"/>
      <c r="U78" s="50"/>
      <c r="V78" s="50"/>
      <c r="W78" s="50"/>
      <c r="X78" s="50"/>
      <c r="Y78" s="50"/>
      <c r="Z78" s="43" t="str">
        <f t="shared" si="1"/>
        <v>Очікую</v>
      </c>
      <c r="AA78" s="22"/>
      <c r="AB78" s="40"/>
    </row>
    <row r="79" spans="1:28" s="11" customFormat="1" ht="15" customHeight="1" x14ac:dyDescent="0.25">
      <c r="A79" s="41"/>
      <c r="B79" s="12"/>
      <c r="C79" s="48"/>
      <c r="D79" s="48">
        <v>70</v>
      </c>
      <c r="E79" s="49"/>
      <c r="F79" s="50"/>
      <c r="G79" s="50"/>
      <c r="H79" s="50"/>
      <c r="I79" s="50"/>
      <c r="J79" s="50"/>
      <c r="K79" s="50"/>
      <c r="L79" s="50"/>
      <c r="M79" s="50"/>
      <c r="N79" s="50"/>
      <c r="O79" s="50"/>
      <c r="P79" s="50"/>
      <c r="Q79" s="50"/>
      <c r="R79" s="50"/>
      <c r="S79" s="50"/>
      <c r="T79" s="50"/>
      <c r="U79" s="50"/>
      <c r="V79" s="50"/>
      <c r="W79" s="50"/>
      <c r="X79" s="50"/>
      <c r="Y79" s="50"/>
      <c r="Z79" s="43" t="str">
        <f t="shared" si="1"/>
        <v>Очікую</v>
      </c>
      <c r="AA79" s="22"/>
      <c r="AB79" s="40"/>
    </row>
    <row r="80" spans="1:28" s="11" customFormat="1" ht="15" customHeight="1" x14ac:dyDescent="0.25">
      <c r="A80" s="41"/>
      <c r="B80" s="12"/>
      <c r="C80" s="48"/>
      <c r="D80" s="48">
        <v>71</v>
      </c>
      <c r="E80" s="49"/>
      <c r="F80" s="50"/>
      <c r="G80" s="50"/>
      <c r="H80" s="50"/>
      <c r="I80" s="50"/>
      <c r="J80" s="50"/>
      <c r="K80" s="50"/>
      <c r="L80" s="50"/>
      <c r="M80" s="50"/>
      <c r="N80" s="50"/>
      <c r="O80" s="50"/>
      <c r="P80" s="50"/>
      <c r="Q80" s="50"/>
      <c r="R80" s="50"/>
      <c r="S80" s="50"/>
      <c r="T80" s="50"/>
      <c r="U80" s="50"/>
      <c r="V80" s="50"/>
      <c r="W80" s="50"/>
      <c r="X80" s="50"/>
      <c r="Y80" s="50"/>
      <c r="Z80" s="43" t="str">
        <f t="shared" si="1"/>
        <v>Очікую</v>
      </c>
      <c r="AA80" s="22"/>
      <c r="AB80" s="40"/>
    </row>
    <row r="81" spans="1:28" s="11" customFormat="1" ht="15" customHeight="1" x14ac:dyDescent="0.25">
      <c r="A81" s="41"/>
      <c r="B81" s="12"/>
      <c r="C81" s="48"/>
      <c r="D81" s="48">
        <v>72</v>
      </c>
      <c r="E81" s="49"/>
      <c r="F81" s="50"/>
      <c r="G81" s="50"/>
      <c r="H81" s="50"/>
      <c r="I81" s="50"/>
      <c r="J81" s="50"/>
      <c r="K81" s="50"/>
      <c r="L81" s="50"/>
      <c r="M81" s="50"/>
      <c r="N81" s="50"/>
      <c r="O81" s="50"/>
      <c r="P81" s="50"/>
      <c r="Q81" s="50"/>
      <c r="R81" s="50"/>
      <c r="S81" s="50"/>
      <c r="T81" s="50"/>
      <c r="U81" s="50"/>
      <c r="V81" s="50"/>
      <c r="W81" s="50"/>
      <c r="X81" s="50"/>
      <c r="Y81" s="50"/>
      <c r="Z81" s="43" t="str">
        <f t="shared" si="1"/>
        <v>Очікую</v>
      </c>
      <c r="AA81" s="22"/>
      <c r="AB81" s="40"/>
    </row>
    <row r="82" spans="1:28" s="11" customFormat="1" ht="15" customHeight="1" x14ac:dyDescent="0.25">
      <c r="A82" s="41"/>
      <c r="B82" s="12"/>
      <c r="C82" s="48"/>
      <c r="D82" s="48">
        <v>73</v>
      </c>
      <c r="E82" s="49"/>
      <c r="F82" s="50"/>
      <c r="G82" s="50"/>
      <c r="H82" s="50"/>
      <c r="I82" s="50"/>
      <c r="J82" s="50"/>
      <c r="K82" s="50"/>
      <c r="L82" s="50"/>
      <c r="M82" s="50"/>
      <c r="N82" s="50"/>
      <c r="O82" s="50"/>
      <c r="P82" s="50"/>
      <c r="Q82" s="50"/>
      <c r="R82" s="50"/>
      <c r="S82" s="50"/>
      <c r="T82" s="50"/>
      <c r="U82" s="50"/>
      <c r="V82" s="50"/>
      <c r="W82" s="50"/>
      <c r="X82" s="50"/>
      <c r="Y82" s="50"/>
      <c r="Z82" s="43" t="str">
        <f t="shared" si="1"/>
        <v>Очікую</v>
      </c>
      <c r="AA82" s="22"/>
      <c r="AB82" s="40"/>
    </row>
    <row r="83" spans="1:28" s="11" customFormat="1" ht="15" customHeight="1" x14ac:dyDescent="0.25">
      <c r="A83" s="41"/>
      <c r="B83" s="12"/>
      <c r="C83" s="48"/>
      <c r="D83" s="48">
        <v>74</v>
      </c>
      <c r="E83" s="49"/>
      <c r="F83" s="50"/>
      <c r="G83" s="50"/>
      <c r="H83" s="50"/>
      <c r="I83" s="50"/>
      <c r="J83" s="50"/>
      <c r="K83" s="50"/>
      <c r="L83" s="50"/>
      <c r="M83" s="50"/>
      <c r="N83" s="50"/>
      <c r="O83" s="50"/>
      <c r="P83" s="50"/>
      <c r="Q83" s="50"/>
      <c r="R83" s="50"/>
      <c r="S83" s="50"/>
      <c r="T83" s="50"/>
      <c r="U83" s="50"/>
      <c r="V83" s="50"/>
      <c r="W83" s="50"/>
      <c r="X83" s="50"/>
      <c r="Y83" s="50"/>
      <c r="Z83" s="43" t="str">
        <f t="shared" si="1"/>
        <v>Очікую</v>
      </c>
      <c r="AA83" s="22"/>
      <c r="AB83" s="40"/>
    </row>
    <row r="84" spans="1:28" s="11" customFormat="1" ht="15" customHeight="1" x14ac:dyDescent="0.25">
      <c r="A84" s="41"/>
      <c r="B84" s="12"/>
      <c r="C84" s="48"/>
      <c r="D84" s="48">
        <v>75</v>
      </c>
      <c r="E84" s="49"/>
      <c r="F84" s="50"/>
      <c r="G84" s="50"/>
      <c r="H84" s="50"/>
      <c r="I84" s="50"/>
      <c r="J84" s="50"/>
      <c r="K84" s="50"/>
      <c r="L84" s="50"/>
      <c r="M84" s="50"/>
      <c r="N84" s="50"/>
      <c r="O84" s="50"/>
      <c r="P84" s="50"/>
      <c r="Q84" s="50"/>
      <c r="R84" s="50"/>
      <c r="S84" s="50"/>
      <c r="T84" s="50"/>
      <c r="U84" s="50"/>
      <c r="V84" s="50"/>
      <c r="W84" s="50"/>
      <c r="X84" s="50"/>
      <c r="Y84" s="50"/>
      <c r="Z84" s="43" t="str">
        <f t="shared" si="1"/>
        <v>Очікую</v>
      </c>
      <c r="AA84" s="22"/>
      <c r="AB84" s="40"/>
    </row>
    <row r="85" spans="1:28" s="11" customFormat="1" ht="15" customHeight="1" x14ac:dyDescent="0.25">
      <c r="A85" s="41"/>
      <c r="B85" s="12"/>
      <c r="C85" s="48"/>
      <c r="D85" s="48">
        <v>76</v>
      </c>
      <c r="E85" s="49"/>
      <c r="F85" s="50"/>
      <c r="G85" s="50"/>
      <c r="H85" s="50"/>
      <c r="I85" s="50"/>
      <c r="J85" s="50"/>
      <c r="K85" s="50"/>
      <c r="L85" s="50"/>
      <c r="M85" s="50"/>
      <c r="N85" s="50"/>
      <c r="O85" s="50"/>
      <c r="P85" s="50"/>
      <c r="Q85" s="50"/>
      <c r="R85" s="50"/>
      <c r="S85" s="50"/>
      <c r="T85" s="50"/>
      <c r="U85" s="50"/>
      <c r="V85" s="50"/>
      <c r="W85" s="50"/>
      <c r="X85" s="50"/>
      <c r="Y85" s="50"/>
      <c r="Z85" s="43" t="str">
        <f t="shared" si="1"/>
        <v>Очікую</v>
      </c>
      <c r="AA85" s="22"/>
      <c r="AB85" s="40"/>
    </row>
    <row r="86" spans="1:28" s="11" customFormat="1" ht="15" customHeight="1" x14ac:dyDescent="0.25">
      <c r="A86" s="41"/>
      <c r="B86" s="12"/>
      <c r="C86" s="48"/>
      <c r="D86" s="48">
        <v>77</v>
      </c>
      <c r="E86" s="49"/>
      <c r="F86" s="50"/>
      <c r="G86" s="50"/>
      <c r="H86" s="50"/>
      <c r="I86" s="50"/>
      <c r="J86" s="50"/>
      <c r="K86" s="50"/>
      <c r="L86" s="50"/>
      <c r="M86" s="50"/>
      <c r="N86" s="50"/>
      <c r="O86" s="50"/>
      <c r="P86" s="50"/>
      <c r="Q86" s="50"/>
      <c r="R86" s="50"/>
      <c r="S86" s="50"/>
      <c r="T86" s="50"/>
      <c r="U86" s="50"/>
      <c r="V86" s="50"/>
      <c r="W86" s="50"/>
      <c r="X86" s="50"/>
      <c r="Y86" s="50"/>
      <c r="Z86" s="43" t="str">
        <f t="shared" si="1"/>
        <v>Очікую</v>
      </c>
      <c r="AA86" s="22"/>
      <c r="AB86" s="40"/>
    </row>
    <row r="87" spans="1:28" s="11" customFormat="1" ht="15" customHeight="1" x14ac:dyDescent="0.25">
      <c r="A87" s="41"/>
      <c r="B87" s="12"/>
      <c r="C87" s="48"/>
      <c r="D87" s="48">
        <v>78</v>
      </c>
      <c r="E87" s="49"/>
      <c r="F87" s="50"/>
      <c r="G87" s="50"/>
      <c r="H87" s="50"/>
      <c r="I87" s="50"/>
      <c r="J87" s="50"/>
      <c r="K87" s="50"/>
      <c r="L87" s="50"/>
      <c r="M87" s="50"/>
      <c r="N87" s="50"/>
      <c r="O87" s="50"/>
      <c r="P87" s="50"/>
      <c r="Q87" s="50"/>
      <c r="R87" s="50"/>
      <c r="S87" s="50"/>
      <c r="T87" s="50"/>
      <c r="U87" s="50"/>
      <c r="V87" s="50"/>
      <c r="W87" s="50"/>
      <c r="X87" s="50"/>
      <c r="Y87" s="50"/>
      <c r="Z87" s="43" t="str">
        <f t="shared" si="1"/>
        <v>Очікую</v>
      </c>
      <c r="AA87" s="22"/>
      <c r="AB87" s="40"/>
    </row>
    <row r="88" spans="1:28" s="11" customFormat="1" ht="15" customHeight="1" x14ac:dyDescent="0.25">
      <c r="A88" s="41"/>
      <c r="B88" s="12"/>
      <c r="C88" s="48"/>
      <c r="D88" s="48">
        <v>79</v>
      </c>
      <c r="E88" s="49"/>
      <c r="F88" s="50"/>
      <c r="G88" s="50"/>
      <c r="H88" s="50"/>
      <c r="I88" s="50"/>
      <c r="J88" s="50"/>
      <c r="K88" s="50"/>
      <c r="L88" s="50"/>
      <c r="M88" s="50"/>
      <c r="N88" s="50"/>
      <c r="O88" s="50"/>
      <c r="P88" s="50"/>
      <c r="Q88" s="50"/>
      <c r="R88" s="50"/>
      <c r="S88" s="50"/>
      <c r="T88" s="50"/>
      <c r="U88" s="50"/>
      <c r="V88" s="50"/>
      <c r="W88" s="50"/>
      <c r="X88" s="50"/>
      <c r="Y88" s="50"/>
      <c r="Z88" s="43" t="str">
        <f t="shared" si="1"/>
        <v>Очікую</v>
      </c>
      <c r="AA88" s="22"/>
      <c r="AB88" s="40"/>
    </row>
    <row r="89" spans="1:28" s="11" customFormat="1" ht="15" customHeight="1" x14ac:dyDescent="0.25">
      <c r="A89" s="41"/>
      <c r="B89" s="12"/>
      <c r="C89" s="48"/>
      <c r="D89" s="48">
        <v>80</v>
      </c>
      <c r="E89" s="49"/>
      <c r="F89" s="50"/>
      <c r="G89" s="50"/>
      <c r="H89" s="50"/>
      <c r="I89" s="50"/>
      <c r="J89" s="50"/>
      <c r="K89" s="50"/>
      <c r="L89" s="50"/>
      <c r="M89" s="50"/>
      <c r="N89" s="50"/>
      <c r="O89" s="50"/>
      <c r="P89" s="50"/>
      <c r="Q89" s="50"/>
      <c r="R89" s="50"/>
      <c r="S89" s="50"/>
      <c r="T89" s="50"/>
      <c r="U89" s="50"/>
      <c r="V89" s="50"/>
      <c r="W89" s="50"/>
      <c r="X89" s="50"/>
      <c r="Y89" s="50"/>
      <c r="Z89" s="43" t="str">
        <f t="shared" si="1"/>
        <v>Очікую</v>
      </c>
      <c r="AA89" s="22"/>
      <c r="AB89" s="40"/>
    </row>
    <row r="90" spans="1:28" s="11" customFormat="1" ht="15" customHeight="1" x14ac:dyDescent="0.25">
      <c r="A90" s="41"/>
      <c r="B90" s="12"/>
      <c r="C90" s="48"/>
      <c r="D90" s="48">
        <v>81</v>
      </c>
      <c r="E90" s="49"/>
      <c r="F90" s="50"/>
      <c r="G90" s="50"/>
      <c r="H90" s="50"/>
      <c r="I90" s="50"/>
      <c r="J90" s="50"/>
      <c r="K90" s="50"/>
      <c r="L90" s="50"/>
      <c r="M90" s="50"/>
      <c r="N90" s="50"/>
      <c r="O90" s="50"/>
      <c r="P90" s="50"/>
      <c r="Q90" s="50"/>
      <c r="R90" s="50"/>
      <c r="S90" s="50"/>
      <c r="T90" s="50"/>
      <c r="U90" s="50"/>
      <c r="V90" s="50"/>
      <c r="W90" s="50"/>
      <c r="X90" s="50"/>
      <c r="Y90" s="50"/>
      <c r="Z90" s="43" t="str">
        <f t="shared" si="1"/>
        <v>Очікую</v>
      </c>
      <c r="AA90" s="22"/>
      <c r="AB90" s="40"/>
    </row>
    <row r="91" spans="1:28" s="11" customFormat="1" ht="15" customHeight="1" x14ac:dyDescent="0.25">
      <c r="A91" s="41"/>
      <c r="B91" s="12"/>
      <c r="C91" s="48"/>
      <c r="D91" s="48">
        <v>82</v>
      </c>
      <c r="E91" s="49"/>
      <c r="F91" s="50"/>
      <c r="G91" s="50"/>
      <c r="H91" s="50"/>
      <c r="I91" s="50"/>
      <c r="J91" s="50"/>
      <c r="K91" s="50"/>
      <c r="L91" s="50"/>
      <c r="M91" s="50"/>
      <c r="N91" s="50"/>
      <c r="O91" s="50"/>
      <c r="P91" s="50"/>
      <c r="Q91" s="50"/>
      <c r="R91" s="50"/>
      <c r="S91" s="50"/>
      <c r="T91" s="50"/>
      <c r="U91" s="50"/>
      <c r="V91" s="50"/>
      <c r="W91" s="50"/>
      <c r="X91" s="50"/>
      <c r="Y91" s="50"/>
      <c r="Z91" s="43" t="str">
        <f t="shared" si="1"/>
        <v>Очікую</v>
      </c>
      <c r="AA91" s="22"/>
      <c r="AB91" s="40"/>
    </row>
    <row r="92" spans="1:28" s="11" customFormat="1" ht="15" customHeight="1" x14ac:dyDescent="0.25">
      <c r="A92" s="41"/>
      <c r="B92" s="12"/>
      <c r="C92" s="48"/>
      <c r="D92" s="48">
        <v>83</v>
      </c>
      <c r="E92" s="49"/>
      <c r="F92" s="50"/>
      <c r="G92" s="50"/>
      <c r="H92" s="50"/>
      <c r="I92" s="50"/>
      <c r="J92" s="50"/>
      <c r="K92" s="50"/>
      <c r="L92" s="50"/>
      <c r="M92" s="50"/>
      <c r="N92" s="50"/>
      <c r="O92" s="50"/>
      <c r="P92" s="50"/>
      <c r="Q92" s="50"/>
      <c r="R92" s="50"/>
      <c r="S92" s="50"/>
      <c r="T92" s="50"/>
      <c r="U92" s="50"/>
      <c r="V92" s="50"/>
      <c r="W92" s="50"/>
      <c r="X92" s="50"/>
      <c r="Y92" s="50"/>
      <c r="Z92" s="43" t="str">
        <f t="shared" si="1"/>
        <v>Очікую</v>
      </c>
      <c r="AA92" s="22"/>
      <c r="AB92" s="40"/>
    </row>
    <row r="93" spans="1:28" s="11" customFormat="1" ht="15" customHeight="1" x14ac:dyDescent="0.25">
      <c r="A93" s="41"/>
      <c r="B93" s="12"/>
      <c r="C93" s="48"/>
      <c r="D93" s="48">
        <v>84</v>
      </c>
      <c r="E93" s="49"/>
      <c r="F93" s="50"/>
      <c r="G93" s="50"/>
      <c r="H93" s="50"/>
      <c r="I93" s="50"/>
      <c r="J93" s="50"/>
      <c r="K93" s="50"/>
      <c r="L93" s="50"/>
      <c r="M93" s="50"/>
      <c r="N93" s="50"/>
      <c r="O93" s="50"/>
      <c r="P93" s="50"/>
      <c r="Q93" s="50"/>
      <c r="R93" s="50"/>
      <c r="S93" s="50"/>
      <c r="T93" s="50"/>
      <c r="U93" s="50"/>
      <c r="V93" s="50"/>
      <c r="W93" s="50"/>
      <c r="X93" s="50"/>
      <c r="Y93" s="50"/>
      <c r="Z93" s="43" t="str">
        <f t="shared" si="1"/>
        <v>Очікую</v>
      </c>
      <c r="AA93" s="22"/>
      <c r="AB93" s="40"/>
    </row>
    <row r="94" spans="1:28" s="11" customFormat="1" ht="15" customHeight="1" x14ac:dyDescent="0.25">
      <c r="A94" s="41"/>
      <c r="B94" s="12"/>
      <c r="C94" s="48"/>
      <c r="D94" s="48">
        <v>85</v>
      </c>
      <c r="E94" s="49"/>
      <c r="F94" s="50"/>
      <c r="G94" s="50"/>
      <c r="H94" s="50"/>
      <c r="I94" s="50"/>
      <c r="J94" s="50"/>
      <c r="K94" s="50"/>
      <c r="L94" s="50"/>
      <c r="M94" s="50"/>
      <c r="N94" s="50"/>
      <c r="O94" s="50"/>
      <c r="P94" s="50"/>
      <c r="Q94" s="50"/>
      <c r="R94" s="50"/>
      <c r="S94" s="50"/>
      <c r="T94" s="50"/>
      <c r="U94" s="50"/>
      <c r="V94" s="50"/>
      <c r="W94" s="50"/>
      <c r="X94" s="50"/>
      <c r="Y94" s="50"/>
      <c r="Z94" s="43" t="str">
        <f t="shared" si="1"/>
        <v>Очікую</v>
      </c>
      <c r="AA94" s="22"/>
      <c r="AB94" s="40"/>
    </row>
    <row r="95" spans="1:28" s="11" customFormat="1" ht="15" customHeight="1" x14ac:dyDescent="0.25">
      <c r="A95" s="41"/>
      <c r="B95" s="12"/>
      <c r="C95" s="48"/>
      <c r="D95" s="48">
        <v>86</v>
      </c>
      <c r="E95" s="49"/>
      <c r="F95" s="50"/>
      <c r="G95" s="50"/>
      <c r="H95" s="50"/>
      <c r="I95" s="50"/>
      <c r="J95" s="50"/>
      <c r="K95" s="50"/>
      <c r="L95" s="50"/>
      <c r="M95" s="50"/>
      <c r="N95" s="50"/>
      <c r="O95" s="50"/>
      <c r="P95" s="50"/>
      <c r="Q95" s="50"/>
      <c r="R95" s="50"/>
      <c r="S95" s="50"/>
      <c r="T95" s="50"/>
      <c r="U95" s="50"/>
      <c r="V95" s="50"/>
      <c r="W95" s="50"/>
      <c r="X95" s="50"/>
      <c r="Y95" s="50"/>
      <c r="Z95" s="43" t="str">
        <f t="shared" si="1"/>
        <v>Очікую</v>
      </c>
      <c r="AA95" s="22"/>
      <c r="AB95" s="40"/>
    </row>
    <row r="96" spans="1:28" s="11" customFormat="1" ht="15" customHeight="1" x14ac:dyDescent="0.25">
      <c r="A96" s="41"/>
      <c r="B96" s="12"/>
      <c r="C96" s="48"/>
      <c r="D96" s="48">
        <v>87</v>
      </c>
      <c r="E96" s="49"/>
      <c r="F96" s="50"/>
      <c r="G96" s="50"/>
      <c r="H96" s="50"/>
      <c r="I96" s="50"/>
      <c r="J96" s="50"/>
      <c r="K96" s="50"/>
      <c r="L96" s="50"/>
      <c r="M96" s="50"/>
      <c r="N96" s="50"/>
      <c r="O96" s="50"/>
      <c r="P96" s="50"/>
      <c r="Q96" s="50"/>
      <c r="R96" s="50"/>
      <c r="S96" s="50"/>
      <c r="T96" s="50"/>
      <c r="U96" s="50"/>
      <c r="V96" s="50"/>
      <c r="W96" s="50"/>
      <c r="X96" s="50"/>
      <c r="Y96" s="50"/>
      <c r="Z96" s="43" t="str">
        <f t="shared" si="1"/>
        <v>Очікую</v>
      </c>
      <c r="AA96" s="22"/>
      <c r="AB96" s="40"/>
    </row>
    <row r="97" spans="1:28" s="11" customFormat="1" ht="15" customHeight="1" x14ac:dyDescent="0.25">
      <c r="A97" s="41"/>
      <c r="B97" s="12"/>
      <c r="C97" s="48"/>
      <c r="D97" s="48">
        <v>88</v>
      </c>
      <c r="E97" s="49"/>
      <c r="F97" s="50"/>
      <c r="G97" s="50"/>
      <c r="H97" s="50"/>
      <c r="I97" s="50"/>
      <c r="J97" s="50"/>
      <c r="K97" s="50"/>
      <c r="L97" s="50"/>
      <c r="M97" s="50"/>
      <c r="N97" s="50"/>
      <c r="O97" s="50"/>
      <c r="P97" s="50"/>
      <c r="Q97" s="50"/>
      <c r="R97" s="50"/>
      <c r="S97" s="50"/>
      <c r="T97" s="50"/>
      <c r="U97" s="50"/>
      <c r="V97" s="50"/>
      <c r="W97" s="50"/>
      <c r="X97" s="50"/>
      <c r="Y97" s="50"/>
      <c r="Z97" s="43" t="str">
        <f t="shared" si="1"/>
        <v>Очікую</v>
      </c>
      <c r="AA97" s="22"/>
      <c r="AB97" s="40"/>
    </row>
    <row r="98" spans="1:28" s="11" customFormat="1" ht="15" customHeight="1" x14ac:dyDescent="0.25">
      <c r="A98" s="41"/>
      <c r="B98" s="12"/>
      <c r="C98" s="48"/>
      <c r="D98" s="48">
        <v>89</v>
      </c>
      <c r="E98" s="49"/>
      <c r="F98" s="50"/>
      <c r="G98" s="50"/>
      <c r="H98" s="50"/>
      <c r="I98" s="50"/>
      <c r="J98" s="50"/>
      <c r="K98" s="50"/>
      <c r="L98" s="50"/>
      <c r="M98" s="50"/>
      <c r="N98" s="50"/>
      <c r="O98" s="50"/>
      <c r="P98" s="50"/>
      <c r="Q98" s="50"/>
      <c r="R98" s="50"/>
      <c r="S98" s="50"/>
      <c r="T98" s="50"/>
      <c r="U98" s="50"/>
      <c r="V98" s="50"/>
      <c r="W98" s="50"/>
      <c r="X98" s="50"/>
      <c r="Y98" s="50"/>
      <c r="Z98" s="43" t="str">
        <f t="shared" si="1"/>
        <v>Очікую</v>
      </c>
      <c r="AA98" s="22"/>
      <c r="AB98" s="40"/>
    </row>
    <row r="99" spans="1:28" s="11" customFormat="1" ht="15" customHeight="1" x14ac:dyDescent="0.25">
      <c r="A99" s="41"/>
      <c r="B99" s="12"/>
      <c r="C99" s="48"/>
      <c r="D99" s="48">
        <v>90</v>
      </c>
      <c r="E99" s="49"/>
      <c r="F99" s="50"/>
      <c r="G99" s="50"/>
      <c r="H99" s="50"/>
      <c r="I99" s="50"/>
      <c r="J99" s="50"/>
      <c r="K99" s="50"/>
      <c r="L99" s="50"/>
      <c r="M99" s="50"/>
      <c r="N99" s="50"/>
      <c r="O99" s="50"/>
      <c r="P99" s="50"/>
      <c r="Q99" s="50"/>
      <c r="R99" s="50"/>
      <c r="S99" s="50"/>
      <c r="T99" s="50"/>
      <c r="U99" s="50"/>
      <c r="V99" s="50"/>
      <c r="W99" s="50"/>
      <c r="X99" s="50"/>
      <c r="Y99" s="50"/>
      <c r="Z99" s="43" t="str">
        <f t="shared" si="1"/>
        <v>Очікую</v>
      </c>
      <c r="AA99" s="22"/>
      <c r="AB99" s="40"/>
    </row>
    <row r="100" spans="1:28" s="11" customFormat="1" ht="15" customHeight="1" x14ac:dyDescent="0.25">
      <c r="A100" s="41"/>
      <c r="B100" s="12"/>
      <c r="C100" s="48"/>
      <c r="D100" s="48">
        <v>91</v>
      </c>
      <c r="E100" s="49"/>
      <c r="F100" s="50"/>
      <c r="G100" s="50"/>
      <c r="H100" s="50"/>
      <c r="I100" s="50"/>
      <c r="J100" s="50"/>
      <c r="K100" s="50"/>
      <c r="L100" s="50"/>
      <c r="M100" s="50"/>
      <c r="N100" s="50"/>
      <c r="O100" s="50"/>
      <c r="P100" s="50"/>
      <c r="Q100" s="50"/>
      <c r="R100" s="50"/>
      <c r="S100" s="50"/>
      <c r="T100" s="50"/>
      <c r="U100" s="50"/>
      <c r="V100" s="50"/>
      <c r="W100" s="50"/>
      <c r="X100" s="50"/>
      <c r="Y100" s="50"/>
      <c r="Z100" s="43" t="str">
        <f t="shared" si="1"/>
        <v>Очікую</v>
      </c>
      <c r="AA100" s="22"/>
      <c r="AB100" s="40"/>
    </row>
    <row r="101" spans="1:28" s="11" customFormat="1" ht="15" customHeight="1" x14ac:dyDescent="0.25">
      <c r="A101" s="41"/>
      <c r="B101" s="12"/>
      <c r="C101" s="48"/>
      <c r="D101" s="48">
        <v>92</v>
      </c>
      <c r="E101" s="49"/>
      <c r="F101" s="50"/>
      <c r="G101" s="50"/>
      <c r="H101" s="50"/>
      <c r="I101" s="50"/>
      <c r="J101" s="50"/>
      <c r="K101" s="50"/>
      <c r="L101" s="50"/>
      <c r="M101" s="50"/>
      <c r="N101" s="50"/>
      <c r="O101" s="50"/>
      <c r="P101" s="50"/>
      <c r="Q101" s="50"/>
      <c r="R101" s="50"/>
      <c r="S101" s="50"/>
      <c r="T101" s="50"/>
      <c r="U101" s="50"/>
      <c r="V101" s="50"/>
      <c r="W101" s="50"/>
      <c r="X101" s="50"/>
      <c r="Y101" s="50"/>
      <c r="Z101" s="43" t="str">
        <f t="shared" si="1"/>
        <v>Очікую</v>
      </c>
      <c r="AA101" s="22"/>
      <c r="AB101" s="40"/>
    </row>
    <row r="102" spans="1:28" s="11" customFormat="1" ht="15" customHeight="1" x14ac:dyDescent="0.25">
      <c r="A102" s="41"/>
      <c r="B102" s="12"/>
      <c r="C102" s="48"/>
      <c r="D102" s="48">
        <v>93</v>
      </c>
      <c r="E102" s="49"/>
      <c r="F102" s="50"/>
      <c r="G102" s="50"/>
      <c r="H102" s="50"/>
      <c r="I102" s="50"/>
      <c r="J102" s="50"/>
      <c r="K102" s="50"/>
      <c r="L102" s="50"/>
      <c r="M102" s="50"/>
      <c r="N102" s="50"/>
      <c r="O102" s="50"/>
      <c r="P102" s="50"/>
      <c r="Q102" s="50"/>
      <c r="R102" s="50"/>
      <c r="S102" s="50"/>
      <c r="T102" s="50"/>
      <c r="U102" s="50"/>
      <c r="V102" s="50"/>
      <c r="W102" s="50"/>
      <c r="X102" s="50"/>
      <c r="Y102" s="50"/>
      <c r="Z102" s="43" t="str">
        <f t="shared" si="1"/>
        <v>Очікую</v>
      </c>
      <c r="AA102" s="22"/>
      <c r="AB102" s="40"/>
    </row>
    <row r="103" spans="1:28" s="11" customFormat="1" ht="15" customHeight="1" x14ac:dyDescent="0.25">
      <c r="A103" s="41"/>
      <c r="B103" s="12"/>
      <c r="C103" s="48"/>
      <c r="D103" s="48">
        <v>94</v>
      </c>
      <c r="E103" s="49"/>
      <c r="F103" s="50"/>
      <c r="G103" s="50"/>
      <c r="H103" s="50"/>
      <c r="I103" s="50"/>
      <c r="J103" s="50"/>
      <c r="K103" s="50"/>
      <c r="L103" s="50"/>
      <c r="M103" s="50"/>
      <c r="N103" s="50"/>
      <c r="O103" s="50"/>
      <c r="P103" s="50"/>
      <c r="Q103" s="50"/>
      <c r="R103" s="50"/>
      <c r="S103" s="50"/>
      <c r="T103" s="50"/>
      <c r="U103" s="50"/>
      <c r="V103" s="50"/>
      <c r="W103" s="50"/>
      <c r="X103" s="50"/>
      <c r="Y103" s="50"/>
      <c r="Z103" s="43" t="str">
        <f t="shared" si="1"/>
        <v>Очікую</v>
      </c>
      <c r="AA103" s="22"/>
      <c r="AB103" s="40"/>
    </row>
    <row r="104" spans="1:28" s="11" customFormat="1" ht="15" customHeight="1" x14ac:dyDescent="0.25">
      <c r="A104" s="41"/>
      <c r="B104" s="12"/>
      <c r="C104" s="48"/>
      <c r="D104" s="48">
        <v>95</v>
      </c>
      <c r="E104" s="49"/>
      <c r="F104" s="50"/>
      <c r="G104" s="50"/>
      <c r="H104" s="50"/>
      <c r="I104" s="50"/>
      <c r="J104" s="50"/>
      <c r="K104" s="50"/>
      <c r="L104" s="50"/>
      <c r="M104" s="50"/>
      <c r="N104" s="50"/>
      <c r="O104" s="50"/>
      <c r="P104" s="50"/>
      <c r="Q104" s="50"/>
      <c r="R104" s="50"/>
      <c r="S104" s="50"/>
      <c r="T104" s="50"/>
      <c r="U104" s="50"/>
      <c r="V104" s="50"/>
      <c r="W104" s="50"/>
      <c r="X104" s="50"/>
      <c r="Y104" s="50"/>
      <c r="Z104" s="43" t="str">
        <f t="shared" si="1"/>
        <v>Очікую</v>
      </c>
      <c r="AA104" s="22"/>
      <c r="AB104" s="40"/>
    </row>
    <row r="105" spans="1:28" s="11" customFormat="1" ht="15" customHeight="1" x14ac:dyDescent="0.25">
      <c r="A105" s="41"/>
      <c r="B105" s="12"/>
      <c r="C105" s="48"/>
      <c r="D105" s="48">
        <v>96</v>
      </c>
      <c r="E105" s="49"/>
      <c r="F105" s="50"/>
      <c r="G105" s="50"/>
      <c r="H105" s="50"/>
      <c r="I105" s="50"/>
      <c r="J105" s="50"/>
      <c r="K105" s="50"/>
      <c r="L105" s="50"/>
      <c r="M105" s="50"/>
      <c r="N105" s="50"/>
      <c r="O105" s="50"/>
      <c r="P105" s="50"/>
      <c r="Q105" s="50"/>
      <c r="R105" s="50"/>
      <c r="S105" s="50"/>
      <c r="T105" s="50"/>
      <c r="U105" s="50"/>
      <c r="V105" s="50"/>
      <c r="W105" s="50"/>
      <c r="X105" s="50"/>
      <c r="Y105" s="50"/>
      <c r="Z105" s="43" t="str">
        <f t="shared" si="1"/>
        <v>Очікую</v>
      </c>
      <c r="AA105" s="22"/>
      <c r="AB105" s="40"/>
    </row>
    <row r="106" spans="1:28" s="11" customFormat="1" ht="15" customHeight="1" x14ac:dyDescent="0.25">
      <c r="A106" s="41"/>
      <c r="B106" s="12"/>
      <c r="C106" s="48"/>
      <c r="D106" s="48">
        <v>97</v>
      </c>
      <c r="E106" s="49"/>
      <c r="F106" s="50"/>
      <c r="G106" s="50"/>
      <c r="H106" s="50"/>
      <c r="I106" s="50"/>
      <c r="J106" s="50"/>
      <c r="K106" s="50"/>
      <c r="L106" s="50"/>
      <c r="M106" s="50"/>
      <c r="N106" s="50"/>
      <c r="O106" s="50"/>
      <c r="P106" s="50"/>
      <c r="Q106" s="50"/>
      <c r="R106" s="50"/>
      <c r="S106" s="50"/>
      <c r="T106" s="50"/>
      <c r="U106" s="50"/>
      <c r="V106" s="50"/>
      <c r="W106" s="50"/>
      <c r="X106" s="50"/>
      <c r="Y106" s="50"/>
      <c r="Z106" s="43" t="str">
        <f t="shared" si="1"/>
        <v>Очікую</v>
      </c>
      <c r="AA106" s="22"/>
      <c r="AB106" s="40"/>
    </row>
    <row r="107" spans="1:28" s="11" customFormat="1" ht="15" customHeight="1" x14ac:dyDescent="0.25">
      <c r="A107" s="41"/>
      <c r="B107" s="12"/>
      <c r="C107" s="48"/>
      <c r="D107" s="48">
        <v>98</v>
      </c>
      <c r="E107" s="49"/>
      <c r="F107" s="50"/>
      <c r="G107" s="50"/>
      <c r="H107" s="50"/>
      <c r="I107" s="50"/>
      <c r="J107" s="50"/>
      <c r="K107" s="50"/>
      <c r="L107" s="50"/>
      <c r="M107" s="50"/>
      <c r="N107" s="50"/>
      <c r="O107" s="50"/>
      <c r="P107" s="50"/>
      <c r="Q107" s="50"/>
      <c r="R107" s="50"/>
      <c r="S107" s="50"/>
      <c r="T107" s="50"/>
      <c r="U107" s="50"/>
      <c r="V107" s="50"/>
      <c r="W107" s="50"/>
      <c r="X107" s="50"/>
      <c r="Y107" s="50"/>
      <c r="Z107" s="43" t="str">
        <f t="shared" si="1"/>
        <v>Очікую</v>
      </c>
      <c r="AA107" s="22"/>
      <c r="AB107" s="40"/>
    </row>
    <row r="108" spans="1:28" s="11" customFormat="1" ht="15" customHeight="1" x14ac:dyDescent="0.25">
      <c r="A108" s="41"/>
      <c r="B108" s="12"/>
      <c r="C108" s="48"/>
      <c r="D108" s="48">
        <v>99</v>
      </c>
      <c r="E108" s="49"/>
      <c r="F108" s="50"/>
      <c r="G108" s="50"/>
      <c r="H108" s="50"/>
      <c r="I108" s="50"/>
      <c r="J108" s="50"/>
      <c r="K108" s="50"/>
      <c r="L108" s="50"/>
      <c r="M108" s="50"/>
      <c r="N108" s="50"/>
      <c r="O108" s="50"/>
      <c r="P108" s="50"/>
      <c r="Q108" s="50"/>
      <c r="R108" s="50"/>
      <c r="S108" s="50"/>
      <c r="T108" s="50"/>
      <c r="U108" s="50"/>
      <c r="V108" s="50"/>
      <c r="W108" s="50"/>
      <c r="X108" s="50"/>
      <c r="Y108" s="50"/>
      <c r="Z108" s="43" t="str">
        <f t="shared" si="1"/>
        <v>Очікую</v>
      </c>
      <c r="AA108" s="22"/>
      <c r="AB108" s="40"/>
    </row>
    <row r="109" spans="1:28" s="11" customFormat="1" ht="15" customHeight="1" x14ac:dyDescent="0.25">
      <c r="A109" s="41"/>
      <c r="B109" s="12"/>
      <c r="C109" s="48"/>
      <c r="D109" s="48">
        <v>100</v>
      </c>
      <c r="E109" s="49"/>
      <c r="F109" s="50"/>
      <c r="G109" s="50"/>
      <c r="H109" s="50"/>
      <c r="I109" s="50"/>
      <c r="J109" s="50"/>
      <c r="K109" s="50"/>
      <c r="L109" s="50"/>
      <c r="M109" s="50"/>
      <c r="N109" s="50"/>
      <c r="O109" s="50"/>
      <c r="P109" s="50"/>
      <c r="Q109" s="50"/>
      <c r="R109" s="50"/>
      <c r="S109" s="50"/>
      <c r="T109" s="50"/>
      <c r="U109" s="50"/>
      <c r="V109" s="50"/>
      <c r="W109" s="50"/>
      <c r="X109" s="50"/>
      <c r="Y109" s="50"/>
      <c r="Z109" s="43" t="str">
        <f t="shared" si="1"/>
        <v>Очікую</v>
      </c>
      <c r="AA109" s="22"/>
      <c r="AB109" s="40"/>
    </row>
    <row r="110" spans="1:28" ht="15" customHeight="1" x14ac:dyDescent="0.25">
      <c r="A110" s="41"/>
      <c r="B110" s="12"/>
      <c r="C110" s="6"/>
      <c r="D110" s="6"/>
      <c r="E110" s="7" t="s">
        <v>4</v>
      </c>
      <c r="F110" s="8" t="str">
        <f>IF(SUM(F10:F109)=0,IF(COUNTA(F10:F109)=0,"Очікую",0),SUM(F10:F109)/$D109)</f>
        <v>Очікую</v>
      </c>
      <c r="G110" s="8" t="str">
        <f t="shared" ref="G110:Y110" si="2">IF(SUM(G10:G109)=0,IF(COUNTA(G10:G109)=0,"Очікую",0),SUM(G10:G109)/$D109)</f>
        <v>Очікую</v>
      </c>
      <c r="H110" s="8" t="str">
        <f t="shared" si="2"/>
        <v>Очікую</v>
      </c>
      <c r="I110" s="8" t="str">
        <f t="shared" si="2"/>
        <v>Очікую</v>
      </c>
      <c r="J110" s="8" t="str">
        <f t="shared" si="2"/>
        <v>Очікую</v>
      </c>
      <c r="K110" s="8" t="str">
        <f t="shared" si="2"/>
        <v>Очікую</v>
      </c>
      <c r="L110" s="8" t="str">
        <f t="shared" si="2"/>
        <v>Очікую</v>
      </c>
      <c r="M110" s="8" t="str">
        <f t="shared" si="2"/>
        <v>Очікую</v>
      </c>
      <c r="N110" s="8" t="str">
        <f t="shared" si="2"/>
        <v>Очікую</v>
      </c>
      <c r="O110" s="8" t="str">
        <f t="shared" si="2"/>
        <v>Очікую</v>
      </c>
      <c r="P110" s="8" t="str">
        <f t="shared" si="2"/>
        <v>Очікую</v>
      </c>
      <c r="Q110" s="8" t="str">
        <f t="shared" si="2"/>
        <v>Очікую</v>
      </c>
      <c r="R110" s="8" t="str">
        <f t="shared" si="2"/>
        <v>Очікую</v>
      </c>
      <c r="S110" s="8" t="str">
        <f t="shared" si="2"/>
        <v>Очікую</v>
      </c>
      <c r="T110" s="8" t="str">
        <f t="shared" si="2"/>
        <v>Очікую</v>
      </c>
      <c r="U110" s="8" t="str">
        <f t="shared" si="2"/>
        <v>Очікую</v>
      </c>
      <c r="V110" s="8" t="str">
        <f t="shared" si="2"/>
        <v>Очікую</v>
      </c>
      <c r="W110" s="8" t="str">
        <f t="shared" si="2"/>
        <v>Очікую</v>
      </c>
      <c r="X110" s="8" t="str">
        <f t="shared" si="2"/>
        <v>Очікую</v>
      </c>
      <c r="Y110" s="8" t="str">
        <f t="shared" si="2"/>
        <v>Очікую</v>
      </c>
      <c r="Z110" s="9" t="str">
        <f>IFERROR(AVERAGE(F110:Y110),"Очікую")</f>
        <v>Очікую</v>
      </c>
      <c r="AA110" s="20"/>
      <c r="AB110" s="40"/>
    </row>
    <row r="111" spans="1:28" ht="15" customHeight="1" x14ac:dyDescent="0.25">
      <c r="A111" s="41"/>
      <c r="B111" s="12"/>
      <c r="C111" s="6"/>
      <c r="D111" s="6"/>
      <c r="E111" s="7" t="s">
        <v>5</v>
      </c>
      <c r="F111" s="44" t="str">
        <f>IF(SUM(F10:F109)=0,IF(COUNTA(F10:F109)=0,"Очікую",0),IF(COUNTIF(F10:F109,"&gt;=4")=0,0,COUNTIF(F10:F109,"&gt;=4")/$D109*100))</f>
        <v>Очікую</v>
      </c>
      <c r="G111" s="44" t="str">
        <f t="shared" ref="G111:Y111" si="3">IF(SUM(G10:G109)=0,IF(COUNTA(G10:G109)=0,"Очікую",0),IF(COUNTIF(G10:G109,"&gt;=4")=0,0,COUNTIF(G10:G109,"&gt;=4")/$D109*100))</f>
        <v>Очікую</v>
      </c>
      <c r="H111" s="44" t="str">
        <f t="shared" si="3"/>
        <v>Очікую</v>
      </c>
      <c r="I111" s="44" t="str">
        <f t="shared" si="3"/>
        <v>Очікую</v>
      </c>
      <c r="J111" s="44" t="str">
        <f t="shared" si="3"/>
        <v>Очікую</v>
      </c>
      <c r="K111" s="44" t="str">
        <f t="shared" si="3"/>
        <v>Очікую</v>
      </c>
      <c r="L111" s="44" t="str">
        <f t="shared" si="3"/>
        <v>Очікую</v>
      </c>
      <c r="M111" s="44" t="str">
        <f t="shared" si="3"/>
        <v>Очікую</v>
      </c>
      <c r="N111" s="44" t="str">
        <f t="shared" si="3"/>
        <v>Очікую</v>
      </c>
      <c r="O111" s="44" t="str">
        <f t="shared" si="3"/>
        <v>Очікую</v>
      </c>
      <c r="P111" s="44" t="str">
        <f t="shared" si="3"/>
        <v>Очікую</v>
      </c>
      <c r="Q111" s="44" t="str">
        <f t="shared" si="3"/>
        <v>Очікую</v>
      </c>
      <c r="R111" s="44" t="str">
        <f t="shared" si="3"/>
        <v>Очікую</v>
      </c>
      <c r="S111" s="44" t="str">
        <f t="shared" si="3"/>
        <v>Очікую</v>
      </c>
      <c r="T111" s="44" t="str">
        <f t="shared" si="3"/>
        <v>Очікую</v>
      </c>
      <c r="U111" s="44" t="str">
        <f t="shared" si="3"/>
        <v>Очікую</v>
      </c>
      <c r="V111" s="44" t="str">
        <f t="shared" si="3"/>
        <v>Очікую</v>
      </c>
      <c r="W111" s="44" t="str">
        <f t="shared" si="3"/>
        <v>Очікую</v>
      </c>
      <c r="X111" s="44" t="str">
        <f t="shared" si="3"/>
        <v>Очікую</v>
      </c>
      <c r="Y111" s="44" t="str">
        <f t="shared" si="3"/>
        <v>Очікую</v>
      </c>
      <c r="Z111" s="6"/>
      <c r="AA111" s="20"/>
      <c r="AB111" s="40"/>
    </row>
    <row r="112" spans="1:28" ht="15" customHeight="1" x14ac:dyDescent="0.25">
      <c r="A112" s="41"/>
      <c r="B112" s="12"/>
      <c r="C112" s="6"/>
      <c r="D112" s="6"/>
      <c r="E112" s="7" t="s">
        <v>6</v>
      </c>
      <c r="F112" s="44" t="str">
        <f>IF(SUM(F10:F109)=0,IF(COUNTA(F10:F109)=0,"Очікую",0),IF(COUNTIF(F10:F109,"&gt;=7")=0,0,COUNTIF(F10:F109,"&gt;=7")/$D109*100))</f>
        <v>Очікую</v>
      </c>
      <c r="G112" s="44" t="str">
        <f t="shared" ref="G112:Y112" si="4">IF(SUM(G10:G109)=0,IF(COUNTA(G10:G109)=0,"Очікую",0),IF(COUNTIF(G10:G109,"&gt;=7")=0,0,COUNTIF(G10:G109,"&gt;=7")/$D109*100))</f>
        <v>Очікую</v>
      </c>
      <c r="H112" s="44" t="str">
        <f t="shared" si="4"/>
        <v>Очікую</v>
      </c>
      <c r="I112" s="44" t="str">
        <f t="shared" si="4"/>
        <v>Очікую</v>
      </c>
      <c r="J112" s="44" t="str">
        <f t="shared" si="4"/>
        <v>Очікую</v>
      </c>
      <c r="K112" s="44" t="str">
        <f t="shared" si="4"/>
        <v>Очікую</v>
      </c>
      <c r="L112" s="44" t="str">
        <f t="shared" si="4"/>
        <v>Очікую</v>
      </c>
      <c r="M112" s="44" t="str">
        <f>IF(SUM(M10:M109)=0,IF(COUNTA(M10:M109)=0,"Очікую",0),IF(COUNTIF(M10:M109,"&gt;=7")=0,0,COUNTIF(M10:M109,"&gt;=7")/$D109*100))</f>
        <v>Очікую</v>
      </c>
      <c r="N112" s="44" t="str">
        <f t="shared" si="4"/>
        <v>Очікую</v>
      </c>
      <c r="O112" s="44" t="str">
        <f t="shared" si="4"/>
        <v>Очікую</v>
      </c>
      <c r="P112" s="44" t="str">
        <f t="shared" si="4"/>
        <v>Очікую</v>
      </c>
      <c r="Q112" s="44" t="str">
        <f t="shared" si="4"/>
        <v>Очікую</v>
      </c>
      <c r="R112" s="44" t="str">
        <f t="shared" si="4"/>
        <v>Очікую</v>
      </c>
      <c r="S112" s="44" t="str">
        <f t="shared" si="4"/>
        <v>Очікую</v>
      </c>
      <c r="T112" s="44" t="str">
        <f t="shared" si="4"/>
        <v>Очікую</v>
      </c>
      <c r="U112" s="44" t="str">
        <f t="shared" si="4"/>
        <v>Очікую</v>
      </c>
      <c r="V112" s="44" t="str">
        <f t="shared" si="4"/>
        <v>Очікую</v>
      </c>
      <c r="W112" s="44" t="str">
        <f t="shared" si="4"/>
        <v>Очікую</v>
      </c>
      <c r="X112" s="44" t="str">
        <f t="shared" si="4"/>
        <v>Очікую</v>
      </c>
      <c r="Y112" s="44" t="str">
        <f t="shared" si="4"/>
        <v>Очікую</v>
      </c>
      <c r="Z112" s="6"/>
      <c r="AA112" s="20"/>
      <c r="AB112" s="40"/>
    </row>
    <row r="113" spans="1:28" ht="15" customHeight="1" x14ac:dyDescent="0.25">
      <c r="A113" s="41"/>
      <c r="B113" s="12"/>
      <c r="C113" s="6"/>
      <c r="D113" s="6"/>
      <c r="E113" s="7" t="s">
        <v>7</v>
      </c>
      <c r="F113" s="8" t="str">
        <f>IFERROR(AVERAGE(F111:Y111),"Очікую")</f>
        <v>Очікую</v>
      </c>
      <c r="G113" s="6"/>
      <c r="H113" s="6"/>
      <c r="I113" s="6"/>
      <c r="J113" s="6"/>
      <c r="K113" s="6"/>
      <c r="L113" s="6"/>
      <c r="M113" s="6"/>
      <c r="N113" s="6"/>
      <c r="O113" s="6"/>
      <c r="P113" s="6"/>
      <c r="Q113" s="6"/>
      <c r="R113" s="6"/>
      <c r="S113" s="6"/>
      <c r="T113" s="6"/>
      <c r="U113" s="6"/>
      <c r="V113" s="6"/>
      <c r="W113" s="6"/>
      <c r="X113" s="6"/>
      <c r="Y113" s="6"/>
      <c r="Z113" s="6"/>
      <c r="AA113" s="20"/>
      <c r="AB113" s="40"/>
    </row>
    <row r="114" spans="1:28" ht="15" customHeight="1" x14ac:dyDescent="0.25">
      <c r="A114" s="41"/>
      <c r="B114" s="12"/>
      <c r="C114" s="6"/>
      <c r="D114" s="6"/>
      <c r="E114" s="7" t="s">
        <v>8</v>
      </c>
      <c r="F114" s="8" t="str">
        <f>IFERROR(AVERAGE(F112:Y112),"Очікую")</f>
        <v>Очікую</v>
      </c>
      <c r="G114" s="6"/>
      <c r="H114" s="6"/>
      <c r="I114" s="6"/>
      <c r="J114" s="6"/>
      <c r="K114" s="6"/>
      <c r="L114" s="6"/>
      <c r="M114" s="6"/>
      <c r="N114" s="6"/>
      <c r="O114" s="6"/>
      <c r="P114" s="6"/>
      <c r="Q114" s="6"/>
      <c r="R114" s="6"/>
      <c r="S114" s="6"/>
      <c r="T114" s="6"/>
      <c r="U114" s="6"/>
      <c r="V114" s="6"/>
      <c r="W114" s="6"/>
      <c r="X114" s="6"/>
      <c r="Y114" s="6"/>
      <c r="Z114" s="6"/>
      <c r="AA114" s="20"/>
      <c r="AB114" s="40"/>
    </row>
    <row r="115" spans="1:28" ht="15" customHeight="1" x14ac:dyDescent="0.25">
      <c r="A115" s="41"/>
      <c r="B115" s="12"/>
      <c r="C115" s="6"/>
      <c r="D115" s="6"/>
      <c r="E115" s="7" t="s">
        <v>9</v>
      </c>
      <c r="F115" s="5" t="str">
        <f>IF(COUNTIF(C10:C109,"=Б")=0,IF(COUNTIF(C10:C109,"=К")=0,"Очікую",0),COUNTIF(C10:C109,"=Б"))</f>
        <v>Очікую</v>
      </c>
      <c r="G115" s="6"/>
      <c r="H115" s="6"/>
      <c r="I115" s="6"/>
      <c r="J115" s="6"/>
      <c r="K115" s="6"/>
      <c r="L115" s="6"/>
      <c r="M115" s="6"/>
      <c r="N115" s="6"/>
      <c r="O115" s="6"/>
      <c r="P115" s="6"/>
      <c r="Q115" s="6"/>
      <c r="R115" s="6"/>
      <c r="S115" s="6"/>
      <c r="T115" s="6"/>
      <c r="U115" s="6"/>
      <c r="V115" s="6"/>
      <c r="W115" s="60"/>
      <c r="X115" s="60"/>
      <c r="Y115" s="60"/>
      <c r="Z115" s="60"/>
      <c r="AA115" s="20"/>
      <c r="AB115" s="40"/>
    </row>
    <row r="116" spans="1:28" ht="15" customHeight="1" x14ac:dyDescent="0.3">
      <c r="A116" s="41"/>
      <c r="B116" s="12"/>
      <c r="C116" s="6"/>
      <c r="D116" s="6"/>
      <c r="E116" s="7" t="s">
        <v>10</v>
      </c>
      <c r="F116" s="5" t="str">
        <f>IF(COUNTIF(C10:C109,"=К")=0,IF(COUNTIF(C10:C109,"=Б")=0,"Очікую",0),COUNTIF(C10:C109,"=К"))</f>
        <v>Очікую</v>
      </c>
      <c r="G116" s="6"/>
      <c r="H116" s="63" t="s">
        <v>11</v>
      </c>
      <c r="I116" s="6"/>
      <c r="J116" s="6"/>
      <c r="K116" s="6"/>
      <c r="L116" s="6"/>
      <c r="M116" s="6"/>
      <c r="N116" s="63"/>
      <c r="O116" s="63"/>
      <c r="P116" s="63"/>
      <c r="Q116" s="63"/>
      <c r="R116" s="6"/>
      <c r="S116" s="6"/>
      <c r="T116" s="6"/>
      <c r="U116" s="64"/>
      <c r="V116" s="62"/>
      <c r="W116" s="62"/>
      <c r="X116" s="62"/>
      <c r="Y116" s="62"/>
      <c r="Z116" s="62"/>
      <c r="AA116" s="20"/>
      <c r="AB116" s="40"/>
    </row>
    <row r="117" spans="1:28" ht="15" customHeight="1" x14ac:dyDescent="0.25">
      <c r="A117" s="41"/>
      <c r="B117" s="12"/>
      <c r="C117" s="6"/>
      <c r="D117" s="6"/>
      <c r="E117" s="7" t="s">
        <v>12</v>
      </c>
      <c r="F117" s="4"/>
      <c r="G117" s="6"/>
      <c r="H117" s="63"/>
      <c r="I117" s="6"/>
      <c r="J117" s="6"/>
      <c r="K117" s="6"/>
      <c r="L117" s="6"/>
      <c r="M117" s="6"/>
      <c r="N117" s="63"/>
      <c r="O117" s="63"/>
      <c r="P117" s="63"/>
      <c r="Q117" s="63"/>
      <c r="R117" s="6"/>
      <c r="S117" s="6"/>
      <c r="T117" s="6"/>
      <c r="U117" s="64"/>
      <c r="V117" s="60"/>
      <c r="W117" s="60"/>
      <c r="X117" s="60"/>
      <c r="Y117" s="60"/>
      <c r="Z117" s="60"/>
      <c r="AA117" s="20"/>
      <c r="AB117" s="40"/>
    </row>
    <row r="118" spans="1:28" ht="15" customHeight="1" x14ac:dyDescent="0.3">
      <c r="A118" s="41"/>
      <c r="B118" s="12"/>
      <c r="C118" s="6"/>
      <c r="D118" s="6"/>
      <c r="E118" s="7" t="s">
        <v>13</v>
      </c>
      <c r="F118" s="5" t="str">
        <f>IF(F115="Очікую","Очікую",IF(F115-COUNTIF(Z10:Z109," - ")&lt;ROUNDDOWN(F115*0.4,0),F115-COUNTIF(Z10:Z109," - "),ROUNDDOWN(F115*0.4,0)))</f>
        <v>Очікую</v>
      </c>
      <c r="G118" s="6"/>
      <c r="H118" s="64" t="s">
        <v>14</v>
      </c>
      <c r="I118" s="6"/>
      <c r="J118" s="6"/>
      <c r="K118" s="6"/>
      <c r="L118" s="6"/>
      <c r="M118" s="6"/>
      <c r="N118" s="64"/>
      <c r="O118" s="64"/>
      <c r="P118" s="64"/>
      <c r="Q118" s="64"/>
      <c r="R118" s="6"/>
      <c r="S118" s="6"/>
      <c r="T118" s="6"/>
      <c r="U118" s="64"/>
      <c r="V118" s="62"/>
      <c r="W118" s="62"/>
      <c r="X118" s="62"/>
      <c r="Y118" s="62"/>
      <c r="Z118" s="62"/>
      <c r="AA118" s="20"/>
      <c r="AB118" s="40"/>
    </row>
    <row r="119" spans="1:28" ht="12" customHeight="1" thickBot="1" x14ac:dyDescent="0.3">
      <c r="A119" s="41"/>
      <c r="B119" s="21"/>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5"/>
      <c r="AB119" s="40"/>
    </row>
    <row r="120" spans="1:28" ht="12" customHeight="1" x14ac:dyDescent="0.25">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c r="AA120" s="39"/>
      <c r="AB120" s="40"/>
    </row>
  </sheetData>
  <sheetProtection insertRows="0" deleteRows="0"/>
  <mergeCells count="10">
    <mergeCell ref="C8:C9"/>
    <mergeCell ref="D8:D9"/>
    <mergeCell ref="E8:E9"/>
    <mergeCell ref="F8:Y8"/>
    <mergeCell ref="Z8:Z9"/>
    <mergeCell ref="C3:Z3"/>
    <mergeCell ref="C4:Z4"/>
    <mergeCell ref="C5:Z5"/>
    <mergeCell ref="C6:Z6"/>
    <mergeCell ref="C7:Z7"/>
  </mergeCells>
  <printOptions horizontalCentered="1"/>
  <pageMargins left="0.19685039370078741" right="0.19685039370078741" top="0.19685039370078741" bottom="0.19685039370078741" header="0" footer="0"/>
  <pageSetup paperSize="9" scale="3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70C0"/>
    <pageSetUpPr fitToPage="1"/>
  </sheetPr>
  <dimension ref="A1:BP120"/>
  <sheetViews>
    <sheetView zoomScaleNormal="100" workbookViewId="0"/>
  </sheetViews>
  <sheetFormatPr defaultColWidth="0" defaultRowHeight="0" customHeight="1" zeroHeight="1" x14ac:dyDescent="0.25"/>
  <cols>
    <col min="1" max="2" width="2.7109375" style="1" customWidth="1"/>
    <col min="3" max="3" width="4.140625" style="1" customWidth="1"/>
    <col min="4" max="4" width="6.5703125" style="1" customWidth="1"/>
    <col min="5" max="5" width="40.42578125" style="1" customWidth="1"/>
    <col min="6" max="25" width="6.7109375" style="1" customWidth="1"/>
    <col min="26" max="26" width="11.28515625" style="1" customWidth="1"/>
    <col min="27" max="28" width="2.7109375" style="1" customWidth="1"/>
    <col min="29" max="34" width="14.42578125" style="1" hidden="1" customWidth="1"/>
    <col min="35" max="35" width="14.85546875" style="1" hidden="1" customWidth="1"/>
    <col min="36" max="49" width="3.7109375" style="1" hidden="1" customWidth="1"/>
    <col min="50" max="68" width="5.7109375" style="1" hidden="1" customWidth="1"/>
    <col min="69" max="16384" width="14.42578125" style="1" hidden="1"/>
  </cols>
  <sheetData>
    <row r="1" spans="1:28" ht="12" customHeight="1" thickBot="1" x14ac:dyDescent="0.3">
      <c r="A1" s="38" t="s">
        <v>18</v>
      </c>
      <c r="B1" s="39"/>
      <c r="C1" s="39"/>
      <c r="D1" s="39"/>
      <c r="E1" s="39"/>
      <c r="F1" s="39"/>
      <c r="G1" s="39"/>
      <c r="H1" s="39"/>
      <c r="I1" s="39"/>
      <c r="J1" s="39"/>
      <c r="K1" s="39"/>
      <c r="L1" s="39"/>
      <c r="M1" s="39"/>
      <c r="N1" s="39"/>
      <c r="O1" s="39"/>
      <c r="P1" s="39"/>
      <c r="Q1" s="39"/>
      <c r="R1" s="39"/>
      <c r="S1" s="39"/>
      <c r="T1" s="39"/>
      <c r="U1" s="39"/>
      <c r="V1" s="39"/>
      <c r="W1" s="39"/>
      <c r="X1" s="39"/>
      <c r="Y1" s="39"/>
      <c r="Z1" s="39"/>
      <c r="AA1" s="39"/>
      <c r="AB1" s="39"/>
    </row>
    <row r="2" spans="1:28" ht="12" customHeight="1" x14ac:dyDescent="0.25">
      <c r="A2" s="41"/>
      <c r="B2" s="17"/>
      <c r="C2" s="18"/>
      <c r="D2" s="18"/>
      <c r="E2" s="18"/>
      <c r="F2" s="18"/>
      <c r="G2" s="18"/>
      <c r="H2" s="18"/>
      <c r="I2" s="18"/>
      <c r="J2" s="18"/>
      <c r="K2" s="18"/>
      <c r="L2" s="18"/>
      <c r="M2" s="18"/>
      <c r="N2" s="18"/>
      <c r="O2" s="18"/>
      <c r="P2" s="18"/>
      <c r="Q2" s="18"/>
      <c r="R2" s="18"/>
      <c r="S2" s="18"/>
      <c r="T2" s="18"/>
      <c r="U2" s="18"/>
      <c r="V2" s="18"/>
      <c r="W2" s="18"/>
      <c r="X2" s="18"/>
      <c r="Y2" s="18"/>
      <c r="Z2" s="18"/>
      <c r="AA2" s="19"/>
      <c r="AB2" s="40"/>
    </row>
    <row r="3" spans="1:28" s="2" customFormat="1" ht="54.95" customHeight="1" x14ac:dyDescent="0.3">
      <c r="A3" s="41"/>
      <c r="B3" s="12"/>
      <c r="C3" s="70" t="s">
        <v>19</v>
      </c>
      <c r="D3" s="70"/>
      <c r="E3" s="70"/>
      <c r="F3" s="70"/>
      <c r="G3" s="70"/>
      <c r="H3" s="70"/>
      <c r="I3" s="70"/>
      <c r="J3" s="70"/>
      <c r="K3" s="70"/>
      <c r="L3" s="70"/>
      <c r="M3" s="70"/>
      <c r="N3" s="70"/>
      <c r="O3" s="70"/>
      <c r="P3" s="70"/>
      <c r="Q3" s="70"/>
      <c r="R3" s="70"/>
      <c r="S3" s="70"/>
      <c r="T3" s="70"/>
      <c r="U3" s="70"/>
      <c r="V3" s="70"/>
      <c r="W3" s="70"/>
      <c r="X3" s="70"/>
      <c r="Y3" s="70"/>
      <c r="Z3" s="70"/>
      <c r="AA3" s="20"/>
      <c r="AB3" s="40"/>
    </row>
    <row r="4" spans="1:28" s="3" customFormat="1" ht="15" customHeight="1" x14ac:dyDescent="0.25">
      <c r="A4" s="41"/>
      <c r="B4" s="12"/>
      <c r="C4" s="71" t="s">
        <v>16</v>
      </c>
      <c r="D4" s="71"/>
      <c r="E4" s="71"/>
      <c r="F4" s="71"/>
      <c r="G4" s="71"/>
      <c r="H4" s="71"/>
      <c r="I4" s="71"/>
      <c r="J4" s="71"/>
      <c r="K4" s="71"/>
      <c r="L4" s="71"/>
      <c r="M4" s="71"/>
      <c r="N4" s="71"/>
      <c r="O4" s="71"/>
      <c r="P4" s="71"/>
      <c r="Q4" s="71"/>
      <c r="R4" s="71"/>
      <c r="S4" s="71"/>
      <c r="T4" s="71"/>
      <c r="U4" s="71"/>
      <c r="V4" s="71"/>
      <c r="W4" s="71"/>
      <c r="X4" s="71"/>
      <c r="Y4" s="71"/>
      <c r="Z4" s="71"/>
      <c r="AA4" s="20"/>
      <c r="AB4" s="40"/>
    </row>
    <row r="5" spans="1:28" s="2" customFormat="1" ht="15" customHeight="1" x14ac:dyDescent="0.25">
      <c r="A5" s="41"/>
      <c r="B5" s="12"/>
      <c r="C5" s="72" t="s">
        <v>20</v>
      </c>
      <c r="D5" s="72"/>
      <c r="E5" s="72"/>
      <c r="F5" s="72"/>
      <c r="G5" s="72"/>
      <c r="H5" s="72"/>
      <c r="I5" s="72"/>
      <c r="J5" s="72"/>
      <c r="K5" s="72"/>
      <c r="L5" s="72"/>
      <c r="M5" s="72"/>
      <c r="N5" s="72"/>
      <c r="O5" s="72"/>
      <c r="P5" s="72"/>
      <c r="Q5" s="72"/>
      <c r="R5" s="72"/>
      <c r="S5" s="72"/>
      <c r="T5" s="72"/>
      <c r="U5" s="72"/>
      <c r="V5" s="72"/>
      <c r="W5" s="72"/>
      <c r="X5" s="72"/>
      <c r="Y5" s="72"/>
      <c r="Z5" s="72"/>
      <c r="AA5" s="20"/>
      <c r="AB5" s="40"/>
    </row>
    <row r="6" spans="1:28" s="2" customFormat="1" ht="15" customHeight="1" x14ac:dyDescent="0.25">
      <c r="A6" s="41"/>
      <c r="B6" s="12"/>
      <c r="C6" s="72" t="s">
        <v>22</v>
      </c>
      <c r="D6" s="72"/>
      <c r="E6" s="72"/>
      <c r="F6" s="72"/>
      <c r="G6" s="72"/>
      <c r="H6" s="72"/>
      <c r="I6" s="72"/>
      <c r="J6" s="72"/>
      <c r="K6" s="72"/>
      <c r="L6" s="72"/>
      <c r="M6" s="72"/>
      <c r="N6" s="72"/>
      <c r="O6" s="72"/>
      <c r="P6" s="72"/>
      <c r="Q6" s="72"/>
      <c r="R6" s="72"/>
      <c r="S6" s="72"/>
      <c r="T6" s="72"/>
      <c r="U6" s="72"/>
      <c r="V6" s="72"/>
      <c r="W6" s="72"/>
      <c r="X6" s="72"/>
      <c r="Y6" s="72"/>
      <c r="Z6" s="72"/>
      <c r="AA6" s="20"/>
      <c r="AB6" s="40"/>
    </row>
    <row r="7" spans="1:28" s="2" customFormat="1" ht="15" customHeight="1" x14ac:dyDescent="0.25">
      <c r="A7" s="41"/>
      <c r="B7" s="12"/>
      <c r="C7" s="73" t="s">
        <v>21</v>
      </c>
      <c r="D7" s="73"/>
      <c r="E7" s="73"/>
      <c r="F7" s="73"/>
      <c r="G7" s="73"/>
      <c r="H7" s="73"/>
      <c r="I7" s="73"/>
      <c r="J7" s="73"/>
      <c r="K7" s="73"/>
      <c r="L7" s="73"/>
      <c r="M7" s="73"/>
      <c r="N7" s="73"/>
      <c r="O7" s="73"/>
      <c r="P7" s="73"/>
      <c r="Q7" s="73"/>
      <c r="R7" s="73"/>
      <c r="S7" s="73"/>
      <c r="T7" s="73"/>
      <c r="U7" s="73"/>
      <c r="V7" s="73"/>
      <c r="W7" s="73"/>
      <c r="X7" s="73"/>
      <c r="Y7" s="73"/>
      <c r="Z7" s="73"/>
      <c r="AA7" s="20"/>
      <c r="AB7" s="40"/>
    </row>
    <row r="8" spans="1:28" ht="15" customHeight="1" x14ac:dyDescent="0.25">
      <c r="A8" s="41"/>
      <c r="B8" s="12"/>
      <c r="C8" s="74" t="s">
        <v>0</v>
      </c>
      <c r="D8" s="76" t="s">
        <v>1</v>
      </c>
      <c r="E8" s="76" t="s">
        <v>2</v>
      </c>
      <c r="F8" s="77" t="s">
        <v>17</v>
      </c>
      <c r="G8" s="78"/>
      <c r="H8" s="78"/>
      <c r="I8" s="78"/>
      <c r="J8" s="78"/>
      <c r="K8" s="78"/>
      <c r="L8" s="78"/>
      <c r="M8" s="78"/>
      <c r="N8" s="78"/>
      <c r="O8" s="78"/>
      <c r="P8" s="78"/>
      <c r="Q8" s="78"/>
      <c r="R8" s="78"/>
      <c r="S8" s="78"/>
      <c r="T8" s="78"/>
      <c r="U8" s="78"/>
      <c r="V8" s="78"/>
      <c r="W8" s="78"/>
      <c r="X8" s="78"/>
      <c r="Y8" s="79"/>
      <c r="Z8" s="80" t="s">
        <v>3</v>
      </c>
      <c r="AA8" s="20"/>
      <c r="AB8" s="40"/>
    </row>
    <row r="9" spans="1:28" ht="125.1" customHeight="1" x14ac:dyDescent="0.25">
      <c r="A9" s="41"/>
      <c r="B9" s="12"/>
      <c r="C9" s="75"/>
      <c r="D9" s="75"/>
      <c r="E9" s="75"/>
      <c r="F9" s="13">
        <v>1</v>
      </c>
      <c r="G9" s="13">
        <v>2</v>
      </c>
      <c r="H9" s="13">
        <v>3</v>
      </c>
      <c r="I9" s="13">
        <v>4</v>
      </c>
      <c r="J9" s="13">
        <v>5</v>
      </c>
      <c r="K9" s="13">
        <v>6</v>
      </c>
      <c r="L9" s="13">
        <v>7</v>
      </c>
      <c r="M9" s="13">
        <v>8</v>
      </c>
      <c r="N9" s="13">
        <v>9</v>
      </c>
      <c r="O9" s="13">
        <v>10</v>
      </c>
      <c r="P9" s="13">
        <v>11</v>
      </c>
      <c r="Q9" s="13">
        <v>12</v>
      </c>
      <c r="R9" s="13">
        <v>13</v>
      </c>
      <c r="S9" s="13">
        <v>14</v>
      </c>
      <c r="T9" s="13">
        <v>15</v>
      </c>
      <c r="U9" s="13">
        <v>16</v>
      </c>
      <c r="V9" s="13">
        <v>17</v>
      </c>
      <c r="W9" s="13">
        <v>18</v>
      </c>
      <c r="X9" s="13">
        <v>19</v>
      </c>
      <c r="Y9" s="13">
        <v>20</v>
      </c>
      <c r="Z9" s="81"/>
      <c r="AA9" s="20"/>
      <c r="AB9" s="40"/>
    </row>
    <row r="10" spans="1:28" s="11" customFormat="1" ht="15" customHeight="1" x14ac:dyDescent="0.25">
      <c r="A10" s="41"/>
      <c r="B10" s="12"/>
      <c r="C10" s="48"/>
      <c r="D10" s="48">
        <v>1</v>
      </c>
      <c r="E10" s="49"/>
      <c r="F10" s="50"/>
      <c r="G10" s="50"/>
      <c r="H10" s="50"/>
      <c r="I10" s="50"/>
      <c r="J10" s="50"/>
      <c r="K10" s="50"/>
      <c r="L10" s="50"/>
      <c r="M10" s="50"/>
      <c r="N10" s="50"/>
      <c r="O10" s="50"/>
      <c r="P10" s="50"/>
      <c r="Q10" s="50"/>
      <c r="R10" s="50"/>
      <c r="S10" s="50"/>
      <c r="T10" s="50"/>
      <c r="U10" s="50"/>
      <c r="V10" s="50"/>
      <c r="W10" s="50"/>
      <c r="X10" s="50"/>
      <c r="Y10" s="50"/>
      <c r="Z10" s="43" t="str">
        <f>IF(COUNTIF(F10:Y10,"=*")&gt;0,IF($C10="К","-"," - "),IF(COUNTIF(F10:Y10,"&lt;4")&gt;0,IF(C10="К","-"," - "),(IFERROR(AVERAGE(F10:Y10),"Очікую"))))</f>
        <v>Очікую</v>
      </c>
      <c r="AA10" s="22"/>
      <c r="AB10" s="40"/>
    </row>
    <row r="11" spans="1:28" s="11" customFormat="1" ht="15" customHeight="1" x14ac:dyDescent="0.25">
      <c r="A11" s="41"/>
      <c r="B11" s="12"/>
      <c r="C11" s="48"/>
      <c r="D11" s="48">
        <v>2</v>
      </c>
      <c r="E11" s="49"/>
      <c r="F11" s="50"/>
      <c r="G11" s="50"/>
      <c r="H11" s="50"/>
      <c r="I11" s="50"/>
      <c r="J11" s="50"/>
      <c r="K11" s="50"/>
      <c r="L11" s="50"/>
      <c r="M11" s="50"/>
      <c r="N11" s="50"/>
      <c r="O11" s="50"/>
      <c r="P11" s="50"/>
      <c r="Q11" s="50"/>
      <c r="R11" s="50"/>
      <c r="S11" s="50"/>
      <c r="T11" s="50"/>
      <c r="U11" s="50"/>
      <c r="V11" s="50"/>
      <c r="W11" s="50"/>
      <c r="X11" s="50"/>
      <c r="Y11" s="50"/>
      <c r="Z11" s="43" t="str">
        <f t="shared" ref="Z11:Z74" si="0">IF(COUNTIF(F11:Y11,"=*")&gt;0,IF($C11="К","-"," - "),IF(COUNTIF(F11:Y11,"&lt;4")&gt;0,IF(C11="К","-"," - "),(IFERROR(AVERAGE(F11:Y11),"Очікую"))))</f>
        <v>Очікую</v>
      </c>
      <c r="AA11" s="22"/>
      <c r="AB11" s="40"/>
    </row>
    <row r="12" spans="1:28" s="11" customFormat="1" ht="15" customHeight="1" x14ac:dyDescent="0.25">
      <c r="A12" s="41"/>
      <c r="B12" s="12"/>
      <c r="C12" s="48"/>
      <c r="D12" s="48">
        <v>3</v>
      </c>
      <c r="E12" s="49"/>
      <c r="F12" s="50"/>
      <c r="G12" s="50"/>
      <c r="H12" s="50"/>
      <c r="I12" s="50"/>
      <c r="J12" s="50"/>
      <c r="K12" s="50"/>
      <c r="L12" s="50"/>
      <c r="M12" s="50"/>
      <c r="N12" s="50"/>
      <c r="O12" s="50"/>
      <c r="P12" s="50"/>
      <c r="Q12" s="50"/>
      <c r="R12" s="50"/>
      <c r="S12" s="50"/>
      <c r="T12" s="50"/>
      <c r="U12" s="50"/>
      <c r="V12" s="50"/>
      <c r="W12" s="50"/>
      <c r="X12" s="50"/>
      <c r="Y12" s="50"/>
      <c r="Z12" s="43" t="str">
        <f t="shared" si="0"/>
        <v>Очікую</v>
      </c>
      <c r="AA12" s="22"/>
      <c r="AB12" s="40"/>
    </row>
    <row r="13" spans="1:28" s="11" customFormat="1" ht="15" customHeight="1" x14ac:dyDescent="0.25">
      <c r="A13" s="41"/>
      <c r="B13" s="12"/>
      <c r="C13" s="48"/>
      <c r="D13" s="48">
        <v>4</v>
      </c>
      <c r="E13" s="49"/>
      <c r="F13" s="50"/>
      <c r="G13" s="50"/>
      <c r="H13" s="50"/>
      <c r="I13" s="50"/>
      <c r="J13" s="50"/>
      <c r="K13" s="50"/>
      <c r="L13" s="50"/>
      <c r="M13" s="50"/>
      <c r="N13" s="50"/>
      <c r="O13" s="50"/>
      <c r="P13" s="50"/>
      <c r="Q13" s="50"/>
      <c r="R13" s="50"/>
      <c r="S13" s="50"/>
      <c r="T13" s="50"/>
      <c r="U13" s="50"/>
      <c r="V13" s="50"/>
      <c r="W13" s="50"/>
      <c r="X13" s="50"/>
      <c r="Y13" s="50"/>
      <c r="Z13" s="43" t="str">
        <f t="shared" si="0"/>
        <v>Очікую</v>
      </c>
      <c r="AA13" s="22"/>
      <c r="AB13" s="40"/>
    </row>
    <row r="14" spans="1:28" s="11" customFormat="1" ht="15" customHeight="1" x14ac:dyDescent="0.25">
      <c r="A14" s="41"/>
      <c r="B14" s="12"/>
      <c r="C14" s="48"/>
      <c r="D14" s="48">
        <v>5</v>
      </c>
      <c r="E14" s="49"/>
      <c r="F14" s="50"/>
      <c r="G14" s="50"/>
      <c r="H14" s="50"/>
      <c r="I14" s="50"/>
      <c r="J14" s="50"/>
      <c r="K14" s="50"/>
      <c r="L14" s="50"/>
      <c r="M14" s="50"/>
      <c r="N14" s="50"/>
      <c r="O14" s="50"/>
      <c r="P14" s="50"/>
      <c r="Q14" s="50"/>
      <c r="R14" s="50"/>
      <c r="S14" s="50"/>
      <c r="T14" s="50"/>
      <c r="U14" s="50"/>
      <c r="V14" s="50"/>
      <c r="W14" s="50"/>
      <c r="X14" s="50"/>
      <c r="Y14" s="50"/>
      <c r="Z14" s="43" t="str">
        <f t="shared" si="0"/>
        <v>Очікую</v>
      </c>
      <c r="AA14" s="22"/>
      <c r="AB14" s="40"/>
    </row>
    <row r="15" spans="1:28" s="11" customFormat="1" ht="15" customHeight="1" x14ac:dyDescent="0.25">
      <c r="A15" s="41"/>
      <c r="B15" s="12"/>
      <c r="C15" s="48"/>
      <c r="D15" s="48">
        <v>6</v>
      </c>
      <c r="E15" s="49"/>
      <c r="F15" s="50"/>
      <c r="G15" s="50"/>
      <c r="H15" s="50"/>
      <c r="I15" s="50"/>
      <c r="J15" s="50"/>
      <c r="K15" s="50"/>
      <c r="L15" s="50"/>
      <c r="M15" s="50"/>
      <c r="N15" s="50"/>
      <c r="O15" s="50"/>
      <c r="P15" s="50"/>
      <c r="Q15" s="50"/>
      <c r="R15" s="50"/>
      <c r="S15" s="50"/>
      <c r="T15" s="50"/>
      <c r="U15" s="50"/>
      <c r="V15" s="50"/>
      <c r="W15" s="50"/>
      <c r="X15" s="50"/>
      <c r="Y15" s="50"/>
      <c r="Z15" s="43" t="str">
        <f t="shared" si="0"/>
        <v>Очікую</v>
      </c>
      <c r="AA15" s="22"/>
      <c r="AB15" s="40"/>
    </row>
    <row r="16" spans="1:28" s="11" customFormat="1" ht="15" customHeight="1" x14ac:dyDescent="0.25">
      <c r="A16" s="41"/>
      <c r="B16" s="12"/>
      <c r="C16" s="48"/>
      <c r="D16" s="48">
        <v>7</v>
      </c>
      <c r="E16" s="49"/>
      <c r="F16" s="50"/>
      <c r="G16" s="50"/>
      <c r="H16" s="50"/>
      <c r="I16" s="50"/>
      <c r="J16" s="50"/>
      <c r="K16" s="50"/>
      <c r="L16" s="50"/>
      <c r="M16" s="50"/>
      <c r="N16" s="50"/>
      <c r="O16" s="50"/>
      <c r="P16" s="50"/>
      <c r="Q16" s="50"/>
      <c r="R16" s="50"/>
      <c r="S16" s="50"/>
      <c r="T16" s="50"/>
      <c r="U16" s="50"/>
      <c r="V16" s="50"/>
      <c r="W16" s="50"/>
      <c r="X16" s="50"/>
      <c r="Y16" s="50"/>
      <c r="Z16" s="43" t="str">
        <f t="shared" si="0"/>
        <v>Очікую</v>
      </c>
      <c r="AA16" s="22"/>
      <c r="AB16" s="40"/>
    </row>
    <row r="17" spans="1:28" s="11" customFormat="1" ht="15" customHeight="1" x14ac:dyDescent="0.25">
      <c r="A17" s="41"/>
      <c r="B17" s="12"/>
      <c r="C17" s="48"/>
      <c r="D17" s="48">
        <v>8</v>
      </c>
      <c r="E17" s="49"/>
      <c r="F17" s="50"/>
      <c r="G17" s="50"/>
      <c r="H17" s="50"/>
      <c r="I17" s="50"/>
      <c r="J17" s="50"/>
      <c r="K17" s="50"/>
      <c r="L17" s="50"/>
      <c r="M17" s="50"/>
      <c r="N17" s="50"/>
      <c r="O17" s="50"/>
      <c r="P17" s="50"/>
      <c r="Q17" s="50"/>
      <c r="R17" s="50"/>
      <c r="S17" s="50"/>
      <c r="T17" s="50"/>
      <c r="U17" s="50"/>
      <c r="V17" s="50"/>
      <c r="W17" s="50"/>
      <c r="X17" s="50"/>
      <c r="Y17" s="50"/>
      <c r="Z17" s="43" t="str">
        <f t="shared" si="0"/>
        <v>Очікую</v>
      </c>
      <c r="AA17" s="22"/>
      <c r="AB17" s="40"/>
    </row>
    <row r="18" spans="1:28" s="11" customFormat="1" ht="15" customHeight="1" x14ac:dyDescent="0.25">
      <c r="A18" s="41"/>
      <c r="B18" s="12"/>
      <c r="C18" s="48"/>
      <c r="D18" s="48">
        <v>9</v>
      </c>
      <c r="E18" s="49"/>
      <c r="F18" s="50"/>
      <c r="G18" s="50"/>
      <c r="H18" s="50"/>
      <c r="I18" s="50"/>
      <c r="J18" s="50"/>
      <c r="K18" s="50"/>
      <c r="L18" s="50"/>
      <c r="M18" s="50"/>
      <c r="N18" s="50"/>
      <c r="O18" s="50"/>
      <c r="P18" s="50"/>
      <c r="Q18" s="50"/>
      <c r="R18" s="50"/>
      <c r="S18" s="50"/>
      <c r="T18" s="50"/>
      <c r="U18" s="50"/>
      <c r="V18" s="50"/>
      <c r="W18" s="50"/>
      <c r="X18" s="50"/>
      <c r="Y18" s="50"/>
      <c r="Z18" s="43" t="str">
        <f t="shared" si="0"/>
        <v>Очікую</v>
      </c>
      <c r="AA18" s="22"/>
      <c r="AB18" s="40"/>
    </row>
    <row r="19" spans="1:28" s="11" customFormat="1" ht="15" customHeight="1" x14ac:dyDescent="0.25">
      <c r="A19" s="41"/>
      <c r="B19" s="12"/>
      <c r="C19" s="48"/>
      <c r="D19" s="48">
        <v>10</v>
      </c>
      <c r="E19" s="49"/>
      <c r="F19" s="50"/>
      <c r="G19" s="50"/>
      <c r="H19" s="50"/>
      <c r="I19" s="50"/>
      <c r="J19" s="50"/>
      <c r="K19" s="50"/>
      <c r="L19" s="50"/>
      <c r="M19" s="50"/>
      <c r="N19" s="50"/>
      <c r="O19" s="50"/>
      <c r="P19" s="50"/>
      <c r="Q19" s="50"/>
      <c r="R19" s="50"/>
      <c r="S19" s="50"/>
      <c r="T19" s="50"/>
      <c r="U19" s="50"/>
      <c r="V19" s="50"/>
      <c r="W19" s="50"/>
      <c r="X19" s="50"/>
      <c r="Y19" s="50"/>
      <c r="Z19" s="43" t="str">
        <f t="shared" si="0"/>
        <v>Очікую</v>
      </c>
      <c r="AA19" s="22"/>
      <c r="AB19" s="40"/>
    </row>
    <row r="20" spans="1:28" s="11" customFormat="1" ht="15" customHeight="1" x14ac:dyDescent="0.25">
      <c r="A20" s="41"/>
      <c r="B20" s="12"/>
      <c r="C20" s="48"/>
      <c r="D20" s="48">
        <v>11</v>
      </c>
      <c r="E20" s="49"/>
      <c r="F20" s="50"/>
      <c r="G20" s="50"/>
      <c r="H20" s="50"/>
      <c r="I20" s="50"/>
      <c r="J20" s="50"/>
      <c r="K20" s="50"/>
      <c r="L20" s="50"/>
      <c r="M20" s="50"/>
      <c r="N20" s="50"/>
      <c r="O20" s="50"/>
      <c r="P20" s="50"/>
      <c r="Q20" s="50"/>
      <c r="R20" s="50"/>
      <c r="S20" s="50"/>
      <c r="T20" s="50"/>
      <c r="U20" s="50"/>
      <c r="V20" s="50"/>
      <c r="W20" s="50"/>
      <c r="X20" s="50"/>
      <c r="Y20" s="50"/>
      <c r="Z20" s="43" t="str">
        <f t="shared" si="0"/>
        <v>Очікую</v>
      </c>
      <c r="AA20" s="22"/>
      <c r="AB20" s="40"/>
    </row>
    <row r="21" spans="1:28" s="11" customFormat="1" ht="15" customHeight="1" x14ac:dyDescent="0.25">
      <c r="A21" s="41"/>
      <c r="B21" s="12"/>
      <c r="C21" s="48"/>
      <c r="D21" s="48">
        <v>12</v>
      </c>
      <c r="E21" s="49"/>
      <c r="F21" s="50"/>
      <c r="G21" s="50"/>
      <c r="H21" s="50"/>
      <c r="I21" s="50"/>
      <c r="J21" s="50"/>
      <c r="K21" s="50"/>
      <c r="L21" s="50"/>
      <c r="M21" s="50"/>
      <c r="N21" s="50"/>
      <c r="O21" s="50"/>
      <c r="P21" s="50"/>
      <c r="Q21" s="50"/>
      <c r="R21" s="50"/>
      <c r="S21" s="50"/>
      <c r="T21" s="50"/>
      <c r="U21" s="50"/>
      <c r="V21" s="50"/>
      <c r="W21" s="50"/>
      <c r="X21" s="50"/>
      <c r="Y21" s="50"/>
      <c r="Z21" s="43" t="str">
        <f t="shared" si="0"/>
        <v>Очікую</v>
      </c>
      <c r="AA21" s="22"/>
      <c r="AB21" s="40"/>
    </row>
    <row r="22" spans="1:28" s="11" customFormat="1" ht="15" customHeight="1" x14ac:dyDescent="0.25">
      <c r="A22" s="41"/>
      <c r="B22" s="12"/>
      <c r="C22" s="48"/>
      <c r="D22" s="48">
        <v>13</v>
      </c>
      <c r="E22" s="49"/>
      <c r="F22" s="50"/>
      <c r="G22" s="50"/>
      <c r="H22" s="50"/>
      <c r="I22" s="50"/>
      <c r="J22" s="50"/>
      <c r="K22" s="50"/>
      <c r="L22" s="50"/>
      <c r="M22" s="50"/>
      <c r="N22" s="50"/>
      <c r="O22" s="50"/>
      <c r="P22" s="50"/>
      <c r="Q22" s="50"/>
      <c r="R22" s="50"/>
      <c r="S22" s="50"/>
      <c r="T22" s="50"/>
      <c r="U22" s="50"/>
      <c r="V22" s="50"/>
      <c r="W22" s="50"/>
      <c r="X22" s="50"/>
      <c r="Y22" s="50"/>
      <c r="Z22" s="43" t="str">
        <f t="shared" si="0"/>
        <v>Очікую</v>
      </c>
      <c r="AA22" s="22"/>
      <c r="AB22" s="40"/>
    </row>
    <row r="23" spans="1:28" s="11" customFormat="1" ht="15" customHeight="1" x14ac:dyDescent="0.25">
      <c r="A23" s="41"/>
      <c r="B23" s="12"/>
      <c r="C23" s="48"/>
      <c r="D23" s="48">
        <v>14</v>
      </c>
      <c r="E23" s="49"/>
      <c r="F23" s="50"/>
      <c r="G23" s="50"/>
      <c r="H23" s="50"/>
      <c r="I23" s="50"/>
      <c r="J23" s="50"/>
      <c r="K23" s="50"/>
      <c r="L23" s="50"/>
      <c r="M23" s="50"/>
      <c r="N23" s="50"/>
      <c r="O23" s="50"/>
      <c r="P23" s="50"/>
      <c r="Q23" s="50"/>
      <c r="R23" s="50"/>
      <c r="S23" s="50"/>
      <c r="T23" s="50"/>
      <c r="U23" s="50"/>
      <c r="V23" s="50"/>
      <c r="W23" s="50"/>
      <c r="X23" s="50"/>
      <c r="Y23" s="50"/>
      <c r="Z23" s="43" t="str">
        <f t="shared" si="0"/>
        <v>Очікую</v>
      </c>
      <c r="AA23" s="22"/>
      <c r="AB23" s="40"/>
    </row>
    <row r="24" spans="1:28" s="11" customFormat="1" ht="15" customHeight="1" x14ac:dyDescent="0.25">
      <c r="A24" s="41"/>
      <c r="B24" s="12"/>
      <c r="C24" s="48"/>
      <c r="D24" s="48">
        <v>15</v>
      </c>
      <c r="E24" s="49"/>
      <c r="F24" s="50"/>
      <c r="G24" s="50"/>
      <c r="H24" s="50"/>
      <c r="I24" s="50"/>
      <c r="J24" s="50"/>
      <c r="K24" s="50"/>
      <c r="L24" s="50"/>
      <c r="M24" s="50"/>
      <c r="N24" s="50"/>
      <c r="O24" s="50"/>
      <c r="P24" s="50"/>
      <c r="Q24" s="50"/>
      <c r="R24" s="50"/>
      <c r="S24" s="50"/>
      <c r="T24" s="50"/>
      <c r="U24" s="50"/>
      <c r="V24" s="50"/>
      <c r="W24" s="50"/>
      <c r="X24" s="50"/>
      <c r="Y24" s="50"/>
      <c r="Z24" s="43" t="str">
        <f t="shared" si="0"/>
        <v>Очікую</v>
      </c>
      <c r="AA24" s="22"/>
      <c r="AB24" s="40"/>
    </row>
    <row r="25" spans="1:28" s="11" customFormat="1" ht="15" customHeight="1" x14ac:dyDescent="0.25">
      <c r="A25" s="41"/>
      <c r="B25" s="12"/>
      <c r="C25" s="48"/>
      <c r="D25" s="48">
        <v>16</v>
      </c>
      <c r="E25" s="49"/>
      <c r="F25" s="50"/>
      <c r="G25" s="50"/>
      <c r="H25" s="50"/>
      <c r="I25" s="50"/>
      <c r="J25" s="50"/>
      <c r="K25" s="50"/>
      <c r="L25" s="50"/>
      <c r="M25" s="50"/>
      <c r="N25" s="50"/>
      <c r="O25" s="50"/>
      <c r="P25" s="50"/>
      <c r="Q25" s="50"/>
      <c r="R25" s="50"/>
      <c r="S25" s="50"/>
      <c r="T25" s="50"/>
      <c r="U25" s="50"/>
      <c r="V25" s="50"/>
      <c r="W25" s="50"/>
      <c r="X25" s="50"/>
      <c r="Y25" s="50"/>
      <c r="Z25" s="43" t="str">
        <f t="shared" si="0"/>
        <v>Очікую</v>
      </c>
      <c r="AA25" s="22"/>
      <c r="AB25" s="40"/>
    </row>
    <row r="26" spans="1:28" s="11" customFormat="1" ht="15" customHeight="1" x14ac:dyDescent="0.25">
      <c r="A26" s="41"/>
      <c r="B26" s="12"/>
      <c r="C26" s="48"/>
      <c r="D26" s="48">
        <v>17</v>
      </c>
      <c r="E26" s="49"/>
      <c r="F26" s="50"/>
      <c r="G26" s="50"/>
      <c r="H26" s="50"/>
      <c r="I26" s="50"/>
      <c r="J26" s="50"/>
      <c r="K26" s="50"/>
      <c r="L26" s="50"/>
      <c r="M26" s="50"/>
      <c r="N26" s="50"/>
      <c r="O26" s="50"/>
      <c r="P26" s="50"/>
      <c r="Q26" s="50"/>
      <c r="R26" s="50"/>
      <c r="S26" s="50"/>
      <c r="T26" s="50"/>
      <c r="U26" s="50"/>
      <c r="V26" s="50"/>
      <c r="W26" s="50"/>
      <c r="X26" s="50"/>
      <c r="Y26" s="50"/>
      <c r="Z26" s="43" t="str">
        <f t="shared" si="0"/>
        <v>Очікую</v>
      </c>
      <c r="AA26" s="22"/>
      <c r="AB26" s="40"/>
    </row>
    <row r="27" spans="1:28" s="11" customFormat="1" ht="15" customHeight="1" x14ac:dyDescent="0.25">
      <c r="A27" s="41"/>
      <c r="B27" s="12"/>
      <c r="C27" s="48"/>
      <c r="D27" s="48">
        <v>18</v>
      </c>
      <c r="E27" s="49"/>
      <c r="F27" s="50"/>
      <c r="G27" s="50"/>
      <c r="H27" s="50"/>
      <c r="I27" s="50"/>
      <c r="J27" s="50"/>
      <c r="K27" s="50"/>
      <c r="L27" s="50"/>
      <c r="M27" s="50"/>
      <c r="N27" s="50"/>
      <c r="O27" s="50"/>
      <c r="P27" s="50"/>
      <c r="Q27" s="50"/>
      <c r="R27" s="50"/>
      <c r="S27" s="50"/>
      <c r="T27" s="50"/>
      <c r="U27" s="50"/>
      <c r="V27" s="50"/>
      <c r="W27" s="50"/>
      <c r="X27" s="50"/>
      <c r="Y27" s="50"/>
      <c r="Z27" s="43" t="str">
        <f t="shared" si="0"/>
        <v>Очікую</v>
      </c>
      <c r="AA27" s="22"/>
      <c r="AB27" s="40"/>
    </row>
    <row r="28" spans="1:28" s="11" customFormat="1" ht="15" customHeight="1" x14ac:dyDescent="0.25">
      <c r="A28" s="41"/>
      <c r="B28" s="12"/>
      <c r="C28" s="48"/>
      <c r="D28" s="48">
        <v>19</v>
      </c>
      <c r="E28" s="49"/>
      <c r="F28" s="50"/>
      <c r="G28" s="50"/>
      <c r="H28" s="50"/>
      <c r="I28" s="50"/>
      <c r="J28" s="50"/>
      <c r="K28" s="50"/>
      <c r="L28" s="50"/>
      <c r="M28" s="50"/>
      <c r="N28" s="50"/>
      <c r="O28" s="50"/>
      <c r="P28" s="50"/>
      <c r="Q28" s="50"/>
      <c r="R28" s="50"/>
      <c r="S28" s="50"/>
      <c r="T28" s="50"/>
      <c r="U28" s="50"/>
      <c r="V28" s="50"/>
      <c r="W28" s="50"/>
      <c r="X28" s="50"/>
      <c r="Y28" s="50"/>
      <c r="Z28" s="43" t="str">
        <f t="shared" si="0"/>
        <v>Очікую</v>
      </c>
      <c r="AA28" s="22"/>
      <c r="AB28" s="40"/>
    </row>
    <row r="29" spans="1:28" s="11" customFormat="1" ht="15" customHeight="1" x14ac:dyDescent="0.25">
      <c r="A29" s="41"/>
      <c r="B29" s="12"/>
      <c r="C29" s="48"/>
      <c r="D29" s="48">
        <v>20</v>
      </c>
      <c r="E29" s="49"/>
      <c r="F29" s="50"/>
      <c r="G29" s="50"/>
      <c r="H29" s="50"/>
      <c r="I29" s="50"/>
      <c r="J29" s="50"/>
      <c r="K29" s="50"/>
      <c r="L29" s="50"/>
      <c r="M29" s="50"/>
      <c r="N29" s="50"/>
      <c r="O29" s="50"/>
      <c r="P29" s="50"/>
      <c r="Q29" s="50"/>
      <c r="R29" s="50"/>
      <c r="S29" s="50"/>
      <c r="T29" s="50"/>
      <c r="U29" s="50"/>
      <c r="V29" s="50"/>
      <c r="W29" s="50"/>
      <c r="X29" s="50"/>
      <c r="Y29" s="50"/>
      <c r="Z29" s="43" t="str">
        <f t="shared" si="0"/>
        <v>Очікую</v>
      </c>
      <c r="AA29" s="22"/>
      <c r="AB29" s="40"/>
    </row>
    <row r="30" spans="1:28" s="11" customFormat="1" ht="15" customHeight="1" x14ac:dyDescent="0.25">
      <c r="A30" s="41"/>
      <c r="B30" s="12"/>
      <c r="C30" s="48"/>
      <c r="D30" s="48">
        <v>21</v>
      </c>
      <c r="E30" s="49"/>
      <c r="F30" s="50"/>
      <c r="G30" s="50"/>
      <c r="H30" s="50"/>
      <c r="I30" s="50"/>
      <c r="J30" s="50"/>
      <c r="K30" s="50"/>
      <c r="L30" s="50"/>
      <c r="M30" s="50"/>
      <c r="N30" s="50"/>
      <c r="O30" s="50"/>
      <c r="P30" s="50"/>
      <c r="Q30" s="50"/>
      <c r="R30" s="50"/>
      <c r="S30" s="50"/>
      <c r="T30" s="50"/>
      <c r="U30" s="50"/>
      <c r="V30" s="50"/>
      <c r="W30" s="50"/>
      <c r="X30" s="50"/>
      <c r="Y30" s="50"/>
      <c r="Z30" s="43" t="str">
        <f t="shared" si="0"/>
        <v>Очікую</v>
      </c>
      <c r="AA30" s="22"/>
      <c r="AB30" s="40"/>
    </row>
    <row r="31" spans="1:28" s="11" customFormat="1" ht="15" customHeight="1" x14ac:dyDescent="0.25">
      <c r="A31" s="41"/>
      <c r="B31" s="12"/>
      <c r="C31" s="48"/>
      <c r="D31" s="48">
        <v>22</v>
      </c>
      <c r="E31" s="49"/>
      <c r="F31" s="50"/>
      <c r="G31" s="50"/>
      <c r="H31" s="50"/>
      <c r="I31" s="50"/>
      <c r="J31" s="50"/>
      <c r="K31" s="50"/>
      <c r="L31" s="50"/>
      <c r="M31" s="50"/>
      <c r="N31" s="50"/>
      <c r="O31" s="50"/>
      <c r="P31" s="50"/>
      <c r="Q31" s="50"/>
      <c r="R31" s="50"/>
      <c r="S31" s="50"/>
      <c r="T31" s="50"/>
      <c r="U31" s="50"/>
      <c r="V31" s="50"/>
      <c r="W31" s="50"/>
      <c r="X31" s="50"/>
      <c r="Y31" s="50"/>
      <c r="Z31" s="43" t="str">
        <f t="shared" si="0"/>
        <v>Очікую</v>
      </c>
      <c r="AA31" s="22"/>
      <c r="AB31" s="40"/>
    </row>
    <row r="32" spans="1:28" s="11" customFormat="1" ht="15" customHeight="1" x14ac:dyDescent="0.25">
      <c r="A32" s="41"/>
      <c r="B32" s="12"/>
      <c r="C32" s="48"/>
      <c r="D32" s="48">
        <v>23</v>
      </c>
      <c r="E32" s="49"/>
      <c r="F32" s="50"/>
      <c r="G32" s="50"/>
      <c r="H32" s="50"/>
      <c r="I32" s="50"/>
      <c r="J32" s="50"/>
      <c r="K32" s="50"/>
      <c r="L32" s="50"/>
      <c r="M32" s="50"/>
      <c r="N32" s="50"/>
      <c r="O32" s="50"/>
      <c r="P32" s="50"/>
      <c r="Q32" s="50"/>
      <c r="R32" s="50"/>
      <c r="S32" s="50"/>
      <c r="T32" s="50"/>
      <c r="U32" s="50"/>
      <c r="V32" s="50"/>
      <c r="W32" s="50"/>
      <c r="X32" s="50"/>
      <c r="Y32" s="50"/>
      <c r="Z32" s="43" t="str">
        <f t="shared" si="0"/>
        <v>Очікую</v>
      </c>
      <c r="AA32" s="22"/>
      <c r="AB32" s="40"/>
    </row>
    <row r="33" spans="1:28" s="11" customFormat="1" ht="15" customHeight="1" x14ac:dyDescent="0.25">
      <c r="A33" s="41"/>
      <c r="B33" s="12"/>
      <c r="C33" s="48"/>
      <c r="D33" s="48">
        <v>24</v>
      </c>
      <c r="E33" s="49"/>
      <c r="F33" s="50"/>
      <c r="G33" s="50"/>
      <c r="H33" s="50"/>
      <c r="I33" s="50"/>
      <c r="J33" s="50"/>
      <c r="K33" s="50"/>
      <c r="L33" s="50"/>
      <c r="M33" s="50"/>
      <c r="N33" s="50"/>
      <c r="O33" s="50"/>
      <c r="P33" s="50"/>
      <c r="Q33" s="50"/>
      <c r="R33" s="50"/>
      <c r="S33" s="50"/>
      <c r="T33" s="50"/>
      <c r="U33" s="50"/>
      <c r="V33" s="50"/>
      <c r="W33" s="50"/>
      <c r="X33" s="50"/>
      <c r="Y33" s="50"/>
      <c r="Z33" s="43" t="str">
        <f t="shared" si="0"/>
        <v>Очікую</v>
      </c>
      <c r="AA33" s="22"/>
      <c r="AB33" s="40"/>
    </row>
    <row r="34" spans="1:28" s="11" customFormat="1" ht="15" customHeight="1" x14ac:dyDescent="0.25">
      <c r="A34" s="41"/>
      <c r="B34" s="12"/>
      <c r="C34" s="48"/>
      <c r="D34" s="48">
        <v>25</v>
      </c>
      <c r="E34" s="49"/>
      <c r="F34" s="50"/>
      <c r="G34" s="50"/>
      <c r="H34" s="50"/>
      <c r="I34" s="50"/>
      <c r="J34" s="50"/>
      <c r="K34" s="50"/>
      <c r="L34" s="50"/>
      <c r="M34" s="50"/>
      <c r="N34" s="50"/>
      <c r="O34" s="50"/>
      <c r="P34" s="50"/>
      <c r="Q34" s="50"/>
      <c r="R34" s="50"/>
      <c r="S34" s="50"/>
      <c r="T34" s="50"/>
      <c r="U34" s="50"/>
      <c r="V34" s="50"/>
      <c r="W34" s="50"/>
      <c r="X34" s="50"/>
      <c r="Y34" s="50"/>
      <c r="Z34" s="43" t="str">
        <f t="shared" si="0"/>
        <v>Очікую</v>
      </c>
      <c r="AA34" s="22"/>
      <c r="AB34" s="40"/>
    </row>
    <row r="35" spans="1:28" s="11" customFormat="1" ht="15" customHeight="1" x14ac:dyDescent="0.25">
      <c r="A35" s="41"/>
      <c r="B35" s="12"/>
      <c r="C35" s="48"/>
      <c r="D35" s="48">
        <v>26</v>
      </c>
      <c r="E35" s="49"/>
      <c r="F35" s="50"/>
      <c r="G35" s="50"/>
      <c r="H35" s="50"/>
      <c r="I35" s="50"/>
      <c r="J35" s="50"/>
      <c r="K35" s="50"/>
      <c r="L35" s="50"/>
      <c r="M35" s="50"/>
      <c r="N35" s="50"/>
      <c r="O35" s="50"/>
      <c r="P35" s="50"/>
      <c r="Q35" s="50"/>
      <c r="R35" s="50"/>
      <c r="S35" s="50"/>
      <c r="T35" s="50"/>
      <c r="U35" s="50"/>
      <c r="V35" s="50"/>
      <c r="W35" s="50"/>
      <c r="X35" s="50"/>
      <c r="Y35" s="50"/>
      <c r="Z35" s="43" t="str">
        <f t="shared" si="0"/>
        <v>Очікую</v>
      </c>
      <c r="AA35" s="22"/>
      <c r="AB35" s="40"/>
    </row>
    <row r="36" spans="1:28" s="11" customFormat="1" ht="15" customHeight="1" x14ac:dyDescent="0.25">
      <c r="A36" s="41"/>
      <c r="B36" s="12"/>
      <c r="C36" s="48"/>
      <c r="D36" s="48">
        <v>27</v>
      </c>
      <c r="E36" s="49"/>
      <c r="F36" s="50"/>
      <c r="G36" s="50"/>
      <c r="H36" s="50"/>
      <c r="I36" s="50"/>
      <c r="J36" s="50"/>
      <c r="K36" s="50"/>
      <c r="L36" s="50"/>
      <c r="M36" s="50"/>
      <c r="N36" s="50"/>
      <c r="O36" s="50"/>
      <c r="P36" s="50"/>
      <c r="Q36" s="50"/>
      <c r="R36" s="50"/>
      <c r="S36" s="50"/>
      <c r="T36" s="50"/>
      <c r="U36" s="50"/>
      <c r="V36" s="50"/>
      <c r="W36" s="50"/>
      <c r="X36" s="50"/>
      <c r="Y36" s="50"/>
      <c r="Z36" s="43" t="str">
        <f t="shared" si="0"/>
        <v>Очікую</v>
      </c>
      <c r="AA36" s="22"/>
      <c r="AB36" s="40"/>
    </row>
    <row r="37" spans="1:28" s="11" customFormat="1" ht="15" customHeight="1" x14ac:dyDescent="0.25">
      <c r="A37" s="41"/>
      <c r="B37" s="12"/>
      <c r="C37" s="48"/>
      <c r="D37" s="48">
        <v>28</v>
      </c>
      <c r="E37" s="49"/>
      <c r="F37" s="50"/>
      <c r="G37" s="50"/>
      <c r="H37" s="50"/>
      <c r="I37" s="50"/>
      <c r="J37" s="50"/>
      <c r="K37" s="50"/>
      <c r="L37" s="50"/>
      <c r="M37" s="50"/>
      <c r="N37" s="50"/>
      <c r="O37" s="50"/>
      <c r="P37" s="50"/>
      <c r="Q37" s="50"/>
      <c r="R37" s="50"/>
      <c r="S37" s="50"/>
      <c r="T37" s="50"/>
      <c r="U37" s="50"/>
      <c r="V37" s="50"/>
      <c r="W37" s="50"/>
      <c r="X37" s="50"/>
      <c r="Y37" s="50"/>
      <c r="Z37" s="43" t="str">
        <f t="shared" si="0"/>
        <v>Очікую</v>
      </c>
      <c r="AA37" s="22"/>
      <c r="AB37" s="40"/>
    </row>
    <row r="38" spans="1:28" s="11" customFormat="1" ht="15" customHeight="1" x14ac:dyDescent="0.25">
      <c r="A38" s="41"/>
      <c r="B38" s="12"/>
      <c r="C38" s="48"/>
      <c r="D38" s="48">
        <v>29</v>
      </c>
      <c r="E38" s="49"/>
      <c r="F38" s="50"/>
      <c r="G38" s="50"/>
      <c r="H38" s="50"/>
      <c r="I38" s="50"/>
      <c r="J38" s="50"/>
      <c r="K38" s="50"/>
      <c r="L38" s="50"/>
      <c r="M38" s="50"/>
      <c r="N38" s="50"/>
      <c r="O38" s="50"/>
      <c r="P38" s="50"/>
      <c r="Q38" s="50"/>
      <c r="R38" s="50"/>
      <c r="S38" s="50"/>
      <c r="T38" s="50"/>
      <c r="U38" s="50"/>
      <c r="V38" s="50"/>
      <c r="W38" s="50"/>
      <c r="X38" s="50"/>
      <c r="Y38" s="50"/>
      <c r="Z38" s="43" t="str">
        <f t="shared" si="0"/>
        <v>Очікую</v>
      </c>
      <c r="AA38" s="22"/>
      <c r="AB38" s="40"/>
    </row>
    <row r="39" spans="1:28" s="11" customFormat="1" ht="15" customHeight="1" x14ac:dyDescent="0.25">
      <c r="A39" s="41"/>
      <c r="B39" s="12"/>
      <c r="C39" s="48"/>
      <c r="D39" s="48">
        <v>30</v>
      </c>
      <c r="E39" s="49"/>
      <c r="F39" s="50"/>
      <c r="G39" s="50"/>
      <c r="H39" s="50"/>
      <c r="I39" s="50"/>
      <c r="J39" s="50"/>
      <c r="K39" s="50"/>
      <c r="L39" s="50"/>
      <c r="M39" s="50"/>
      <c r="N39" s="50"/>
      <c r="O39" s="50"/>
      <c r="P39" s="50"/>
      <c r="Q39" s="50"/>
      <c r="R39" s="50"/>
      <c r="S39" s="50"/>
      <c r="T39" s="50"/>
      <c r="U39" s="50"/>
      <c r="V39" s="50"/>
      <c r="W39" s="50"/>
      <c r="X39" s="50"/>
      <c r="Y39" s="50"/>
      <c r="Z39" s="43" t="str">
        <f t="shared" si="0"/>
        <v>Очікую</v>
      </c>
      <c r="AA39" s="22"/>
      <c r="AB39" s="40"/>
    </row>
    <row r="40" spans="1:28" s="11" customFormat="1" ht="15" customHeight="1" x14ac:dyDescent="0.25">
      <c r="A40" s="41"/>
      <c r="B40" s="12"/>
      <c r="C40" s="48"/>
      <c r="D40" s="48">
        <v>31</v>
      </c>
      <c r="E40" s="49"/>
      <c r="F40" s="50"/>
      <c r="G40" s="50"/>
      <c r="H40" s="50"/>
      <c r="I40" s="50"/>
      <c r="J40" s="50"/>
      <c r="K40" s="50"/>
      <c r="L40" s="50"/>
      <c r="M40" s="50"/>
      <c r="N40" s="50"/>
      <c r="O40" s="50"/>
      <c r="P40" s="50"/>
      <c r="Q40" s="50"/>
      <c r="R40" s="50"/>
      <c r="S40" s="50"/>
      <c r="T40" s="50"/>
      <c r="U40" s="50"/>
      <c r="V40" s="50"/>
      <c r="W40" s="50"/>
      <c r="X40" s="50"/>
      <c r="Y40" s="50"/>
      <c r="Z40" s="43" t="str">
        <f t="shared" si="0"/>
        <v>Очікую</v>
      </c>
      <c r="AA40" s="22"/>
      <c r="AB40" s="40"/>
    </row>
    <row r="41" spans="1:28" s="11" customFormat="1" ht="15" customHeight="1" x14ac:dyDescent="0.25">
      <c r="A41" s="41"/>
      <c r="B41" s="12"/>
      <c r="C41" s="48"/>
      <c r="D41" s="48">
        <v>32</v>
      </c>
      <c r="E41" s="49"/>
      <c r="F41" s="50"/>
      <c r="G41" s="50"/>
      <c r="H41" s="50"/>
      <c r="I41" s="50"/>
      <c r="J41" s="50"/>
      <c r="K41" s="50"/>
      <c r="L41" s="50"/>
      <c r="M41" s="50"/>
      <c r="N41" s="50"/>
      <c r="O41" s="50"/>
      <c r="P41" s="50"/>
      <c r="Q41" s="50"/>
      <c r="R41" s="50"/>
      <c r="S41" s="50"/>
      <c r="T41" s="50"/>
      <c r="U41" s="50"/>
      <c r="V41" s="50"/>
      <c r="W41" s="50"/>
      <c r="X41" s="50"/>
      <c r="Y41" s="50"/>
      <c r="Z41" s="43" t="str">
        <f t="shared" si="0"/>
        <v>Очікую</v>
      </c>
      <c r="AA41" s="22"/>
      <c r="AB41" s="40"/>
    </row>
    <row r="42" spans="1:28" s="11" customFormat="1" ht="15" customHeight="1" x14ac:dyDescent="0.25">
      <c r="A42" s="41"/>
      <c r="B42" s="12"/>
      <c r="C42" s="48"/>
      <c r="D42" s="48">
        <v>33</v>
      </c>
      <c r="E42" s="49"/>
      <c r="F42" s="50"/>
      <c r="G42" s="50"/>
      <c r="H42" s="50"/>
      <c r="I42" s="50"/>
      <c r="J42" s="50"/>
      <c r="K42" s="50"/>
      <c r="L42" s="50"/>
      <c r="M42" s="50"/>
      <c r="N42" s="50"/>
      <c r="O42" s="50"/>
      <c r="P42" s="50"/>
      <c r="Q42" s="50"/>
      <c r="R42" s="50"/>
      <c r="S42" s="50"/>
      <c r="T42" s="50"/>
      <c r="U42" s="50"/>
      <c r="V42" s="50"/>
      <c r="W42" s="50"/>
      <c r="X42" s="50"/>
      <c r="Y42" s="50"/>
      <c r="Z42" s="43" t="str">
        <f t="shared" si="0"/>
        <v>Очікую</v>
      </c>
      <c r="AA42" s="22"/>
      <c r="AB42" s="40"/>
    </row>
    <row r="43" spans="1:28" s="11" customFormat="1" ht="15" customHeight="1" x14ac:dyDescent="0.25">
      <c r="A43" s="41"/>
      <c r="B43" s="12"/>
      <c r="C43" s="48"/>
      <c r="D43" s="48">
        <v>34</v>
      </c>
      <c r="E43" s="49"/>
      <c r="F43" s="50"/>
      <c r="G43" s="50"/>
      <c r="H43" s="50"/>
      <c r="I43" s="50"/>
      <c r="J43" s="50"/>
      <c r="K43" s="50"/>
      <c r="L43" s="50"/>
      <c r="M43" s="50"/>
      <c r="N43" s="50"/>
      <c r="O43" s="50"/>
      <c r="P43" s="50"/>
      <c r="Q43" s="50"/>
      <c r="R43" s="50"/>
      <c r="S43" s="50"/>
      <c r="T43" s="50"/>
      <c r="U43" s="50"/>
      <c r="V43" s="50"/>
      <c r="W43" s="50"/>
      <c r="X43" s="50"/>
      <c r="Y43" s="50"/>
      <c r="Z43" s="43" t="str">
        <f t="shared" si="0"/>
        <v>Очікую</v>
      </c>
      <c r="AA43" s="22"/>
      <c r="AB43" s="40"/>
    </row>
    <row r="44" spans="1:28" s="11" customFormat="1" ht="15" customHeight="1" x14ac:dyDescent="0.25">
      <c r="A44" s="41"/>
      <c r="B44" s="12"/>
      <c r="C44" s="48"/>
      <c r="D44" s="48">
        <v>35</v>
      </c>
      <c r="E44" s="49"/>
      <c r="F44" s="50"/>
      <c r="G44" s="50"/>
      <c r="H44" s="50"/>
      <c r="I44" s="50"/>
      <c r="J44" s="50"/>
      <c r="K44" s="50"/>
      <c r="L44" s="50"/>
      <c r="M44" s="50"/>
      <c r="N44" s="50"/>
      <c r="O44" s="50"/>
      <c r="P44" s="50"/>
      <c r="Q44" s="50"/>
      <c r="R44" s="50"/>
      <c r="S44" s="50"/>
      <c r="T44" s="50"/>
      <c r="U44" s="50"/>
      <c r="V44" s="50"/>
      <c r="W44" s="50"/>
      <c r="X44" s="50"/>
      <c r="Y44" s="50"/>
      <c r="Z44" s="43" t="str">
        <f t="shared" si="0"/>
        <v>Очікую</v>
      </c>
      <c r="AA44" s="22"/>
      <c r="AB44" s="40"/>
    </row>
    <row r="45" spans="1:28" s="11" customFormat="1" ht="15" customHeight="1" x14ac:dyDescent="0.25">
      <c r="A45" s="41"/>
      <c r="B45" s="12"/>
      <c r="C45" s="48"/>
      <c r="D45" s="48">
        <v>36</v>
      </c>
      <c r="E45" s="49"/>
      <c r="F45" s="50"/>
      <c r="G45" s="50"/>
      <c r="H45" s="50"/>
      <c r="I45" s="50"/>
      <c r="J45" s="50"/>
      <c r="K45" s="50"/>
      <c r="L45" s="50"/>
      <c r="M45" s="50"/>
      <c r="N45" s="50"/>
      <c r="O45" s="50"/>
      <c r="P45" s="50"/>
      <c r="Q45" s="50"/>
      <c r="R45" s="50"/>
      <c r="S45" s="50"/>
      <c r="T45" s="50"/>
      <c r="U45" s="50"/>
      <c r="V45" s="50"/>
      <c r="W45" s="50"/>
      <c r="X45" s="50"/>
      <c r="Y45" s="50"/>
      <c r="Z45" s="43" t="str">
        <f t="shared" si="0"/>
        <v>Очікую</v>
      </c>
      <c r="AA45" s="22"/>
      <c r="AB45" s="40"/>
    </row>
    <row r="46" spans="1:28" s="11" customFormat="1" ht="15" customHeight="1" x14ac:dyDescent="0.25">
      <c r="A46" s="41"/>
      <c r="B46" s="12"/>
      <c r="C46" s="48"/>
      <c r="D46" s="48">
        <v>37</v>
      </c>
      <c r="E46" s="49"/>
      <c r="F46" s="50"/>
      <c r="G46" s="50"/>
      <c r="H46" s="50"/>
      <c r="I46" s="50"/>
      <c r="J46" s="50"/>
      <c r="K46" s="50"/>
      <c r="L46" s="50"/>
      <c r="M46" s="50"/>
      <c r="N46" s="50"/>
      <c r="O46" s="50"/>
      <c r="P46" s="50"/>
      <c r="Q46" s="50"/>
      <c r="R46" s="50"/>
      <c r="S46" s="50"/>
      <c r="T46" s="50"/>
      <c r="U46" s="50"/>
      <c r="V46" s="50"/>
      <c r="W46" s="50"/>
      <c r="X46" s="50"/>
      <c r="Y46" s="50"/>
      <c r="Z46" s="43" t="str">
        <f t="shared" si="0"/>
        <v>Очікую</v>
      </c>
      <c r="AA46" s="22"/>
      <c r="AB46" s="40"/>
    </row>
    <row r="47" spans="1:28" s="11" customFormat="1" ht="15" customHeight="1" x14ac:dyDescent="0.25">
      <c r="A47" s="41"/>
      <c r="B47" s="12"/>
      <c r="C47" s="48"/>
      <c r="D47" s="48">
        <v>38</v>
      </c>
      <c r="E47" s="49"/>
      <c r="F47" s="50"/>
      <c r="G47" s="50"/>
      <c r="H47" s="50"/>
      <c r="I47" s="50"/>
      <c r="J47" s="50"/>
      <c r="K47" s="50"/>
      <c r="L47" s="50"/>
      <c r="M47" s="50"/>
      <c r="N47" s="50"/>
      <c r="O47" s="50"/>
      <c r="P47" s="50"/>
      <c r="Q47" s="50"/>
      <c r="R47" s="50"/>
      <c r="S47" s="50"/>
      <c r="T47" s="50"/>
      <c r="U47" s="50"/>
      <c r="V47" s="50"/>
      <c r="W47" s="50"/>
      <c r="X47" s="50"/>
      <c r="Y47" s="50"/>
      <c r="Z47" s="43" t="str">
        <f t="shared" si="0"/>
        <v>Очікую</v>
      </c>
      <c r="AA47" s="22"/>
      <c r="AB47" s="40"/>
    </row>
    <row r="48" spans="1:28" s="11" customFormat="1" ht="15" customHeight="1" x14ac:dyDescent="0.25">
      <c r="A48" s="41"/>
      <c r="B48" s="12"/>
      <c r="C48" s="48"/>
      <c r="D48" s="48">
        <v>39</v>
      </c>
      <c r="E48" s="49"/>
      <c r="F48" s="50"/>
      <c r="G48" s="50"/>
      <c r="H48" s="50"/>
      <c r="I48" s="50"/>
      <c r="J48" s="50"/>
      <c r="K48" s="50"/>
      <c r="L48" s="50"/>
      <c r="M48" s="50"/>
      <c r="N48" s="50"/>
      <c r="O48" s="50"/>
      <c r="P48" s="50"/>
      <c r="Q48" s="50"/>
      <c r="R48" s="50"/>
      <c r="S48" s="50"/>
      <c r="T48" s="50"/>
      <c r="U48" s="50"/>
      <c r="V48" s="50"/>
      <c r="W48" s="50"/>
      <c r="X48" s="50"/>
      <c r="Y48" s="50"/>
      <c r="Z48" s="43" t="str">
        <f t="shared" si="0"/>
        <v>Очікую</v>
      </c>
      <c r="AA48" s="22"/>
      <c r="AB48" s="40"/>
    </row>
    <row r="49" spans="1:28" s="11" customFormat="1" ht="15" customHeight="1" x14ac:dyDescent="0.25">
      <c r="A49" s="41"/>
      <c r="B49" s="12"/>
      <c r="C49" s="48"/>
      <c r="D49" s="48">
        <v>40</v>
      </c>
      <c r="E49" s="49"/>
      <c r="F49" s="50"/>
      <c r="G49" s="50"/>
      <c r="H49" s="50"/>
      <c r="I49" s="50"/>
      <c r="J49" s="50"/>
      <c r="K49" s="50"/>
      <c r="L49" s="50"/>
      <c r="M49" s="50"/>
      <c r="N49" s="50"/>
      <c r="O49" s="50"/>
      <c r="P49" s="50"/>
      <c r="Q49" s="50"/>
      <c r="R49" s="50"/>
      <c r="S49" s="50"/>
      <c r="T49" s="50"/>
      <c r="U49" s="50"/>
      <c r="V49" s="50"/>
      <c r="W49" s="50"/>
      <c r="X49" s="50"/>
      <c r="Y49" s="50"/>
      <c r="Z49" s="43" t="str">
        <f t="shared" si="0"/>
        <v>Очікую</v>
      </c>
      <c r="AA49" s="22"/>
      <c r="AB49" s="40"/>
    </row>
    <row r="50" spans="1:28" s="11" customFormat="1" ht="15" customHeight="1" x14ac:dyDescent="0.25">
      <c r="A50" s="41"/>
      <c r="B50" s="12"/>
      <c r="C50" s="48"/>
      <c r="D50" s="48">
        <v>41</v>
      </c>
      <c r="E50" s="49"/>
      <c r="F50" s="50"/>
      <c r="G50" s="50"/>
      <c r="H50" s="50"/>
      <c r="I50" s="50"/>
      <c r="J50" s="50"/>
      <c r="K50" s="50"/>
      <c r="L50" s="50"/>
      <c r="M50" s="50"/>
      <c r="N50" s="50"/>
      <c r="O50" s="50"/>
      <c r="P50" s="50"/>
      <c r="Q50" s="50"/>
      <c r="R50" s="50"/>
      <c r="S50" s="50"/>
      <c r="T50" s="50"/>
      <c r="U50" s="50"/>
      <c r="V50" s="50"/>
      <c r="W50" s="50"/>
      <c r="X50" s="50"/>
      <c r="Y50" s="50"/>
      <c r="Z50" s="43" t="str">
        <f t="shared" si="0"/>
        <v>Очікую</v>
      </c>
      <c r="AA50" s="22"/>
      <c r="AB50" s="40"/>
    </row>
    <row r="51" spans="1:28" s="11" customFormat="1" ht="15" customHeight="1" x14ac:dyDescent="0.25">
      <c r="A51" s="41"/>
      <c r="B51" s="12"/>
      <c r="C51" s="48"/>
      <c r="D51" s="48">
        <v>42</v>
      </c>
      <c r="E51" s="49"/>
      <c r="F51" s="50"/>
      <c r="G51" s="50"/>
      <c r="H51" s="50"/>
      <c r="I51" s="50"/>
      <c r="J51" s="50"/>
      <c r="K51" s="50"/>
      <c r="L51" s="50"/>
      <c r="M51" s="50"/>
      <c r="N51" s="50"/>
      <c r="O51" s="50"/>
      <c r="P51" s="50"/>
      <c r="Q51" s="50"/>
      <c r="R51" s="50"/>
      <c r="S51" s="50"/>
      <c r="T51" s="50"/>
      <c r="U51" s="50"/>
      <c r="V51" s="50"/>
      <c r="W51" s="50"/>
      <c r="X51" s="50"/>
      <c r="Y51" s="50"/>
      <c r="Z51" s="43" t="str">
        <f t="shared" si="0"/>
        <v>Очікую</v>
      </c>
      <c r="AA51" s="22"/>
      <c r="AB51" s="40"/>
    </row>
    <row r="52" spans="1:28" s="11" customFormat="1" ht="15" customHeight="1" x14ac:dyDescent="0.25">
      <c r="A52" s="41"/>
      <c r="B52" s="12"/>
      <c r="C52" s="48"/>
      <c r="D52" s="48">
        <v>43</v>
      </c>
      <c r="E52" s="49"/>
      <c r="F52" s="50"/>
      <c r="G52" s="50"/>
      <c r="H52" s="50"/>
      <c r="I52" s="50"/>
      <c r="J52" s="50"/>
      <c r="K52" s="50"/>
      <c r="L52" s="50"/>
      <c r="M52" s="50"/>
      <c r="N52" s="50"/>
      <c r="O52" s="50"/>
      <c r="P52" s="50"/>
      <c r="Q52" s="50"/>
      <c r="R52" s="50"/>
      <c r="S52" s="50"/>
      <c r="T52" s="50"/>
      <c r="U52" s="50"/>
      <c r="V52" s="50"/>
      <c r="W52" s="50"/>
      <c r="X52" s="50"/>
      <c r="Y52" s="50"/>
      <c r="Z52" s="43" t="str">
        <f t="shared" si="0"/>
        <v>Очікую</v>
      </c>
      <c r="AA52" s="22"/>
      <c r="AB52" s="40"/>
    </row>
    <row r="53" spans="1:28" s="11" customFormat="1" ht="15" customHeight="1" x14ac:dyDescent="0.25">
      <c r="A53" s="41"/>
      <c r="B53" s="12"/>
      <c r="C53" s="48"/>
      <c r="D53" s="48">
        <v>44</v>
      </c>
      <c r="E53" s="49"/>
      <c r="F53" s="50"/>
      <c r="G53" s="50"/>
      <c r="H53" s="50"/>
      <c r="I53" s="50"/>
      <c r="J53" s="50"/>
      <c r="K53" s="50"/>
      <c r="L53" s="50"/>
      <c r="M53" s="50"/>
      <c r="N53" s="50"/>
      <c r="O53" s="50"/>
      <c r="P53" s="50"/>
      <c r="Q53" s="50"/>
      <c r="R53" s="50"/>
      <c r="S53" s="50"/>
      <c r="T53" s="50"/>
      <c r="U53" s="50"/>
      <c r="V53" s="50"/>
      <c r="W53" s="50"/>
      <c r="X53" s="50"/>
      <c r="Y53" s="50"/>
      <c r="Z53" s="43" t="str">
        <f t="shared" si="0"/>
        <v>Очікую</v>
      </c>
      <c r="AA53" s="22"/>
      <c r="AB53" s="40"/>
    </row>
    <row r="54" spans="1:28" s="11" customFormat="1" ht="15" customHeight="1" x14ac:dyDescent="0.25">
      <c r="A54" s="41"/>
      <c r="B54" s="12"/>
      <c r="C54" s="48"/>
      <c r="D54" s="48">
        <v>45</v>
      </c>
      <c r="E54" s="49"/>
      <c r="F54" s="50"/>
      <c r="G54" s="50"/>
      <c r="H54" s="50"/>
      <c r="I54" s="50"/>
      <c r="J54" s="50"/>
      <c r="K54" s="50"/>
      <c r="L54" s="50"/>
      <c r="M54" s="50"/>
      <c r="N54" s="50"/>
      <c r="O54" s="50"/>
      <c r="P54" s="50"/>
      <c r="Q54" s="50"/>
      <c r="R54" s="50"/>
      <c r="S54" s="50"/>
      <c r="T54" s="50"/>
      <c r="U54" s="50"/>
      <c r="V54" s="50"/>
      <c r="W54" s="50"/>
      <c r="X54" s="50"/>
      <c r="Y54" s="50"/>
      <c r="Z54" s="43" t="str">
        <f t="shared" si="0"/>
        <v>Очікую</v>
      </c>
      <c r="AA54" s="22"/>
      <c r="AB54" s="40"/>
    </row>
    <row r="55" spans="1:28" s="11" customFormat="1" ht="15" customHeight="1" x14ac:dyDescent="0.25">
      <c r="A55" s="41"/>
      <c r="B55" s="12"/>
      <c r="C55" s="48"/>
      <c r="D55" s="48">
        <v>46</v>
      </c>
      <c r="E55" s="49"/>
      <c r="F55" s="50"/>
      <c r="G55" s="50"/>
      <c r="H55" s="50"/>
      <c r="I55" s="50"/>
      <c r="J55" s="50"/>
      <c r="K55" s="50"/>
      <c r="L55" s="50"/>
      <c r="M55" s="50"/>
      <c r="N55" s="50"/>
      <c r="O55" s="50"/>
      <c r="P55" s="50"/>
      <c r="Q55" s="50"/>
      <c r="R55" s="50"/>
      <c r="S55" s="50"/>
      <c r="T55" s="50"/>
      <c r="U55" s="50"/>
      <c r="V55" s="50"/>
      <c r="W55" s="50"/>
      <c r="X55" s="50"/>
      <c r="Y55" s="50"/>
      <c r="Z55" s="43" t="str">
        <f t="shared" si="0"/>
        <v>Очікую</v>
      </c>
      <c r="AA55" s="22"/>
      <c r="AB55" s="40"/>
    </row>
    <row r="56" spans="1:28" s="11" customFormat="1" ht="15" customHeight="1" x14ac:dyDescent="0.25">
      <c r="A56" s="41"/>
      <c r="B56" s="12"/>
      <c r="C56" s="48"/>
      <c r="D56" s="48">
        <v>47</v>
      </c>
      <c r="E56" s="49"/>
      <c r="F56" s="50"/>
      <c r="G56" s="50"/>
      <c r="H56" s="50"/>
      <c r="I56" s="50"/>
      <c r="J56" s="50"/>
      <c r="K56" s="50"/>
      <c r="L56" s="50"/>
      <c r="M56" s="50"/>
      <c r="N56" s="50"/>
      <c r="O56" s="50"/>
      <c r="P56" s="50"/>
      <c r="Q56" s="50"/>
      <c r="R56" s="50"/>
      <c r="S56" s="50"/>
      <c r="T56" s="50"/>
      <c r="U56" s="50"/>
      <c r="V56" s="50"/>
      <c r="W56" s="50"/>
      <c r="X56" s="50"/>
      <c r="Y56" s="50"/>
      <c r="Z56" s="43" t="str">
        <f t="shared" si="0"/>
        <v>Очікую</v>
      </c>
      <c r="AA56" s="22"/>
      <c r="AB56" s="40"/>
    </row>
    <row r="57" spans="1:28" s="11" customFormat="1" ht="15" customHeight="1" x14ac:dyDescent="0.25">
      <c r="A57" s="41"/>
      <c r="B57" s="12"/>
      <c r="C57" s="48"/>
      <c r="D57" s="48">
        <v>48</v>
      </c>
      <c r="E57" s="49"/>
      <c r="F57" s="50"/>
      <c r="G57" s="50"/>
      <c r="H57" s="50"/>
      <c r="I57" s="50"/>
      <c r="J57" s="50"/>
      <c r="K57" s="50"/>
      <c r="L57" s="50"/>
      <c r="M57" s="50"/>
      <c r="N57" s="50"/>
      <c r="O57" s="50"/>
      <c r="P57" s="50"/>
      <c r="Q57" s="50"/>
      <c r="R57" s="50"/>
      <c r="S57" s="50"/>
      <c r="T57" s="50"/>
      <c r="U57" s="50"/>
      <c r="V57" s="50"/>
      <c r="W57" s="50"/>
      <c r="X57" s="50"/>
      <c r="Y57" s="50"/>
      <c r="Z57" s="43" t="str">
        <f t="shared" si="0"/>
        <v>Очікую</v>
      </c>
      <c r="AA57" s="22"/>
      <c r="AB57" s="40"/>
    </row>
    <row r="58" spans="1:28" s="11" customFormat="1" ht="15" customHeight="1" x14ac:dyDescent="0.25">
      <c r="A58" s="41"/>
      <c r="B58" s="12"/>
      <c r="C58" s="48"/>
      <c r="D58" s="48">
        <v>49</v>
      </c>
      <c r="E58" s="49"/>
      <c r="F58" s="50"/>
      <c r="G58" s="50"/>
      <c r="H58" s="50"/>
      <c r="I58" s="50"/>
      <c r="J58" s="50"/>
      <c r="K58" s="50"/>
      <c r="L58" s="50"/>
      <c r="M58" s="50"/>
      <c r="N58" s="50"/>
      <c r="O58" s="50"/>
      <c r="P58" s="50"/>
      <c r="Q58" s="50"/>
      <c r="R58" s="50"/>
      <c r="S58" s="50"/>
      <c r="T58" s="50"/>
      <c r="U58" s="50"/>
      <c r="V58" s="50"/>
      <c r="W58" s="50"/>
      <c r="X58" s="50"/>
      <c r="Y58" s="50"/>
      <c r="Z58" s="43" t="str">
        <f t="shared" si="0"/>
        <v>Очікую</v>
      </c>
      <c r="AA58" s="22"/>
      <c r="AB58" s="40"/>
    </row>
    <row r="59" spans="1:28" s="11" customFormat="1" ht="15" customHeight="1" x14ac:dyDescent="0.25">
      <c r="A59" s="41"/>
      <c r="B59" s="12"/>
      <c r="C59" s="48"/>
      <c r="D59" s="48">
        <v>50</v>
      </c>
      <c r="E59" s="49"/>
      <c r="F59" s="50"/>
      <c r="G59" s="50"/>
      <c r="H59" s="50"/>
      <c r="I59" s="50"/>
      <c r="J59" s="50"/>
      <c r="K59" s="50"/>
      <c r="L59" s="50"/>
      <c r="M59" s="50"/>
      <c r="N59" s="50"/>
      <c r="O59" s="50"/>
      <c r="P59" s="50"/>
      <c r="Q59" s="50"/>
      <c r="R59" s="50"/>
      <c r="S59" s="50"/>
      <c r="T59" s="50"/>
      <c r="U59" s="50"/>
      <c r="V59" s="50"/>
      <c r="W59" s="50"/>
      <c r="X59" s="50"/>
      <c r="Y59" s="50"/>
      <c r="Z59" s="43" t="str">
        <f t="shared" si="0"/>
        <v>Очікую</v>
      </c>
      <c r="AA59" s="22"/>
      <c r="AB59" s="40"/>
    </row>
    <row r="60" spans="1:28" s="11" customFormat="1" ht="15" customHeight="1" x14ac:dyDescent="0.25">
      <c r="A60" s="41"/>
      <c r="B60" s="12"/>
      <c r="C60" s="48"/>
      <c r="D60" s="48">
        <v>51</v>
      </c>
      <c r="E60" s="49"/>
      <c r="F60" s="50"/>
      <c r="G60" s="50"/>
      <c r="H60" s="50"/>
      <c r="I60" s="50"/>
      <c r="J60" s="50"/>
      <c r="K60" s="50"/>
      <c r="L60" s="50"/>
      <c r="M60" s="50"/>
      <c r="N60" s="50"/>
      <c r="O60" s="50"/>
      <c r="P60" s="50"/>
      <c r="Q60" s="50"/>
      <c r="R60" s="50"/>
      <c r="S60" s="50"/>
      <c r="T60" s="50"/>
      <c r="U60" s="50"/>
      <c r="V60" s="50"/>
      <c r="W60" s="50"/>
      <c r="X60" s="50"/>
      <c r="Y60" s="50"/>
      <c r="Z60" s="43" t="str">
        <f t="shared" si="0"/>
        <v>Очікую</v>
      </c>
      <c r="AA60" s="22"/>
      <c r="AB60" s="40"/>
    </row>
    <row r="61" spans="1:28" s="11" customFormat="1" ht="15" customHeight="1" x14ac:dyDescent="0.25">
      <c r="A61" s="41"/>
      <c r="B61" s="12"/>
      <c r="C61" s="48"/>
      <c r="D61" s="48">
        <v>52</v>
      </c>
      <c r="E61" s="49"/>
      <c r="F61" s="50"/>
      <c r="G61" s="50"/>
      <c r="H61" s="50"/>
      <c r="I61" s="50"/>
      <c r="J61" s="50"/>
      <c r="K61" s="50"/>
      <c r="L61" s="50"/>
      <c r="M61" s="50"/>
      <c r="N61" s="50"/>
      <c r="O61" s="50"/>
      <c r="P61" s="50"/>
      <c r="Q61" s="50"/>
      <c r="R61" s="50"/>
      <c r="S61" s="50"/>
      <c r="T61" s="50"/>
      <c r="U61" s="50"/>
      <c r="V61" s="50"/>
      <c r="W61" s="50"/>
      <c r="X61" s="50"/>
      <c r="Y61" s="50"/>
      <c r="Z61" s="43" t="str">
        <f t="shared" si="0"/>
        <v>Очікую</v>
      </c>
      <c r="AA61" s="22"/>
      <c r="AB61" s="40"/>
    </row>
    <row r="62" spans="1:28" s="11" customFormat="1" ht="15" customHeight="1" x14ac:dyDescent="0.25">
      <c r="A62" s="41"/>
      <c r="B62" s="12"/>
      <c r="C62" s="48"/>
      <c r="D62" s="48">
        <v>53</v>
      </c>
      <c r="E62" s="49"/>
      <c r="F62" s="50"/>
      <c r="G62" s="50"/>
      <c r="H62" s="50"/>
      <c r="I62" s="50"/>
      <c r="J62" s="50"/>
      <c r="K62" s="50"/>
      <c r="L62" s="50"/>
      <c r="M62" s="50"/>
      <c r="N62" s="50"/>
      <c r="O62" s="50"/>
      <c r="P62" s="50"/>
      <c r="Q62" s="50"/>
      <c r="R62" s="50"/>
      <c r="S62" s="50"/>
      <c r="T62" s="50"/>
      <c r="U62" s="50"/>
      <c r="V62" s="50"/>
      <c r="W62" s="50"/>
      <c r="X62" s="50"/>
      <c r="Y62" s="50"/>
      <c r="Z62" s="43" t="str">
        <f t="shared" si="0"/>
        <v>Очікую</v>
      </c>
      <c r="AA62" s="22"/>
      <c r="AB62" s="40"/>
    </row>
    <row r="63" spans="1:28" s="11" customFormat="1" ht="15" customHeight="1" x14ac:dyDescent="0.25">
      <c r="A63" s="41"/>
      <c r="B63" s="12"/>
      <c r="C63" s="48"/>
      <c r="D63" s="48">
        <v>54</v>
      </c>
      <c r="E63" s="49"/>
      <c r="F63" s="50"/>
      <c r="G63" s="50"/>
      <c r="H63" s="50"/>
      <c r="I63" s="50"/>
      <c r="J63" s="50"/>
      <c r="K63" s="50"/>
      <c r="L63" s="50"/>
      <c r="M63" s="50"/>
      <c r="N63" s="50"/>
      <c r="O63" s="50"/>
      <c r="P63" s="50"/>
      <c r="Q63" s="50"/>
      <c r="R63" s="50"/>
      <c r="S63" s="50"/>
      <c r="T63" s="50"/>
      <c r="U63" s="50"/>
      <c r="V63" s="50"/>
      <c r="W63" s="50"/>
      <c r="X63" s="50"/>
      <c r="Y63" s="50"/>
      <c r="Z63" s="43" t="str">
        <f t="shared" si="0"/>
        <v>Очікую</v>
      </c>
      <c r="AA63" s="22"/>
      <c r="AB63" s="40"/>
    </row>
    <row r="64" spans="1:28" s="11" customFormat="1" ht="15" customHeight="1" x14ac:dyDescent="0.25">
      <c r="A64" s="41"/>
      <c r="B64" s="12"/>
      <c r="C64" s="48"/>
      <c r="D64" s="48">
        <v>55</v>
      </c>
      <c r="E64" s="49"/>
      <c r="F64" s="50"/>
      <c r="G64" s="50"/>
      <c r="H64" s="50"/>
      <c r="I64" s="50"/>
      <c r="J64" s="50"/>
      <c r="K64" s="50"/>
      <c r="L64" s="50"/>
      <c r="M64" s="50"/>
      <c r="N64" s="50"/>
      <c r="O64" s="50"/>
      <c r="P64" s="50"/>
      <c r="Q64" s="50"/>
      <c r="R64" s="50"/>
      <c r="S64" s="50"/>
      <c r="T64" s="50"/>
      <c r="U64" s="50"/>
      <c r="V64" s="50"/>
      <c r="W64" s="50"/>
      <c r="X64" s="50"/>
      <c r="Y64" s="50"/>
      <c r="Z64" s="43" t="str">
        <f t="shared" si="0"/>
        <v>Очікую</v>
      </c>
      <c r="AA64" s="22"/>
      <c r="AB64" s="40"/>
    </row>
    <row r="65" spans="1:28" s="11" customFormat="1" ht="15" customHeight="1" x14ac:dyDescent="0.25">
      <c r="A65" s="41"/>
      <c r="B65" s="12"/>
      <c r="C65" s="48"/>
      <c r="D65" s="48">
        <v>56</v>
      </c>
      <c r="E65" s="49"/>
      <c r="F65" s="50"/>
      <c r="G65" s="50"/>
      <c r="H65" s="50"/>
      <c r="I65" s="50"/>
      <c r="J65" s="50"/>
      <c r="K65" s="50"/>
      <c r="L65" s="50"/>
      <c r="M65" s="50"/>
      <c r="N65" s="50"/>
      <c r="O65" s="50"/>
      <c r="P65" s="50"/>
      <c r="Q65" s="50"/>
      <c r="R65" s="50"/>
      <c r="S65" s="50"/>
      <c r="T65" s="50"/>
      <c r="U65" s="50"/>
      <c r="V65" s="50"/>
      <c r="W65" s="50"/>
      <c r="X65" s="50"/>
      <c r="Y65" s="50"/>
      <c r="Z65" s="43" t="str">
        <f t="shared" si="0"/>
        <v>Очікую</v>
      </c>
      <c r="AA65" s="22"/>
      <c r="AB65" s="40"/>
    </row>
    <row r="66" spans="1:28" s="11" customFormat="1" ht="15" customHeight="1" x14ac:dyDescent="0.25">
      <c r="A66" s="41"/>
      <c r="B66" s="12"/>
      <c r="C66" s="48"/>
      <c r="D66" s="48">
        <v>57</v>
      </c>
      <c r="E66" s="49"/>
      <c r="F66" s="50"/>
      <c r="G66" s="50"/>
      <c r="H66" s="50"/>
      <c r="I66" s="50"/>
      <c r="J66" s="50"/>
      <c r="K66" s="50"/>
      <c r="L66" s="50"/>
      <c r="M66" s="50"/>
      <c r="N66" s="50"/>
      <c r="O66" s="50"/>
      <c r="P66" s="50"/>
      <c r="Q66" s="50"/>
      <c r="R66" s="50"/>
      <c r="S66" s="50"/>
      <c r="T66" s="50"/>
      <c r="U66" s="50"/>
      <c r="V66" s="50"/>
      <c r="W66" s="50"/>
      <c r="X66" s="50"/>
      <c r="Y66" s="50"/>
      <c r="Z66" s="43" t="str">
        <f t="shared" si="0"/>
        <v>Очікую</v>
      </c>
      <c r="AA66" s="22"/>
      <c r="AB66" s="40"/>
    </row>
    <row r="67" spans="1:28" s="11" customFormat="1" ht="15" customHeight="1" x14ac:dyDescent="0.25">
      <c r="A67" s="41"/>
      <c r="B67" s="12"/>
      <c r="C67" s="48"/>
      <c r="D67" s="48">
        <v>58</v>
      </c>
      <c r="E67" s="49"/>
      <c r="F67" s="50"/>
      <c r="G67" s="50"/>
      <c r="H67" s="50"/>
      <c r="I67" s="50"/>
      <c r="J67" s="50"/>
      <c r="K67" s="50"/>
      <c r="L67" s="50"/>
      <c r="M67" s="50"/>
      <c r="N67" s="50"/>
      <c r="O67" s="50"/>
      <c r="P67" s="50"/>
      <c r="Q67" s="50"/>
      <c r="R67" s="50"/>
      <c r="S67" s="50"/>
      <c r="T67" s="50"/>
      <c r="U67" s="50"/>
      <c r="V67" s="50"/>
      <c r="W67" s="50"/>
      <c r="X67" s="50"/>
      <c r="Y67" s="50"/>
      <c r="Z67" s="43" t="str">
        <f t="shared" si="0"/>
        <v>Очікую</v>
      </c>
      <c r="AA67" s="22"/>
      <c r="AB67" s="40"/>
    </row>
    <row r="68" spans="1:28" s="11" customFormat="1" ht="15" customHeight="1" x14ac:dyDescent="0.25">
      <c r="A68" s="41"/>
      <c r="B68" s="12"/>
      <c r="C68" s="48"/>
      <c r="D68" s="48">
        <v>59</v>
      </c>
      <c r="E68" s="49"/>
      <c r="F68" s="50"/>
      <c r="G68" s="50"/>
      <c r="H68" s="50"/>
      <c r="I68" s="50"/>
      <c r="J68" s="50"/>
      <c r="K68" s="50"/>
      <c r="L68" s="50"/>
      <c r="M68" s="50"/>
      <c r="N68" s="50"/>
      <c r="O68" s="50"/>
      <c r="P68" s="50"/>
      <c r="Q68" s="50"/>
      <c r="R68" s="50"/>
      <c r="S68" s="50"/>
      <c r="T68" s="50"/>
      <c r="U68" s="50"/>
      <c r="V68" s="50"/>
      <c r="W68" s="50"/>
      <c r="X68" s="50"/>
      <c r="Y68" s="50"/>
      <c r="Z68" s="43" t="str">
        <f t="shared" si="0"/>
        <v>Очікую</v>
      </c>
      <c r="AA68" s="22"/>
      <c r="AB68" s="40"/>
    </row>
    <row r="69" spans="1:28" s="11" customFormat="1" ht="15" customHeight="1" x14ac:dyDescent="0.25">
      <c r="A69" s="41"/>
      <c r="B69" s="12"/>
      <c r="C69" s="48"/>
      <c r="D69" s="48">
        <v>60</v>
      </c>
      <c r="E69" s="49"/>
      <c r="F69" s="50"/>
      <c r="G69" s="50"/>
      <c r="H69" s="50"/>
      <c r="I69" s="50"/>
      <c r="J69" s="50"/>
      <c r="K69" s="50"/>
      <c r="L69" s="50"/>
      <c r="M69" s="50"/>
      <c r="N69" s="50"/>
      <c r="O69" s="50"/>
      <c r="P69" s="50"/>
      <c r="Q69" s="50"/>
      <c r="R69" s="50"/>
      <c r="S69" s="50"/>
      <c r="T69" s="50"/>
      <c r="U69" s="50"/>
      <c r="V69" s="50"/>
      <c r="W69" s="50"/>
      <c r="X69" s="50"/>
      <c r="Y69" s="50"/>
      <c r="Z69" s="43" t="str">
        <f t="shared" si="0"/>
        <v>Очікую</v>
      </c>
      <c r="AA69" s="22"/>
      <c r="AB69" s="40"/>
    </row>
    <row r="70" spans="1:28" s="11" customFormat="1" ht="15" customHeight="1" x14ac:dyDescent="0.25">
      <c r="A70" s="41"/>
      <c r="B70" s="12"/>
      <c r="C70" s="48"/>
      <c r="D70" s="48">
        <v>61</v>
      </c>
      <c r="E70" s="49"/>
      <c r="F70" s="50"/>
      <c r="G70" s="50"/>
      <c r="H70" s="50"/>
      <c r="I70" s="50"/>
      <c r="J70" s="50"/>
      <c r="K70" s="50"/>
      <c r="L70" s="50"/>
      <c r="M70" s="50"/>
      <c r="N70" s="50"/>
      <c r="O70" s="50"/>
      <c r="P70" s="50"/>
      <c r="Q70" s="50"/>
      <c r="R70" s="50"/>
      <c r="S70" s="50"/>
      <c r="T70" s="50"/>
      <c r="U70" s="50"/>
      <c r="V70" s="50"/>
      <c r="W70" s="50"/>
      <c r="X70" s="50"/>
      <c r="Y70" s="50"/>
      <c r="Z70" s="43" t="str">
        <f t="shared" si="0"/>
        <v>Очікую</v>
      </c>
      <c r="AA70" s="22"/>
      <c r="AB70" s="40"/>
    </row>
    <row r="71" spans="1:28" s="11" customFormat="1" ht="15" customHeight="1" x14ac:dyDescent="0.25">
      <c r="A71" s="41"/>
      <c r="B71" s="12"/>
      <c r="C71" s="48"/>
      <c r="D71" s="48">
        <v>62</v>
      </c>
      <c r="E71" s="49"/>
      <c r="F71" s="50"/>
      <c r="G71" s="50"/>
      <c r="H71" s="50"/>
      <c r="I71" s="50"/>
      <c r="J71" s="50"/>
      <c r="K71" s="50"/>
      <c r="L71" s="50"/>
      <c r="M71" s="50"/>
      <c r="N71" s="50"/>
      <c r="O71" s="50"/>
      <c r="P71" s="50"/>
      <c r="Q71" s="50"/>
      <c r="R71" s="50"/>
      <c r="S71" s="50"/>
      <c r="T71" s="50"/>
      <c r="U71" s="50"/>
      <c r="V71" s="50"/>
      <c r="W71" s="50"/>
      <c r="X71" s="50"/>
      <c r="Y71" s="50"/>
      <c r="Z71" s="43" t="str">
        <f t="shared" si="0"/>
        <v>Очікую</v>
      </c>
      <c r="AA71" s="22"/>
      <c r="AB71" s="40"/>
    </row>
    <row r="72" spans="1:28" s="11" customFormat="1" ht="15" customHeight="1" x14ac:dyDescent="0.25">
      <c r="A72" s="41"/>
      <c r="B72" s="12"/>
      <c r="C72" s="48"/>
      <c r="D72" s="48">
        <v>63</v>
      </c>
      <c r="E72" s="49"/>
      <c r="F72" s="50"/>
      <c r="G72" s="50"/>
      <c r="H72" s="50"/>
      <c r="I72" s="50"/>
      <c r="J72" s="50"/>
      <c r="K72" s="50"/>
      <c r="L72" s="50"/>
      <c r="M72" s="50"/>
      <c r="N72" s="50"/>
      <c r="O72" s="50"/>
      <c r="P72" s="50"/>
      <c r="Q72" s="50"/>
      <c r="R72" s="50"/>
      <c r="S72" s="50"/>
      <c r="T72" s="50"/>
      <c r="U72" s="50"/>
      <c r="V72" s="50"/>
      <c r="W72" s="50"/>
      <c r="X72" s="50"/>
      <c r="Y72" s="50"/>
      <c r="Z72" s="43" t="str">
        <f t="shared" si="0"/>
        <v>Очікую</v>
      </c>
      <c r="AA72" s="22"/>
      <c r="AB72" s="40"/>
    </row>
    <row r="73" spans="1:28" s="11" customFormat="1" ht="15" customHeight="1" x14ac:dyDescent="0.25">
      <c r="A73" s="41"/>
      <c r="B73" s="12"/>
      <c r="C73" s="48"/>
      <c r="D73" s="48">
        <v>64</v>
      </c>
      <c r="E73" s="49"/>
      <c r="F73" s="50"/>
      <c r="G73" s="50"/>
      <c r="H73" s="50"/>
      <c r="I73" s="50"/>
      <c r="J73" s="50"/>
      <c r="K73" s="50"/>
      <c r="L73" s="50"/>
      <c r="M73" s="50"/>
      <c r="N73" s="50"/>
      <c r="O73" s="50"/>
      <c r="P73" s="50"/>
      <c r="Q73" s="50"/>
      <c r="R73" s="50"/>
      <c r="S73" s="50"/>
      <c r="T73" s="50"/>
      <c r="U73" s="50"/>
      <c r="V73" s="50"/>
      <c r="W73" s="50"/>
      <c r="X73" s="50"/>
      <c r="Y73" s="50"/>
      <c r="Z73" s="43" t="str">
        <f t="shared" si="0"/>
        <v>Очікую</v>
      </c>
      <c r="AA73" s="22"/>
      <c r="AB73" s="40"/>
    </row>
    <row r="74" spans="1:28" s="11" customFormat="1" ht="15" customHeight="1" x14ac:dyDescent="0.25">
      <c r="A74" s="41"/>
      <c r="B74" s="12"/>
      <c r="C74" s="48"/>
      <c r="D74" s="48">
        <v>65</v>
      </c>
      <c r="E74" s="49"/>
      <c r="F74" s="50"/>
      <c r="G74" s="50"/>
      <c r="H74" s="50"/>
      <c r="I74" s="50"/>
      <c r="J74" s="50"/>
      <c r="K74" s="50"/>
      <c r="L74" s="50"/>
      <c r="M74" s="50"/>
      <c r="N74" s="50"/>
      <c r="O74" s="50"/>
      <c r="P74" s="50"/>
      <c r="Q74" s="50"/>
      <c r="R74" s="50"/>
      <c r="S74" s="50"/>
      <c r="T74" s="50"/>
      <c r="U74" s="50"/>
      <c r="V74" s="50"/>
      <c r="W74" s="50"/>
      <c r="X74" s="50"/>
      <c r="Y74" s="50"/>
      <c r="Z74" s="43" t="str">
        <f t="shared" si="0"/>
        <v>Очікую</v>
      </c>
      <c r="AA74" s="22"/>
      <c r="AB74" s="40"/>
    </row>
    <row r="75" spans="1:28" s="11" customFormat="1" ht="15" customHeight="1" x14ac:dyDescent="0.25">
      <c r="A75" s="41"/>
      <c r="B75" s="12"/>
      <c r="C75" s="48"/>
      <c r="D75" s="48">
        <v>66</v>
      </c>
      <c r="E75" s="49"/>
      <c r="F75" s="50"/>
      <c r="G75" s="50"/>
      <c r="H75" s="50"/>
      <c r="I75" s="50"/>
      <c r="J75" s="50"/>
      <c r="K75" s="50"/>
      <c r="L75" s="50"/>
      <c r="M75" s="50"/>
      <c r="N75" s="50"/>
      <c r="O75" s="50"/>
      <c r="P75" s="50"/>
      <c r="Q75" s="50"/>
      <c r="R75" s="50"/>
      <c r="S75" s="50"/>
      <c r="T75" s="50"/>
      <c r="U75" s="50"/>
      <c r="V75" s="50"/>
      <c r="W75" s="50"/>
      <c r="X75" s="50"/>
      <c r="Y75" s="50"/>
      <c r="Z75" s="43" t="str">
        <f t="shared" ref="Z75:Z109" si="1">IF(COUNTIF(F75:Y75,"=*")&gt;0,IF($C75="К","-"," - "),IF(COUNTIF(F75:Y75,"&lt;4")&gt;0,IF(C75="К","-"," - "),(IFERROR(AVERAGE(F75:Y75),"Очікую"))))</f>
        <v>Очікую</v>
      </c>
      <c r="AA75" s="22"/>
      <c r="AB75" s="40"/>
    </row>
    <row r="76" spans="1:28" s="11" customFormat="1" ht="15" customHeight="1" x14ac:dyDescent="0.25">
      <c r="A76" s="41"/>
      <c r="B76" s="12"/>
      <c r="C76" s="48"/>
      <c r="D76" s="48">
        <v>67</v>
      </c>
      <c r="E76" s="49"/>
      <c r="F76" s="50"/>
      <c r="G76" s="50"/>
      <c r="H76" s="50"/>
      <c r="I76" s="50"/>
      <c r="J76" s="50"/>
      <c r="K76" s="50"/>
      <c r="L76" s="50"/>
      <c r="M76" s="50"/>
      <c r="N76" s="50"/>
      <c r="O76" s="50"/>
      <c r="P76" s="50"/>
      <c r="Q76" s="50"/>
      <c r="R76" s="50"/>
      <c r="S76" s="50"/>
      <c r="T76" s="50"/>
      <c r="U76" s="50"/>
      <c r="V76" s="50"/>
      <c r="W76" s="50"/>
      <c r="X76" s="50"/>
      <c r="Y76" s="50"/>
      <c r="Z76" s="43" t="str">
        <f t="shared" si="1"/>
        <v>Очікую</v>
      </c>
      <c r="AA76" s="22"/>
      <c r="AB76" s="40"/>
    </row>
    <row r="77" spans="1:28" s="11" customFormat="1" ht="15" customHeight="1" x14ac:dyDescent="0.25">
      <c r="A77" s="41"/>
      <c r="B77" s="12"/>
      <c r="C77" s="48"/>
      <c r="D77" s="48">
        <v>68</v>
      </c>
      <c r="E77" s="49"/>
      <c r="F77" s="50"/>
      <c r="G77" s="50"/>
      <c r="H77" s="50"/>
      <c r="I77" s="50"/>
      <c r="J77" s="50"/>
      <c r="K77" s="50"/>
      <c r="L77" s="50"/>
      <c r="M77" s="50"/>
      <c r="N77" s="50"/>
      <c r="O77" s="50"/>
      <c r="P77" s="50"/>
      <c r="Q77" s="50"/>
      <c r="R77" s="50"/>
      <c r="S77" s="50"/>
      <c r="T77" s="50"/>
      <c r="U77" s="50"/>
      <c r="V77" s="50"/>
      <c r="W77" s="50"/>
      <c r="X77" s="50"/>
      <c r="Y77" s="50"/>
      <c r="Z77" s="43" t="str">
        <f t="shared" si="1"/>
        <v>Очікую</v>
      </c>
      <c r="AA77" s="22"/>
      <c r="AB77" s="40"/>
    </row>
    <row r="78" spans="1:28" s="11" customFormat="1" ht="15" customHeight="1" x14ac:dyDescent="0.25">
      <c r="A78" s="41"/>
      <c r="B78" s="12"/>
      <c r="C78" s="48"/>
      <c r="D78" s="48">
        <v>69</v>
      </c>
      <c r="E78" s="49"/>
      <c r="F78" s="50"/>
      <c r="G78" s="50"/>
      <c r="H78" s="50"/>
      <c r="I78" s="50"/>
      <c r="J78" s="50"/>
      <c r="K78" s="50"/>
      <c r="L78" s="50"/>
      <c r="M78" s="50"/>
      <c r="N78" s="50"/>
      <c r="O78" s="50"/>
      <c r="P78" s="50"/>
      <c r="Q78" s="50"/>
      <c r="R78" s="50"/>
      <c r="S78" s="50"/>
      <c r="T78" s="50"/>
      <c r="U78" s="50"/>
      <c r="V78" s="50"/>
      <c r="W78" s="50"/>
      <c r="X78" s="50"/>
      <c r="Y78" s="50"/>
      <c r="Z78" s="43" t="str">
        <f t="shared" si="1"/>
        <v>Очікую</v>
      </c>
      <c r="AA78" s="22"/>
      <c r="AB78" s="40"/>
    </row>
    <row r="79" spans="1:28" s="11" customFormat="1" ht="15" customHeight="1" x14ac:dyDescent="0.25">
      <c r="A79" s="41"/>
      <c r="B79" s="12"/>
      <c r="C79" s="48"/>
      <c r="D79" s="48">
        <v>70</v>
      </c>
      <c r="E79" s="49"/>
      <c r="F79" s="50"/>
      <c r="G79" s="50"/>
      <c r="H79" s="50"/>
      <c r="I79" s="50"/>
      <c r="J79" s="50"/>
      <c r="K79" s="50"/>
      <c r="L79" s="50"/>
      <c r="M79" s="50"/>
      <c r="N79" s="50"/>
      <c r="O79" s="50"/>
      <c r="P79" s="50"/>
      <c r="Q79" s="50"/>
      <c r="R79" s="50"/>
      <c r="S79" s="50"/>
      <c r="T79" s="50"/>
      <c r="U79" s="50"/>
      <c r="V79" s="50"/>
      <c r="W79" s="50"/>
      <c r="X79" s="50"/>
      <c r="Y79" s="50"/>
      <c r="Z79" s="43" t="str">
        <f t="shared" si="1"/>
        <v>Очікую</v>
      </c>
      <c r="AA79" s="22"/>
      <c r="AB79" s="40"/>
    </row>
    <row r="80" spans="1:28" s="11" customFormat="1" ht="15" customHeight="1" x14ac:dyDescent="0.25">
      <c r="A80" s="41"/>
      <c r="B80" s="12"/>
      <c r="C80" s="48"/>
      <c r="D80" s="48">
        <v>71</v>
      </c>
      <c r="E80" s="49"/>
      <c r="F80" s="50"/>
      <c r="G80" s="50"/>
      <c r="H80" s="50"/>
      <c r="I80" s="50"/>
      <c r="J80" s="50"/>
      <c r="K80" s="50"/>
      <c r="L80" s="50"/>
      <c r="M80" s="50"/>
      <c r="N80" s="50"/>
      <c r="O80" s="50"/>
      <c r="P80" s="50"/>
      <c r="Q80" s="50"/>
      <c r="R80" s="50"/>
      <c r="S80" s="50"/>
      <c r="T80" s="50"/>
      <c r="U80" s="50"/>
      <c r="V80" s="50"/>
      <c r="W80" s="50"/>
      <c r="X80" s="50"/>
      <c r="Y80" s="50"/>
      <c r="Z80" s="43" t="str">
        <f t="shared" si="1"/>
        <v>Очікую</v>
      </c>
      <c r="AA80" s="22"/>
      <c r="AB80" s="40"/>
    </row>
    <row r="81" spans="1:28" s="11" customFormat="1" ht="15" customHeight="1" x14ac:dyDescent="0.25">
      <c r="A81" s="41"/>
      <c r="B81" s="12"/>
      <c r="C81" s="48"/>
      <c r="D81" s="48">
        <v>72</v>
      </c>
      <c r="E81" s="49"/>
      <c r="F81" s="50"/>
      <c r="G81" s="50"/>
      <c r="H81" s="50"/>
      <c r="I81" s="50"/>
      <c r="J81" s="50"/>
      <c r="K81" s="50"/>
      <c r="L81" s="50"/>
      <c r="M81" s="50"/>
      <c r="N81" s="50"/>
      <c r="O81" s="50"/>
      <c r="P81" s="50"/>
      <c r="Q81" s="50"/>
      <c r="R81" s="50"/>
      <c r="S81" s="50"/>
      <c r="T81" s="50"/>
      <c r="U81" s="50"/>
      <c r="V81" s="50"/>
      <c r="W81" s="50"/>
      <c r="X81" s="50"/>
      <c r="Y81" s="50"/>
      <c r="Z81" s="43" t="str">
        <f t="shared" si="1"/>
        <v>Очікую</v>
      </c>
      <c r="AA81" s="22"/>
      <c r="AB81" s="40"/>
    </row>
    <row r="82" spans="1:28" s="11" customFormat="1" ht="15" customHeight="1" x14ac:dyDescent="0.25">
      <c r="A82" s="41"/>
      <c r="B82" s="12"/>
      <c r="C82" s="48"/>
      <c r="D82" s="48">
        <v>73</v>
      </c>
      <c r="E82" s="49"/>
      <c r="F82" s="50"/>
      <c r="G82" s="50"/>
      <c r="H82" s="50"/>
      <c r="I82" s="50"/>
      <c r="J82" s="50"/>
      <c r="K82" s="50"/>
      <c r="L82" s="50"/>
      <c r="M82" s="50"/>
      <c r="N82" s="50"/>
      <c r="O82" s="50"/>
      <c r="P82" s="50"/>
      <c r="Q82" s="50"/>
      <c r="R82" s="50"/>
      <c r="S82" s="50"/>
      <c r="T82" s="50"/>
      <c r="U82" s="50"/>
      <c r="V82" s="50"/>
      <c r="W82" s="50"/>
      <c r="X82" s="50"/>
      <c r="Y82" s="50"/>
      <c r="Z82" s="43" t="str">
        <f t="shared" si="1"/>
        <v>Очікую</v>
      </c>
      <c r="AA82" s="22"/>
      <c r="AB82" s="40"/>
    </row>
    <row r="83" spans="1:28" s="11" customFormat="1" ht="15" customHeight="1" x14ac:dyDescent="0.25">
      <c r="A83" s="41"/>
      <c r="B83" s="12"/>
      <c r="C83" s="48"/>
      <c r="D83" s="48">
        <v>74</v>
      </c>
      <c r="E83" s="49"/>
      <c r="F83" s="50"/>
      <c r="G83" s="50"/>
      <c r="H83" s="50"/>
      <c r="I83" s="50"/>
      <c r="J83" s="50"/>
      <c r="K83" s="50"/>
      <c r="L83" s="50"/>
      <c r="M83" s="50"/>
      <c r="N83" s="50"/>
      <c r="O83" s="50"/>
      <c r="P83" s="50"/>
      <c r="Q83" s="50"/>
      <c r="R83" s="50"/>
      <c r="S83" s="50"/>
      <c r="T83" s="50"/>
      <c r="U83" s="50"/>
      <c r="V83" s="50"/>
      <c r="W83" s="50"/>
      <c r="X83" s="50"/>
      <c r="Y83" s="50"/>
      <c r="Z83" s="43" t="str">
        <f t="shared" si="1"/>
        <v>Очікую</v>
      </c>
      <c r="AA83" s="22"/>
      <c r="AB83" s="40"/>
    </row>
    <row r="84" spans="1:28" s="11" customFormat="1" ht="15" customHeight="1" x14ac:dyDescent="0.25">
      <c r="A84" s="41"/>
      <c r="B84" s="12"/>
      <c r="C84" s="48"/>
      <c r="D84" s="48">
        <v>75</v>
      </c>
      <c r="E84" s="49"/>
      <c r="F84" s="50"/>
      <c r="G84" s="50"/>
      <c r="H84" s="50"/>
      <c r="I84" s="50"/>
      <c r="J84" s="50"/>
      <c r="K84" s="50"/>
      <c r="L84" s="50"/>
      <c r="M84" s="50"/>
      <c r="N84" s="50"/>
      <c r="O84" s="50"/>
      <c r="P84" s="50"/>
      <c r="Q84" s="50"/>
      <c r="R84" s="50"/>
      <c r="S84" s="50"/>
      <c r="T84" s="50"/>
      <c r="U84" s="50"/>
      <c r="V84" s="50"/>
      <c r="W84" s="50"/>
      <c r="X84" s="50"/>
      <c r="Y84" s="50"/>
      <c r="Z84" s="43" t="str">
        <f t="shared" si="1"/>
        <v>Очікую</v>
      </c>
      <c r="AA84" s="22"/>
      <c r="AB84" s="40"/>
    </row>
    <row r="85" spans="1:28" s="11" customFormat="1" ht="15" customHeight="1" x14ac:dyDescent="0.25">
      <c r="A85" s="41"/>
      <c r="B85" s="12"/>
      <c r="C85" s="48"/>
      <c r="D85" s="48">
        <v>76</v>
      </c>
      <c r="E85" s="49"/>
      <c r="F85" s="50"/>
      <c r="G85" s="50"/>
      <c r="H85" s="50"/>
      <c r="I85" s="50"/>
      <c r="J85" s="50"/>
      <c r="K85" s="50"/>
      <c r="L85" s="50"/>
      <c r="M85" s="50"/>
      <c r="N85" s="50"/>
      <c r="O85" s="50"/>
      <c r="P85" s="50"/>
      <c r="Q85" s="50"/>
      <c r="R85" s="50"/>
      <c r="S85" s="50"/>
      <c r="T85" s="50"/>
      <c r="U85" s="50"/>
      <c r="V85" s="50"/>
      <c r="W85" s="50"/>
      <c r="X85" s="50"/>
      <c r="Y85" s="50"/>
      <c r="Z85" s="43" t="str">
        <f t="shared" si="1"/>
        <v>Очікую</v>
      </c>
      <c r="AA85" s="22"/>
      <c r="AB85" s="40"/>
    </row>
    <row r="86" spans="1:28" s="11" customFormat="1" ht="15" customHeight="1" x14ac:dyDescent="0.25">
      <c r="A86" s="41"/>
      <c r="B86" s="12"/>
      <c r="C86" s="48"/>
      <c r="D86" s="48">
        <v>77</v>
      </c>
      <c r="E86" s="49"/>
      <c r="F86" s="50"/>
      <c r="G86" s="50"/>
      <c r="H86" s="50"/>
      <c r="I86" s="50"/>
      <c r="J86" s="50"/>
      <c r="K86" s="50"/>
      <c r="L86" s="50"/>
      <c r="M86" s="50"/>
      <c r="N86" s="50"/>
      <c r="O86" s="50"/>
      <c r="P86" s="50"/>
      <c r="Q86" s="50"/>
      <c r="R86" s="50"/>
      <c r="S86" s="50"/>
      <c r="T86" s="50"/>
      <c r="U86" s="50"/>
      <c r="V86" s="50"/>
      <c r="W86" s="50"/>
      <c r="X86" s="50"/>
      <c r="Y86" s="50"/>
      <c r="Z86" s="43" t="str">
        <f t="shared" si="1"/>
        <v>Очікую</v>
      </c>
      <c r="AA86" s="22"/>
      <c r="AB86" s="40"/>
    </row>
    <row r="87" spans="1:28" s="11" customFormat="1" ht="15" customHeight="1" x14ac:dyDescent="0.25">
      <c r="A87" s="41"/>
      <c r="B87" s="12"/>
      <c r="C87" s="48"/>
      <c r="D87" s="48">
        <v>78</v>
      </c>
      <c r="E87" s="49"/>
      <c r="F87" s="50"/>
      <c r="G87" s="50"/>
      <c r="H87" s="50"/>
      <c r="I87" s="50"/>
      <c r="J87" s="50"/>
      <c r="K87" s="50"/>
      <c r="L87" s="50"/>
      <c r="M87" s="50"/>
      <c r="N87" s="50"/>
      <c r="O87" s="50"/>
      <c r="P87" s="50"/>
      <c r="Q87" s="50"/>
      <c r="R87" s="50"/>
      <c r="S87" s="50"/>
      <c r="T87" s="50"/>
      <c r="U87" s="50"/>
      <c r="V87" s="50"/>
      <c r="W87" s="50"/>
      <c r="X87" s="50"/>
      <c r="Y87" s="50"/>
      <c r="Z87" s="43" t="str">
        <f t="shared" si="1"/>
        <v>Очікую</v>
      </c>
      <c r="AA87" s="22"/>
      <c r="AB87" s="40"/>
    </row>
    <row r="88" spans="1:28" s="11" customFormat="1" ht="15" customHeight="1" x14ac:dyDescent="0.25">
      <c r="A88" s="41"/>
      <c r="B88" s="12"/>
      <c r="C88" s="48"/>
      <c r="D88" s="48">
        <v>79</v>
      </c>
      <c r="E88" s="49"/>
      <c r="F88" s="50"/>
      <c r="G88" s="50"/>
      <c r="H88" s="50"/>
      <c r="I88" s="50"/>
      <c r="J88" s="50"/>
      <c r="K88" s="50"/>
      <c r="L88" s="50"/>
      <c r="M88" s="50"/>
      <c r="N88" s="50"/>
      <c r="O88" s="50"/>
      <c r="P88" s="50"/>
      <c r="Q88" s="50"/>
      <c r="R88" s="50"/>
      <c r="S88" s="50"/>
      <c r="T88" s="50"/>
      <c r="U88" s="50"/>
      <c r="V88" s="50"/>
      <c r="W88" s="50"/>
      <c r="X88" s="50"/>
      <c r="Y88" s="50"/>
      <c r="Z88" s="43" t="str">
        <f t="shared" si="1"/>
        <v>Очікую</v>
      </c>
      <c r="AA88" s="22"/>
      <c r="AB88" s="40"/>
    </row>
    <row r="89" spans="1:28" s="11" customFormat="1" ht="15" customHeight="1" x14ac:dyDescent="0.25">
      <c r="A89" s="41"/>
      <c r="B89" s="12"/>
      <c r="C89" s="48"/>
      <c r="D89" s="48">
        <v>80</v>
      </c>
      <c r="E89" s="49"/>
      <c r="F89" s="50"/>
      <c r="G89" s="50"/>
      <c r="H89" s="50"/>
      <c r="I89" s="50"/>
      <c r="J89" s="50"/>
      <c r="K89" s="50"/>
      <c r="L89" s="50"/>
      <c r="M89" s="50"/>
      <c r="N89" s="50"/>
      <c r="O89" s="50"/>
      <c r="P89" s="50"/>
      <c r="Q89" s="50"/>
      <c r="R89" s="50"/>
      <c r="S89" s="50"/>
      <c r="T89" s="50"/>
      <c r="U89" s="50"/>
      <c r="V89" s="50"/>
      <c r="W89" s="50"/>
      <c r="X89" s="50"/>
      <c r="Y89" s="50"/>
      <c r="Z89" s="43" t="str">
        <f t="shared" si="1"/>
        <v>Очікую</v>
      </c>
      <c r="AA89" s="22"/>
      <c r="AB89" s="40"/>
    </row>
    <row r="90" spans="1:28" s="11" customFormat="1" ht="15" customHeight="1" x14ac:dyDescent="0.25">
      <c r="A90" s="41"/>
      <c r="B90" s="12"/>
      <c r="C90" s="48"/>
      <c r="D90" s="48">
        <v>81</v>
      </c>
      <c r="E90" s="49"/>
      <c r="F90" s="50"/>
      <c r="G90" s="50"/>
      <c r="H90" s="50"/>
      <c r="I90" s="50"/>
      <c r="J90" s="50"/>
      <c r="K90" s="50"/>
      <c r="L90" s="50"/>
      <c r="M90" s="50"/>
      <c r="N90" s="50"/>
      <c r="O90" s="50"/>
      <c r="P90" s="50"/>
      <c r="Q90" s="50"/>
      <c r="R90" s="50"/>
      <c r="S90" s="50"/>
      <c r="T90" s="50"/>
      <c r="U90" s="50"/>
      <c r="V90" s="50"/>
      <c r="W90" s="50"/>
      <c r="X90" s="50"/>
      <c r="Y90" s="50"/>
      <c r="Z90" s="43" t="str">
        <f t="shared" si="1"/>
        <v>Очікую</v>
      </c>
      <c r="AA90" s="22"/>
      <c r="AB90" s="40"/>
    </row>
    <row r="91" spans="1:28" s="11" customFormat="1" ht="15" customHeight="1" x14ac:dyDescent="0.25">
      <c r="A91" s="41"/>
      <c r="B91" s="12"/>
      <c r="C91" s="48"/>
      <c r="D91" s="48">
        <v>82</v>
      </c>
      <c r="E91" s="49"/>
      <c r="F91" s="50"/>
      <c r="G91" s="50"/>
      <c r="H91" s="50"/>
      <c r="I91" s="50"/>
      <c r="J91" s="50"/>
      <c r="K91" s="50"/>
      <c r="L91" s="50"/>
      <c r="M91" s="50"/>
      <c r="N91" s="50"/>
      <c r="O91" s="50"/>
      <c r="P91" s="50"/>
      <c r="Q91" s="50"/>
      <c r="R91" s="50"/>
      <c r="S91" s="50"/>
      <c r="T91" s="50"/>
      <c r="U91" s="50"/>
      <c r="V91" s="50"/>
      <c r="W91" s="50"/>
      <c r="X91" s="50"/>
      <c r="Y91" s="50"/>
      <c r="Z91" s="43" t="str">
        <f t="shared" si="1"/>
        <v>Очікую</v>
      </c>
      <c r="AA91" s="22"/>
      <c r="AB91" s="40"/>
    </row>
    <row r="92" spans="1:28" s="11" customFormat="1" ht="15" customHeight="1" x14ac:dyDescent="0.25">
      <c r="A92" s="41"/>
      <c r="B92" s="12"/>
      <c r="C92" s="48"/>
      <c r="D92" s="48">
        <v>83</v>
      </c>
      <c r="E92" s="49"/>
      <c r="F92" s="50"/>
      <c r="G92" s="50"/>
      <c r="H92" s="50"/>
      <c r="I92" s="50"/>
      <c r="J92" s="50"/>
      <c r="K92" s="50"/>
      <c r="L92" s="50"/>
      <c r="M92" s="50"/>
      <c r="N92" s="50"/>
      <c r="O92" s="50"/>
      <c r="P92" s="50"/>
      <c r="Q92" s="50"/>
      <c r="R92" s="50"/>
      <c r="S92" s="50"/>
      <c r="T92" s="50"/>
      <c r="U92" s="50"/>
      <c r="V92" s="50"/>
      <c r="W92" s="50"/>
      <c r="X92" s="50"/>
      <c r="Y92" s="50"/>
      <c r="Z92" s="43" t="str">
        <f t="shared" si="1"/>
        <v>Очікую</v>
      </c>
      <c r="AA92" s="22"/>
      <c r="AB92" s="40"/>
    </row>
    <row r="93" spans="1:28" s="11" customFormat="1" ht="15" customHeight="1" x14ac:dyDescent="0.25">
      <c r="A93" s="41"/>
      <c r="B93" s="12"/>
      <c r="C93" s="48"/>
      <c r="D93" s="48">
        <v>84</v>
      </c>
      <c r="E93" s="49"/>
      <c r="F93" s="50"/>
      <c r="G93" s="50"/>
      <c r="H93" s="50"/>
      <c r="I93" s="50"/>
      <c r="J93" s="50"/>
      <c r="K93" s="50"/>
      <c r="L93" s="50"/>
      <c r="M93" s="50"/>
      <c r="N93" s="50"/>
      <c r="O93" s="50"/>
      <c r="P93" s="50"/>
      <c r="Q93" s="50"/>
      <c r="R93" s="50"/>
      <c r="S93" s="50"/>
      <c r="T93" s="50"/>
      <c r="U93" s="50"/>
      <c r="V93" s="50"/>
      <c r="W93" s="50"/>
      <c r="X93" s="50"/>
      <c r="Y93" s="50"/>
      <c r="Z93" s="43" t="str">
        <f t="shared" si="1"/>
        <v>Очікую</v>
      </c>
      <c r="AA93" s="22"/>
      <c r="AB93" s="40"/>
    </row>
    <row r="94" spans="1:28" s="11" customFormat="1" ht="15" customHeight="1" x14ac:dyDescent="0.25">
      <c r="A94" s="41"/>
      <c r="B94" s="12"/>
      <c r="C94" s="48"/>
      <c r="D94" s="48">
        <v>85</v>
      </c>
      <c r="E94" s="49"/>
      <c r="F94" s="50"/>
      <c r="G94" s="50"/>
      <c r="H94" s="50"/>
      <c r="I94" s="50"/>
      <c r="J94" s="50"/>
      <c r="K94" s="50"/>
      <c r="L94" s="50"/>
      <c r="M94" s="50"/>
      <c r="N94" s="50"/>
      <c r="O94" s="50"/>
      <c r="P94" s="50"/>
      <c r="Q94" s="50"/>
      <c r="R94" s="50"/>
      <c r="S94" s="50"/>
      <c r="T94" s="50"/>
      <c r="U94" s="50"/>
      <c r="V94" s="50"/>
      <c r="W94" s="50"/>
      <c r="X94" s="50"/>
      <c r="Y94" s="50"/>
      <c r="Z94" s="43" t="str">
        <f t="shared" si="1"/>
        <v>Очікую</v>
      </c>
      <c r="AA94" s="22"/>
      <c r="AB94" s="40"/>
    </row>
    <row r="95" spans="1:28" s="11" customFormat="1" ht="15" customHeight="1" x14ac:dyDescent="0.25">
      <c r="A95" s="41"/>
      <c r="B95" s="12"/>
      <c r="C95" s="48"/>
      <c r="D95" s="48">
        <v>86</v>
      </c>
      <c r="E95" s="49"/>
      <c r="F95" s="50"/>
      <c r="G95" s="50"/>
      <c r="H95" s="50"/>
      <c r="I95" s="50"/>
      <c r="J95" s="50"/>
      <c r="K95" s="50"/>
      <c r="L95" s="50"/>
      <c r="M95" s="50"/>
      <c r="N95" s="50"/>
      <c r="O95" s="50"/>
      <c r="P95" s="50"/>
      <c r="Q95" s="50"/>
      <c r="R95" s="50"/>
      <c r="S95" s="50"/>
      <c r="T95" s="50"/>
      <c r="U95" s="50"/>
      <c r="V95" s="50"/>
      <c r="W95" s="50"/>
      <c r="X95" s="50"/>
      <c r="Y95" s="50"/>
      <c r="Z95" s="43" t="str">
        <f t="shared" si="1"/>
        <v>Очікую</v>
      </c>
      <c r="AA95" s="22"/>
      <c r="AB95" s="40"/>
    </row>
    <row r="96" spans="1:28" s="11" customFormat="1" ht="15" customHeight="1" x14ac:dyDescent="0.25">
      <c r="A96" s="41"/>
      <c r="B96" s="12"/>
      <c r="C96" s="48"/>
      <c r="D96" s="48">
        <v>87</v>
      </c>
      <c r="E96" s="49"/>
      <c r="F96" s="50"/>
      <c r="G96" s="50"/>
      <c r="H96" s="50"/>
      <c r="I96" s="50"/>
      <c r="J96" s="50"/>
      <c r="K96" s="50"/>
      <c r="L96" s="50"/>
      <c r="M96" s="50"/>
      <c r="N96" s="50"/>
      <c r="O96" s="50"/>
      <c r="P96" s="50"/>
      <c r="Q96" s="50"/>
      <c r="R96" s="50"/>
      <c r="S96" s="50"/>
      <c r="T96" s="50"/>
      <c r="U96" s="50"/>
      <c r="V96" s="50"/>
      <c r="W96" s="50"/>
      <c r="X96" s="50"/>
      <c r="Y96" s="50"/>
      <c r="Z96" s="43" t="str">
        <f t="shared" si="1"/>
        <v>Очікую</v>
      </c>
      <c r="AA96" s="22"/>
      <c r="AB96" s="40"/>
    </row>
    <row r="97" spans="1:28" s="11" customFormat="1" ht="15" customHeight="1" x14ac:dyDescent="0.25">
      <c r="A97" s="41"/>
      <c r="B97" s="12"/>
      <c r="C97" s="48"/>
      <c r="D97" s="48">
        <v>88</v>
      </c>
      <c r="E97" s="49"/>
      <c r="F97" s="50"/>
      <c r="G97" s="50"/>
      <c r="H97" s="50"/>
      <c r="I97" s="50"/>
      <c r="J97" s="50"/>
      <c r="K97" s="50"/>
      <c r="L97" s="50"/>
      <c r="M97" s="50"/>
      <c r="N97" s="50"/>
      <c r="O97" s="50"/>
      <c r="P97" s="50"/>
      <c r="Q97" s="50"/>
      <c r="R97" s="50"/>
      <c r="S97" s="50"/>
      <c r="T97" s="50"/>
      <c r="U97" s="50"/>
      <c r="V97" s="50"/>
      <c r="W97" s="50"/>
      <c r="X97" s="50"/>
      <c r="Y97" s="50"/>
      <c r="Z97" s="43" t="str">
        <f t="shared" si="1"/>
        <v>Очікую</v>
      </c>
      <c r="AA97" s="22"/>
      <c r="AB97" s="40"/>
    </row>
    <row r="98" spans="1:28" s="11" customFormat="1" ht="15" customHeight="1" x14ac:dyDescent="0.25">
      <c r="A98" s="41"/>
      <c r="B98" s="12"/>
      <c r="C98" s="48"/>
      <c r="D98" s="48">
        <v>89</v>
      </c>
      <c r="E98" s="49"/>
      <c r="F98" s="50"/>
      <c r="G98" s="50"/>
      <c r="H98" s="50"/>
      <c r="I98" s="50"/>
      <c r="J98" s="50"/>
      <c r="K98" s="50"/>
      <c r="L98" s="50"/>
      <c r="M98" s="50"/>
      <c r="N98" s="50"/>
      <c r="O98" s="50"/>
      <c r="P98" s="50"/>
      <c r="Q98" s="50"/>
      <c r="R98" s="50"/>
      <c r="S98" s="50"/>
      <c r="T98" s="50"/>
      <c r="U98" s="50"/>
      <c r="V98" s="50"/>
      <c r="W98" s="50"/>
      <c r="X98" s="50"/>
      <c r="Y98" s="50"/>
      <c r="Z98" s="43" t="str">
        <f t="shared" si="1"/>
        <v>Очікую</v>
      </c>
      <c r="AA98" s="22"/>
      <c r="AB98" s="40"/>
    </row>
    <row r="99" spans="1:28" s="11" customFormat="1" ht="15" customHeight="1" x14ac:dyDescent="0.25">
      <c r="A99" s="41"/>
      <c r="B99" s="12"/>
      <c r="C99" s="48"/>
      <c r="D99" s="48">
        <v>90</v>
      </c>
      <c r="E99" s="49"/>
      <c r="F99" s="50"/>
      <c r="G99" s="50"/>
      <c r="H99" s="50"/>
      <c r="I99" s="50"/>
      <c r="J99" s="50"/>
      <c r="K99" s="50"/>
      <c r="L99" s="50"/>
      <c r="M99" s="50"/>
      <c r="N99" s="50"/>
      <c r="O99" s="50"/>
      <c r="P99" s="50"/>
      <c r="Q99" s="50"/>
      <c r="R99" s="50"/>
      <c r="S99" s="50"/>
      <c r="T99" s="50"/>
      <c r="U99" s="50"/>
      <c r="V99" s="50"/>
      <c r="W99" s="50"/>
      <c r="X99" s="50"/>
      <c r="Y99" s="50"/>
      <c r="Z99" s="43" t="str">
        <f t="shared" si="1"/>
        <v>Очікую</v>
      </c>
      <c r="AA99" s="22"/>
      <c r="AB99" s="40"/>
    </row>
    <row r="100" spans="1:28" s="11" customFormat="1" ht="15" customHeight="1" x14ac:dyDescent="0.25">
      <c r="A100" s="41"/>
      <c r="B100" s="12"/>
      <c r="C100" s="48"/>
      <c r="D100" s="48">
        <v>91</v>
      </c>
      <c r="E100" s="49"/>
      <c r="F100" s="50"/>
      <c r="G100" s="50"/>
      <c r="H100" s="50"/>
      <c r="I100" s="50"/>
      <c r="J100" s="50"/>
      <c r="K100" s="50"/>
      <c r="L100" s="50"/>
      <c r="M100" s="50"/>
      <c r="N100" s="50"/>
      <c r="O100" s="50"/>
      <c r="P100" s="50"/>
      <c r="Q100" s="50"/>
      <c r="R100" s="50"/>
      <c r="S100" s="50"/>
      <c r="T100" s="50"/>
      <c r="U100" s="50"/>
      <c r="V100" s="50"/>
      <c r="W100" s="50"/>
      <c r="X100" s="50"/>
      <c r="Y100" s="50"/>
      <c r="Z100" s="43" t="str">
        <f t="shared" si="1"/>
        <v>Очікую</v>
      </c>
      <c r="AA100" s="22"/>
      <c r="AB100" s="40"/>
    </row>
    <row r="101" spans="1:28" s="11" customFormat="1" ht="15" customHeight="1" x14ac:dyDescent="0.25">
      <c r="A101" s="41"/>
      <c r="B101" s="12"/>
      <c r="C101" s="48"/>
      <c r="D101" s="48">
        <v>92</v>
      </c>
      <c r="E101" s="49"/>
      <c r="F101" s="50"/>
      <c r="G101" s="50"/>
      <c r="H101" s="50"/>
      <c r="I101" s="50"/>
      <c r="J101" s="50"/>
      <c r="K101" s="50"/>
      <c r="L101" s="50"/>
      <c r="M101" s="50"/>
      <c r="N101" s="50"/>
      <c r="O101" s="50"/>
      <c r="P101" s="50"/>
      <c r="Q101" s="50"/>
      <c r="R101" s="50"/>
      <c r="S101" s="50"/>
      <c r="T101" s="50"/>
      <c r="U101" s="50"/>
      <c r="V101" s="50"/>
      <c r="W101" s="50"/>
      <c r="X101" s="50"/>
      <c r="Y101" s="50"/>
      <c r="Z101" s="43" t="str">
        <f t="shared" si="1"/>
        <v>Очікую</v>
      </c>
      <c r="AA101" s="22"/>
      <c r="AB101" s="40"/>
    </row>
    <row r="102" spans="1:28" s="11" customFormat="1" ht="15" customHeight="1" x14ac:dyDescent="0.25">
      <c r="A102" s="41"/>
      <c r="B102" s="12"/>
      <c r="C102" s="48"/>
      <c r="D102" s="48">
        <v>93</v>
      </c>
      <c r="E102" s="49"/>
      <c r="F102" s="50"/>
      <c r="G102" s="50"/>
      <c r="H102" s="50"/>
      <c r="I102" s="50"/>
      <c r="J102" s="50"/>
      <c r="K102" s="50"/>
      <c r="L102" s="50"/>
      <c r="M102" s="50"/>
      <c r="N102" s="50"/>
      <c r="O102" s="50"/>
      <c r="P102" s="50"/>
      <c r="Q102" s="50"/>
      <c r="R102" s="50"/>
      <c r="S102" s="50"/>
      <c r="T102" s="50"/>
      <c r="U102" s="50"/>
      <c r="V102" s="50"/>
      <c r="W102" s="50"/>
      <c r="X102" s="50"/>
      <c r="Y102" s="50"/>
      <c r="Z102" s="43" t="str">
        <f t="shared" si="1"/>
        <v>Очікую</v>
      </c>
      <c r="AA102" s="22"/>
      <c r="AB102" s="40"/>
    </row>
    <row r="103" spans="1:28" s="11" customFormat="1" ht="15" customHeight="1" x14ac:dyDescent="0.25">
      <c r="A103" s="41"/>
      <c r="B103" s="12"/>
      <c r="C103" s="48"/>
      <c r="D103" s="48">
        <v>94</v>
      </c>
      <c r="E103" s="49"/>
      <c r="F103" s="50"/>
      <c r="G103" s="50"/>
      <c r="H103" s="50"/>
      <c r="I103" s="50"/>
      <c r="J103" s="50"/>
      <c r="K103" s="50"/>
      <c r="L103" s="50"/>
      <c r="M103" s="50"/>
      <c r="N103" s="50"/>
      <c r="O103" s="50"/>
      <c r="P103" s="50"/>
      <c r="Q103" s="50"/>
      <c r="R103" s="50"/>
      <c r="S103" s="50"/>
      <c r="T103" s="50"/>
      <c r="U103" s="50"/>
      <c r="V103" s="50"/>
      <c r="W103" s="50"/>
      <c r="X103" s="50"/>
      <c r="Y103" s="50"/>
      <c r="Z103" s="43" t="str">
        <f t="shared" si="1"/>
        <v>Очікую</v>
      </c>
      <c r="AA103" s="22"/>
      <c r="AB103" s="40"/>
    </row>
    <row r="104" spans="1:28" s="11" customFormat="1" ht="15" customHeight="1" x14ac:dyDescent="0.25">
      <c r="A104" s="41"/>
      <c r="B104" s="12"/>
      <c r="C104" s="48"/>
      <c r="D104" s="48">
        <v>95</v>
      </c>
      <c r="E104" s="49"/>
      <c r="F104" s="50"/>
      <c r="G104" s="50"/>
      <c r="H104" s="50"/>
      <c r="I104" s="50"/>
      <c r="J104" s="50"/>
      <c r="K104" s="50"/>
      <c r="L104" s="50"/>
      <c r="M104" s="50"/>
      <c r="N104" s="50"/>
      <c r="O104" s="50"/>
      <c r="P104" s="50"/>
      <c r="Q104" s="50"/>
      <c r="R104" s="50"/>
      <c r="S104" s="50"/>
      <c r="T104" s="50"/>
      <c r="U104" s="50"/>
      <c r="V104" s="50"/>
      <c r="W104" s="50"/>
      <c r="X104" s="50"/>
      <c r="Y104" s="50"/>
      <c r="Z104" s="43" t="str">
        <f t="shared" si="1"/>
        <v>Очікую</v>
      </c>
      <c r="AA104" s="22"/>
      <c r="AB104" s="40"/>
    </row>
    <row r="105" spans="1:28" s="11" customFormat="1" ht="15" customHeight="1" x14ac:dyDescent="0.25">
      <c r="A105" s="41"/>
      <c r="B105" s="12"/>
      <c r="C105" s="48"/>
      <c r="D105" s="48">
        <v>96</v>
      </c>
      <c r="E105" s="49"/>
      <c r="F105" s="50"/>
      <c r="G105" s="50"/>
      <c r="H105" s="50"/>
      <c r="I105" s="50"/>
      <c r="J105" s="50"/>
      <c r="K105" s="50"/>
      <c r="L105" s="50"/>
      <c r="M105" s="50"/>
      <c r="N105" s="50"/>
      <c r="O105" s="50"/>
      <c r="P105" s="50"/>
      <c r="Q105" s="50"/>
      <c r="R105" s="50"/>
      <c r="S105" s="50"/>
      <c r="T105" s="50"/>
      <c r="U105" s="50"/>
      <c r="V105" s="50"/>
      <c r="W105" s="50"/>
      <c r="X105" s="50"/>
      <c r="Y105" s="50"/>
      <c r="Z105" s="43" t="str">
        <f t="shared" si="1"/>
        <v>Очікую</v>
      </c>
      <c r="AA105" s="22"/>
      <c r="AB105" s="40"/>
    </row>
    <row r="106" spans="1:28" s="11" customFormat="1" ht="15" customHeight="1" x14ac:dyDescent="0.25">
      <c r="A106" s="41"/>
      <c r="B106" s="12"/>
      <c r="C106" s="48"/>
      <c r="D106" s="48">
        <v>97</v>
      </c>
      <c r="E106" s="49"/>
      <c r="F106" s="50"/>
      <c r="G106" s="50"/>
      <c r="H106" s="50"/>
      <c r="I106" s="50"/>
      <c r="J106" s="50"/>
      <c r="K106" s="50"/>
      <c r="L106" s="50"/>
      <c r="M106" s="50"/>
      <c r="N106" s="50"/>
      <c r="O106" s="50"/>
      <c r="P106" s="50"/>
      <c r="Q106" s="50"/>
      <c r="R106" s="50"/>
      <c r="S106" s="50"/>
      <c r="T106" s="50"/>
      <c r="U106" s="50"/>
      <c r="V106" s="50"/>
      <c r="W106" s="50"/>
      <c r="X106" s="50"/>
      <c r="Y106" s="50"/>
      <c r="Z106" s="43" t="str">
        <f t="shared" si="1"/>
        <v>Очікую</v>
      </c>
      <c r="AA106" s="22"/>
      <c r="AB106" s="40"/>
    </row>
    <row r="107" spans="1:28" s="11" customFormat="1" ht="15" customHeight="1" x14ac:dyDescent="0.25">
      <c r="A107" s="41"/>
      <c r="B107" s="12"/>
      <c r="C107" s="48"/>
      <c r="D107" s="48">
        <v>98</v>
      </c>
      <c r="E107" s="49"/>
      <c r="F107" s="50"/>
      <c r="G107" s="50"/>
      <c r="H107" s="50"/>
      <c r="I107" s="50"/>
      <c r="J107" s="50"/>
      <c r="K107" s="50"/>
      <c r="L107" s="50"/>
      <c r="M107" s="50"/>
      <c r="N107" s="50"/>
      <c r="O107" s="50"/>
      <c r="P107" s="50"/>
      <c r="Q107" s="50"/>
      <c r="R107" s="50"/>
      <c r="S107" s="50"/>
      <c r="T107" s="50"/>
      <c r="U107" s="50"/>
      <c r="V107" s="50"/>
      <c r="W107" s="50"/>
      <c r="X107" s="50"/>
      <c r="Y107" s="50"/>
      <c r="Z107" s="43" t="str">
        <f t="shared" si="1"/>
        <v>Очікую</v>
      </c>
      <c r="AA107" s="22"/>
      <c r="AB107" s="40"/>
    </row>
    <row r="108" spans="1:28" s="11" customFormat="1" ht="15" customHeight="1" x14ac:dyDescent="0.25">
      <c r="A108" s="41"/>
      <c r="B108" s="12"/>
      <c r="C108" s="48"/>
      <c r="D108" s="48">
        <v>99</v>
      </c>
      <c r="E108" s="49"/>
      <c r="F108" s="50"/>
      <c r="G108" s="50"/>
      <c r="H108" s="50"/>
      <c r="I108" s="50"/>
      <c r="J108" s="50"/>
      <c r="K108" s="50"/>
      <c r="L108" s="50"/>
      <c r="M108" s="50"/>
      <c r="N108" s="50"/>
      <c r="O108" s="50"/>
      <c r="P108" s="50"/>
      <c r="Q108" s="50"/>
      <c r="R108" s="50"/>
      <c r="S108" s="50"/>
      <c r="T108" s="50"/>
      <c r="U108" s="50"/>
      <c r="V108" s="50"/>
      <c r="W108" s="50"/>
      <c r="X108" s="50"/>
      <c r="Y108" s="50"/>
      <c r="Z108" s="43" t="str">
        <f t="shared" si="1"/>
        <v>Очікую</v>
      </c>
      <c r="AA108" s="22"/>
      <c r="AB108" s="40"/>
    </row>
    <row r="109" spans="1:28" s="11" customFormat="1" ht="15" customHeight="1" x14ac:dyDescent="0.25">
      <c r="A109" s="41"/>
      <c r="B109" s="12"/>
      <c r="C109" s="48"/>
      <c r="D109" s="48">
        <v>100</v>
      </c>
      <c r="E109" s="49"/>
      <c r="F109" s="50"/>
      <c r="G109" s="50"/>
      <c r="H109" s="50"/>
      <c r="I109" s="50"/>
      <c r="J109" s="50"/>
      <c r="K109" s="50"/>
      <c r="L109" s="50"/>
      <c r="M109" s="50"/>
      <c r="N109" s="50"/>
      <c r="O109" s="50"/>
      <c r="P109" s="50"/>
      <c r="Q109" s="50"/>
      <c r="R109" s="50"/>
      <c r="S109" s="50"/>
      <c r="T109" s="50"/>
      <c r="U109" s="50"/>
      <c r="V109" s="50"/>
      <c r="W109" s="50"/>
      <c r="X109" s="50"/>
      <c r="Y109" s="50"/>
      <c r="Z109" s="43" t="str">
        <f t="shared" si="1"/>
        <v>Очікую</v>
      </c>
      <c r="AA109" s="22"/>
      <c r="AB109" s="40"/>
    </row>
    <row r="110" spans="1:28" ht="15" customHeight="1" x14ac:dyDescent="0.25">
      <c r="A110" s="41"/>
      <c r="B110" s="12"/>
      <c r="C110" s="6"/>
      <c r="D110" s="6"/>
      <c r="E110" s="7" t="s">
        <v>4</v>
      </c>
      <c r="F110" s="8" t="str">
        <f>IF(SUM(F10:F109)=0,IF(COUNTA(F10:F109)=0,"Очікую",0),SUM(F10:F109)/$D109)</f>
        <v>Очікую</v>
      </c>
      <c r="G110" s="8" t="str">
        <f t="shared" ref="G110:Y110" si="2">IF(SUM(G10:G109)=0,IF(COUNTA(G10:G109)=0,"Очікую",0),SUM(G10:G109)/$D109)</f>
        <v>Очікую</v>
      </c>
      <c r="H110" s="8" t="str">
        <f t="shared" si="2"/>
        <v>Очікую</v>
      </c>
      <c r="I110" s="8" t="str">
        <f t="shared" si="2"/>
        <v>Очікую</v>
      </c>
      <c r="J110" s="8" t="str">
        <f t="shared" si="2"/>
        <v>Очікую</v>
      </c>
      <c r="K110" s="8" t="str">
        <f t="shared" si="2"/>
        <v>Очікую</v>
      </c>
      <c r="L110" s="8" t="str">
        <f t="shared" si="2"/>
        <v>Очікую</v>
      </c>
      <c r="M110" s="8" t="str">
        <f t="shared" si="2"/>
        <v>Очікую</v>
      </c>
      <c r="N110" s="8" t="str">
        <f t="shared" si="2"/>
        <v>Очікую</v>
      </c>
      <c r="O110" s="8" t="str">
        <f t="shared" si="2"/>
        <v>Очікую</v>
      </c>
      <c r="P110" s="8" t="str">
        <f t="shared" si="2"/>
        <v>Очікую</v>
      </c>
      <c r="Q110" s="8" t="str">
        <f t="shared" si="2"/>
        <v>Очікую</v>
      </c>
      <c r="R110" s="8" t="str">
        <f t="shared" si="2"/>
        <v>Очікую</v>
      </c>
      <c r="S110" s="8" t="str">
        <f t="shared" si="2"/>
        <v>Очікую</v>
      </c>
      <c r="T110" s="8" t="str">
        <f t="shared" si="2"/>
        <v>Очікую</v>
      </c>
      <c r="U110" s="8" t="str">
        <f t="shared" si="2"/>
        <v>Очікую</v>
      </c>
      <c r="V110" s="8" t="str">
        <f t="shared" si="2"/>
        <v>Очікую</v>
      </c>
      <c r="W110" s="8" t="str">
        <f t="shared" si="2"/>
        <v>Очікую</v>
      </c>
      <c r="X110" s="8" t="str">
        <f t="shared" si="2"/>
        <v>Очікую</v>
      </c>
      <c r="Y110" s="8" t="str">
        <f t="shared" si="2"/>
        <v>Очікую</v>
      </c>
      <c r="Z110" s="9" t="str">
        <f>IFERROR(AVERAGE(F110:Y110),"Очікую")</f>
        <v>Очікую</v>
      </c>
      <c r="AA110" s="20"/>
      <c r="AB110" s="40"/>
    </row>
    <row r="111" spans="1:28" ht="15" customHeight="1" x14ac:dyDescent="0.25">
      <c r="A111" s="41"/>
      <c r="B111" s="12"/>
      <c r="C111" s="6"/>
      <c r="D111" s="6"/>
      <c r="E111" s="7" t="s">
        <v>5</v>
      </c>
      <c r="F111" s="44" t="str">
        <f>IF(SUM(F10:F109)=0,IF(COUNTA(F10:F109)=0,"Очікую",0),IF(COUNTIF(F10:F109,"&gt;=4")=0,0,COUNTIF(F10:F109,"&gt;=4")/$D109*100))</f>
        <v>Очікую</v>
      </c>
      <c r="G111" s="44" t="str">
        <f t="shared" ref="G111:Y111" si="3">IF(SUM(G10:G109)=0,IF(COUNTA(G10:G109)=0,"Очікую",0),IF(COUNTIF(G10:G109,"&gt;=4")=0,0,COUNTIF(G10:G109,"&gt;=4")/$D109*100))</f>
        <v>Очікую</v>
      </c>
      <c r="H111" s="44" t="str">
        <f t="shared" si="3"/>
        <v>Очікую</v>
      </c>
      <c r="I111" s="44" t="str">
        <f t="shared" si="3"/>
        <v>Очікую</v>
      </c>
      <c r="J111" s="44" t="str">
        <f t="shared" si="3"/>
        <v>Очікую</v>
      </c>
      <c r="K111" s="44" t="str">
        <f t="shared" si="3"/>
        <v>Очікую</v>
      </c>
      <c r="L111" s="44" t="str">
        <f t="shared" si="3"/>
        <v>Очікую</v>
      </c>
      <c r="M111" s="44" t="str">
        <f t="shared" si="3"/>
        <v>Очікую</v>
      </c>
      <c r="N111" s="44" t="str">
        <f t="shared" si="3"/>
        <v>Очікую</v>
      </c>
      <c r="O111" s="44" t="str">
        <f t="shared" si="3"/>
        <v>Очікую</v>
      </c>
      <c r="P111" s="44" t="str">
        <f t="shared" si="3"/>
        <v>Очікую</v>
      </c>
      <c r="Q111" s="44" t="str">
        <f t="shared" si="3"/>
        <v>Очікую</v>
      </c>
      <c r="R111" s="44" t="str">
        <f t="shared" si="3"/>
        <v>Очікую</v>
      </c>
      <c r="S111" s="44" t="str">
        <f t="shared" si="3"/>
        <v>Очікую</v>
      </c>
      <c r="T111" s="44" t="str">
        <f t="shared" si="3"/>
        <v>Очікую</v>
      </c>
      <c r="U111" s="44" t="str">
        <f t="shared" si="3"/>
        <v>Очікую</v>
      </c>
      <c r="V111" s="44" t="str">
        <f t="shared" si="3"/>
        <v>Очікую</v>
      </c>
      <c r="W111" s="44" t="str">
        <f t="shared" si="3"/>
        <v>Очікую</v>
      </c>
      <c r="X111" s="44" t="str">
        <f t="shared" si="3"/>
        <v>Очікую</v>
      </c>
      <c r="Y111" s="44" t="str">
        <f t="shared" si="3"/>
        <v>Очікую</v>
      </c>
      <c r="Z111" s="6"/>
      <c r="AA111" s="20"/>
      <c r="AB111" s="40"/>
    </row>
    <row r="112" spans="1:28" ht="15" customHeight="1" x14ac:dyDescent="0.25">
      <c r="A112" s="41"/>
      <c r="B112" s="12"/>
      <c r="C112" s="6"/>
      <c r="D112" s="6"/>
      <c r="E112" s="7" t="s">
        <v>6</v>
      </c>
      <c r="F112" s="44" t="str">
        <f>IF(SUM(F10:F109)=0,IF(COUNTA(F10:F109)=0,"Очікую",0),IF(COUNTIF(F10:F109,"&gt;=7")=0,0,COUNTIF(F10:F109,"&gt;=7")/$D109*100))</f>
        <v>Очікую</v>
      </c>
      <c r="G112" s="44" t="str">
        <f t="shared" ref="G112:Y112" si="4">IF(SUM(G10:G109)=0,IF(COUNTA(G10:G109)=0,"Очікую",0),IF(COUNTIF(G10:G109,"&gt;=7")=0,0,COUNTIF(G10:G109,"&gt;=7")/$D109*100))</f>
        <v>Очікую</v>
      </c>
      <c r="H112" s="44" t="str">
        <f t="shared" si="4"/>
        <v>Очікую</v>
      </c>
      <c r="I112" s="44" t="str">
        <f t="shared" si="4"/>
        <v>Очікую</v>
      </c>
      <c r="J112" s="44" t="str">
        <f t="shared" si="4"/>
        <v>Очікую</v>
      </c>
      <c r="K112" s="44" t="str">
        <f t="shared" si="4"/>
        <v>Очікую</v>
      </c>
      <c r="L112" s="44" t="str">
        <f t="shared" si="4"/>
        <v>Очікую</v>
      </c>
      <c r="M112" s="44" t="str">
        <f>IF(SUM(M10:M109)=0,IF(COUNTA(M10:M109)=0,"Очікую",0),IF(COUNTIF(M10:M109,"&gt;=7")=0,0,COUNTIF(M10:M109,"&gt;=7")/$D109*100))</f>
        <v>Очікую</v>
      </c>
      <c r="N112" s="44" t="str">
        <f t="shared" si="4"/>
        <v>Очікую</v>
      </c>
      <c r="O112" s="44" t="str">
        <f t="shared" si="4"/>
        <v>Очікую</v>
      </c>
      <c r="P112" s="44" t="str">
        <f t="shared" si="4"/>
        <v>Очікую</v>
      </c>
      <c r="Q112" s="44" t="str">
        <f t="shared" si="4"/>
        <v>Очікую</v>
      </c>
      <c r="R112" s="44" t="str">
        <f t="shared" si="4"/>
        <v>Очікую</v>
      </c>
      <c r="S112" s="44" t="str">
        <f t="shared" si="4"/>
        <v>Очікую</v>
      </c>
      <c r="T112" s="44" t="str">
        <f t="shared" si="4"/>
        <v>Очікую</v>
      </c>
      <c r="U112" s="44" t="str">
        <f t="shared" si="4"/>
        <v>Очікую</v>
      </c>
      <c r="V112" s="44" t="str">
        <f t="shared" si="4"/>
        <v>Очікую</v>
      </c>
      <c r="W112" s="44" t="str">
        <f t="shared" si="4"/>
        <v>Очікую</v>
      </c>
      <c r="X112" s="44" t="str">
        <f t="shared" si="4"/>
        <v>Очікую</v>
      </c>
      <c r="Y112" s="44" t="str">
        <f t="shared" si="4"/>
        <v>Очікую</v>
      </c>
      <c r="Z112" s="6"/>
      <c r="AA112" s="20"/>
      <c r="AB112" s="40"/>
    </row>
    <row r="113" spans="1:28" ht="15" customHeight="1" x14ac:dyDescent="0.25">
      <c r="A113" s="41"/>
      <c r="B113" s="12"/>
      <c r="C113" s="6"/>
      <c r="D113" s="6"/>
      <c r="E113" s="7" t="s">
        <v>7</v>
      </c>
      <c r="F113" s="8" t="str">
        <f>IFERROR(AVERAGE(F111:Y111),"Очікую")</f>
        <v>Очікую</v>
      </c>
      <c r="G113" s="6"/>
      <c r="H113" s="6"/>
      <c r="I113" s="6"/>
      <c r="J113" s="6"/>
      <c r="K113" s="6"/>
      <c r="L113" s="6"/>
      <c r="M113" s="6"/>
      <c r="N113" s="6"/>
      <c r="O113" s="6"/>
      <c r="P113" s="6"/>
      <c r="Q113" s="6"/>
      <c r="R113" s="6"/>
      <c r="S113" s="6"/>
      <c r="T113" s="6"/>
      <c r="U113" s="6"/>
      <c r="V113" s="6"/>
      <c r="W113" s="6"/>
      <c r="X113" s="6"/>
      <c r="Y113" s="6"/>
      <c r="Z113" s="6"/>
      <c r="AA113" s="20"/>
      <c r="AB113" s="40"/>
    </row>
    <row r="114" spans="1:28" ht="15" customHeight="1" x14ac:dyDescent="0.25">
      <c r="A114" s="41"/>
      <c r="B114" s="12"/>
      <c r="C114" s="6"/>
      <c r="D114" s="6"/>
      <c r="E114" s="7" t="s">
        <v>8</v>
      </c>
      <c r="F114" s="8" t="str">
        <f>IFERROR(AVERAGE(F112:Y112),"Очікую")</f>
        <v>Очікую</v>
      </c>
      <c r="G114" s="6"/>
      <c r="H114" s="6"/>
      <c r="I114" s="6"/>
      <c r="J114" s="6"/>
      <c r="K114" s="6"/>
      <c r="L114" s="6"/>
      <c r="M114" s="6"/>
      <c r="N114" s="6"/>
      <c r="O114" s="6"/>
      <c r="P114" s="6"/>
      <c r="Q114" s="6"/>
      <c r="R114" s="6"/>
      <c r="S114" s="6"/>
      <c r="T114" s="6"/>
      <c r="U114" s="6"/>
      <c r="V114" s="6"/>
      <c r="W114" s="6"/>
      <c r="X114" s="6"/>
      <c r="Y114" s="6"/>
      <c r="Z114" s="6"/>
      <c r="AA114" s="20"/>
      <c r="AB114" s="40"/>
    </row>
    <row r="115" spans="1:28" ht="15" customHeight="1" x14ac:dyDescent="0.25">
      <c r="A115" s="41"/>
      <c r="B115" s="12"/>
      <c r="C115" s="6"/>
      <c r="D115" s="6"/>
      <c r="E115" s="7" t="s">
        <v>9</v>
      </c>
      <c r="F115" s="5" t="str">
        <f>IF(COUNTIF(C10:C109,"=Б")=0,IF(COUNTIF(C10:C109,"=К")=0,"Очікую",0),COUNTIF(C10:C109,"=Б"))</f>
        <v>Очікую</v>
      </c>
      <c r="G115" s="6"/>
      <c r="H115" s="6"/>
      <c r="I115" s="6"/>
      <c r="J115" s="6"/>
      <c r="K115" s="6"/>
      <c r="L115" s="6"/>
      <c r="M115" s="6"/>
      <c r="N115" s="6"/>
      <c r="O115" s="6"/>
      <c r="P115" s="6"/>
      <c r="Q115" s="6"/>
      <c r="R115" s="6"/>
      <c r="S115" s="6"/>
      <c r="T115" s="6"/>
      <c r="U115" s="6"/>
      <c r="V115" s="6"/>
      <c r="W115" s="60"/>
      <c r="X115" s="60"/>
      <c r="Y115" s="60"/>
      <c r="Z115" s="60"/>
      <c r="AA115" s="20"/>
      <c r="AB115" s="40"/>
    </row>
    <row r="116" spans="1:28" ht="15" customHeight="1" x14ac:dyDescent="0.3">
      <c r="A116" s="41"/>
      <c r="B116" s="12"/>
      <c r="C116" s="6"/>
      <c r="D116" s="6"/>
      <c r="E116" s="7" t="s">
        <v>10</v>
      </c>
      <c r="F116" s="5" t="str">
        <f>IF(COUNTIF(C10:C109,"=К")=0,IF(COUNTIF(C10:C109,"=Б")=0,"Очікую",0),COUNTIF(C10:C109,"=К"))</f>
        <v>Очікую</v>
      </c>
      <c r="G116" s="6"/>
      <c r="H116" s="63" t="s">
        <v>11</v>
      </c>
      <c r="I116" s="6"/>
      <c r="J116" s="6"/>
      <c r="K116" s="6"/>
      <c r="L116" s="6"/>
      <c r="M116" s="6"/>
      <c r="N116" s="63"/>
      <c r="O116" s="63"/>
      <c r="P116" s="63"/>
      <c r="Q116" s="63"/>
      <c r="R116" s="6"/>
      <c r="S116" s="6"/>
      <c r="T116" s="6"/>
      <c r="U116" s="64"/>
      <c r="V116" s="62"/>
      <c r="W116" s="62"/>
      <c r="X116" s="62"/>
      <c r="Y116" s="62"/>
      <c r="Z116" s="62"/>
      <c r="AA116" s="20"/>
      <c r="AB116" s="40"/>
    </row>
    <row r="117" spans="1:28" ht="15" customHeight="1" x14ac:dyDescent="0.25">
      <c r="A117" s="41"/>
      <c r="B117" s="12"/>
      <c r="C117" s="6"/>
      <c r="D117" s="6"/>
      <c r="E117" s="7" t="s">
        <v>12</v>
      </c>
      <c r="F117" s="4"/>
      <c r="G117" s="6"/>
      <c r="H117" s="63"/>
      <c r="I117" s="6"/>
      <c r="J117" s="6"/>
      <c r="K117" s="6"/>
      <c r="L117" s="6"/>
      <c r="M117" s="6"/>
      <c r="N117" s="63"/>
      <c r="O117" s="63"/>
      <c r="P117" s="63"/>
      <c r="Q117" s="63"/>
      <c r="R117" s="6"/>
      <c r="S117" s="6"/>
      <c r="T117" s="6"/>
      <c r="U117" s="64"/>
      <c r="V117" s="60"/>
      <c r="W117" s="60"/>
      <c r="X117" s="60"/>
      <c r="Y117" s="60"/>
      <c r="Z117" s="60"/>
      <c r="AA117" s="20"/>
      <c r="AB117" s="40"/>
    </row>
    <row r="118" spans="1:28" ht="15" customHeight="1" x14ac:dyDescent="0.3">
      <c r="A118" s="41"/>
      <c r="B118" s="12"/>
      <c r="C118" s="6"/>
      <c r="D118" s="6"/>
      <c r="E118" s="7" t="s">
        <v>13</v>
      </c>
      <c r="F118" s="5" t="str">
        <f>IF(F115="Очікую","Очікую",IF(F115-COUNTIF(Z10:Z109," - ")&lt;ROUNDDOWN(F115*0.4,0),F115-COUNTIF(Z10:Z109," - "),ROUNDDOWN(F115*0.4,0)))</f>
        <v>Очікую</v>
      </c>
      <c r="G118" s="6"/>
      <c r="H118" s="64" t="s">
        <v>14</v>
      </c>
      <c r="I118" s="6"/>
      <c r="J118" s="6"/>
      <c r="K118" s="6"/>
      <c r="L118" s="6"/>
      <c r="M118" s="6"/>
      <c r="N118" s="64"/>
      <c r="O118" s="64"/>
      <c r="P118" s="64"/>
      <c r="Q118" s="64"/>
      <c r="R118" s="6"/>
      <c r="S118" s="6"/>
      <c r="T118" s="6"/>
      <c r="U118" s="64"/>
      <c r="V118" s="62"/>
      <c r="W118" s="62"/>
      <c r="X118" s="62"/>
      <c r="Y118" s="62"/>
      <c r="Z118" s="62"/>
      <c r="AA118" s="20"/>
      <c r="AB118" s="40"/>
    </row>
    <row r="119" spans="1:28" ht="12" customHeight="1" thickBot="1" x14ac:dyDescent="0.3">
      <c r="A119" s="41"/>
      <c r="B119" s="21"/>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5"/>
      <c r="AB119" s="40"/>
    </row>
    <row r="120" spans="1:28" ht="12" customHeight="1" x14ac:dyDescent="0.25">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c r="AA120" s="39"/>
      <c r="AB120" s="40"/>
    </row>
  </sheetData>
  <sheetProtection insertRows="0" deleteRows="0"/>
  <mergeCells count="10">
    <mergeCell ref="C8:C9"/>
    <mergeCell ref="D8:D9"/>
    <mergeCell ref="E8:E9"/>
    <mergeCell ref="F8:Y8"/>
    <mergeCell ref="Z8:Z9"/>
    <mergeCell ref="C3:Z3"/>
    <mergeCell ref="C4:Z4"/>
    <mergeCell ref="C5:Z5"/>
    <mergeCell ref="C6:Z6"/>
    <mergeCell ref="C7:Z7"/>
  </mergeCells>
  <printOptions horizontalCentered="1"/>
  <pageMargins left="0.19685039370078741" right="0.19685039370078741" top="0.19685039370078741" bottom="0.19685039370078741" header="0" footer="0"/>
  <pageSetup paperSize="9" scale="3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70C0"/>
    <pageSetUpPr fitToPage="1"/>
  </sheetPr>
  <dimension ref="A1:BP120"/>
  <sheetViews>
    <sheetView zoomScaleNormal="100" workbookViewId="0"/>
  </sheetViews>
  <sheetFormatPr defaultColWidth="0" defaultRowHeight="0" customHeight="1" zeroHeight="1" x14ac:dyDescent="0.25"/>
  <cols>
    <col min="1" max="2" width="2.7109375" style="1" customWidth="1"/>
    <col min="3" max="3" width="4.140625" style="1" customWidth="1"/>
    <col min="4" max="4" width="6.5703125" style="1" customWidth="1"/>
    <col min="5" max="5" width="40.42578125" style="1" customWidth="1"/>
    <col min="6" max="25" width="6.7109375" style="1" customWidth="1"/>
    <col min="26" max="26" width="11.28515625" style="1" customWidth="1"/>
    <col min="27" max="28" width="2.7109375" style="1" customWidth="1"/>
    <col min="29" max="34" width="14.42578125" style="1" hidden="1" customWidth="1"/>
    <col min="35" max="35" width="14.85546875" style="1" hidden="1" customWidth="1"/>
    <col min="36" max="49" width="3.7109375" style="1" hidden="1" customWidth="1"/>
    <col min="50" max="68" width="5.7109375" style="1" hidden="1" customWidth="1"/>
    <col min="69" max="16384" width="14.42578125" style="1" hidden="1"/>
  </cols>
  <sheetData>
    <row r="1" spans="1:28" ht="12" customHeight="1" thickBot="1" x14ac:dyDescent="0.3">
      <c r="A1" s="38" t="s">
        <v>18</v>
      </c>
      <c r="B1" s="39"/>
      <c r="C1" s="39"/>
      <c r="D1" s="39"/>
      <c r="E1" s="39"/>
      <c r="F1" s="39"/>
      <c r="G1" s="39"/>
      <c r="H1" s="39"/>
      <c r="I1" s="39"/>
      <c r="J1" s="39"/>
      <c r="K1" s="39"/>
      <c r="L1" s="39"/>
      <c r="M1" s="39"/>
      <c r="N1" s="39"/>
      <c r="O1" s="39"/>
      <c r="P1" s="39"/>
      <c r="Q1" s="39"/>
      <c r="R1" s="39"/>
      <c r="S1" s="39"/>
      <c r="T1" s="39"/>
      <c r="U1" s="39"/>
      <c r="V1" s="39"/>
      <c r="W1" s="39"/>
      <c r="X1" s="39"/>
      <c r="Y1" s="39"/>
      <c r="Z1" s="39"/>
      <c r="AA1" s="39"/>
      <c r="AB1" s="39"/>
    </row>
    <row r="2" spans="1:28" ht="12" customHeight="1" x14ac:dyDescent="0.25">
      <c r="A2" s="41"/>
      <c r="B2" s="17"/>
      <c r="C2" s="18"/>
      <c r="D2" s="18"/>
      <c r="E2" s="18"/>
      <c r="F2" s="18"/>
      <c r="G2" s="18"/>
      <c r="H2" s="18"/>
      <c r="I2" s="18"/>
      <c r="J2" s="18"/>
      <c r="K2" s="18"/>
      <c r="L2" s="18"/>
      <c r="M2" s="18"/>
      <c r="N2" s="18"/>
      <c r="O2" s="18"/>
      <c r="P2" s="18"/>
      <c r="Q2" s="18"/>
      <c r="R2" s="18"/>
      <c r="S2" s="18"/>
      <c r="T2" s="18"/>
      <c r="U2" s="18"/>
      <c r="V2" s="18"/>
      <c r="W2" s="18"/>
      <c r="X2" s="18"/>
      <c r="Y2" s="18"/>
      <c r="Z2" s="18"/>
      <c r="AA2" s="19"/>
      <c r="AB2" s="40"/>
    </row>
    <row r="3" spans="1:28" s="2" customFormat="1" ht="54.95" customHeight="1" x14ac:dyDescent="0.3">
      <c r="A3" s="41"/>
      <c r="B3" s="12"/>
      <c r="C3" s="70" t="s">
        <v>19</v>
      </c>
      <c r="D3" s="70"/>
      <c r="E3" s="70"/>
      <c r="F3" s="70"/>
      <c r="G3" s="70"/>
      <c r="H3" s="70"/>
      <c r="I3" s="70"/>
      <c r="J3" s="70"/>
      <c r="K3" s="70"/>
      <c r="L3" s="70"/>
      <c r="M3" s="70"/>
      <c r="N3" s="70"/>
      <c r="O3" s="70"/>
      <c r="P3" s="70"/>
      <c r="Q3" s="70"/>
      <c r="R3" s="70"/>
      <c r="S3" s="70"/>
      <c r="T3" s="70"/>
      <c r="U3" s="70"/>
      <c r="V3" s="70"/>
      <c r="W3" s="70"/>
      <c r="X3" s="70"/>
      <c r="Y3" s="70"/>
      <c r="Z3" s="70"/>
      <c r="AA3" s="20"/>
      <c r="AB3" s="40"/>
    </row>
    <row r="4" spans="1:28" s="3" customFormat="1" ht="15" customHeight="1" x14ac:dyDescent="0.25">
      <c r="A4" s="41"/>
      <c r="B4" s="12"/>
      <c r="C4" s="71" t="s">
        <v>16</v>
      </c>
      <c r="D4" s="71"/>
      <c r="E4" s="71"/>
      <c r="F4" s="71"/>
      <c r="G4" s="71"/>
      <c r="H4" s="71"/>
      <c r="I4" s="71"/>
      <c r="J4" s="71"/>
      <c r="K4" s="71"/>
      <c r="L4" s="71"/>
      <c r="M4" s="71"/>
      <c r="N4" s="71"/>
      <c r="O4" s="71"/>
      <c r="P4" s="71"/>
      <c r="Q4" s="71"/>
      <c r="R4" s="71"/>
      <c r="S4" s="71"/>
      <c r="T4" s="71"/>
      <c r="U4" s="71"/>
      <c r="V4" s="71"/>
      <c r="W4" s="71"/>
      <c r="X4" s="71"/>
      <c r="Y4" s="71"/>
      <c r="Z4" s="71"/>
      <c r="AA4" s="20"/>
      <c r="AB4" s="40"/>
    </row>
    <row r="5" spans="1:28" s="2" customFormat="1" ht="15" customHeight="1" x14ac:dyDescent="0.25">
      <c r="A5" s="41"/>
      <c r="B5" s="12"/>
      <c r="C5" s="72" t="s">
        <v>20</v>
      </c>
      <c r="D5" s="72"/>
      <c r="E5" s="72"/>
      <c r="F5" s="72"/>
      <c r="G5" s="72"/>
      <c r="H5" s="72"/>
      <c r="I5" s="72"/>
      <c r="J5" s="72"/>
      <c r="K5" s="72"/>
      <c r="L5" s="72"/>
      <c r="M5" s="72"/>
      <c r="N5" s="72"/>
      <c r="O5" s="72"/>
      <c r="P5" s="72"/>
      <c r="Q5" s="72"/>
      <c r="R5" s="72"/>
      <c r="S5" s="72"/>
      <c r="T5" s="72"/>
      <c r="U5" s="72"/>
      <c r="V5" s="72"/>
      <c r="W5" s="72"/>
      <c r="X5" s="72"/>
      <c r="Y5" s="72"/>
      <c r="Z5" s="72"/>
      <c r="AA5" s="20"/>
      <c r="AB5" s="40"/>
    </row>
    <row r="6" spans="1:28" s="2" customFormat="1" ht="15" customHeight="1" x14ac:dyDescent="0.25">
      <c r="A6" s="41"/>
      <c r="B6" s="12"/>
      <c r="C6" s="72" t="s">
        <v>22</v>
      </c>
      <c r="D6" s="72"/>
      <c r="E6" s="72"/>
      <c r="F6" s="72"/>
      <c r="G6" s="72"/>
      <c r="H6" s="72"/>
      <c r="I6" s="72"/>
      <c r="J6" s="72"/>
      <c r="K6" s="72"/>
      <c r="L6" s="72"/>
      <c r="M6" s="72"/>
      <c r="N6" s="72"/>
      <c r="O6" s="72"/>
      <c r="P6" s="72"/>
      <c r="Q6" s="72"/>
      <c r="R6" s="72"/>
      <c r="S6" s="72"/>
      <c r="T6" s="72"/>
      <c r="U6" s="72"/>
      <c r="V6" s="72"/>
      <c r="W6" s="72"/>
      <c r="X6" s="72"/>
      <c r="Y6" s="72"/>
      <c r="Z6" s="72"/>
      <c r="AA6" s="20"/>
      <c r="AB6" s="40"/>
    </row>
    <row r="7" spans="1:28" s="2" customFormat="1" ht="15" customHeight="1" x14ac:dyDescent="0.25">
      <c r="A7" s="41"/>
      <c r="B7" s="12"/>
      <c r="C7" s="73" t="s">
        <v>21</v>
      </c>
      <c r="D7" s="73"/>
      <c r="E7" s="73"/>
      <c r="F7" s="73"/>
      <c r="G7" s="73"/>
      <c r="H7" s="73"/>
      <c r="I7" s="73"/>
      <c r="J7" s="73"/>
      <c r="K7" s="73"/>
      <c r="L7" s="73"/>
      <c r="M7" s="73"/>
      <c r="N7" s="73"/>
      <c r="O7" s="73"/>
      <c r="P7" s="73"/>
      <c r="Q7" s="73"/>
      <c r="R7" s="73"/>
      <c r="S7" s="73"/>
      <c r="T7" s="73"/>
      <c r="U7" s="73"/>
      <c r="V7" s="73"/>
      <c r="W7" s="73"/>
      <c r="X7" s="73"/>
      <c r="Y7" s="73"/>
      <c r="Z7" s="73"/>
      <c r="AA7" s="20"/>
      <c r="AB7" s="40"/>
    </row>
    <row r="8" spans="1:28" ht="15" customHeight="1" x14ac:dyDescent="0.25">
      <c r="A8" s="41"/>
      <c r="B8" s="12"/>
      <c r="C8" s="74" t="s">
        <v>0</v>
      </c>
      <c r="D8" s="76" t="s">
        <v>1</v>
      </c>
      <c r="E8" s="76" t="s">
        <v>2</v>
      </c>
      <c r="F8" s="77" t="s">
        <v>17</v>
      </c>
      <c r="G8" s="78"/>
      <c r="H8" s="78"/>
      <c r="I8" s="78"/>
      <c r="J8" s="78"/>
      <c r="K8" s="78"/>
      <c r="L8" s="78"/>
      <c r="M8" s="78"/>
      <c r="N8" s="78"/>
      <c r="O8" s="78"/>
      <c r="P8" s="78"/>
      <c r="Q8" s="78"/>
      <c r="R8" s="78"/>
      <c r="S8" s="78"/>
      <c r="T8" s="78"/>
      <c r="U8" s="78"/>
      <c r="V8" s="78"/>
      <c r="W8" s="78"/>
      <c r="X8" s="78"/>
      <c r="Y8" s="79"/>
      <c r="Z8" s="80" t="s">
        <v>3</v>
      </c>
      <c r="AA8" s="20"/>
      <c r="AB8" s="40"/>
    </row>
    <row r="9" spans="1:28" ht="125.1" customHeight="1" x14ac:dyDescent="0.25">
      <c r="A9" s="41"/>
      <c r="B9" s="12"/>
      <c r="C9" s="75"/>
      <c r="D9" s="75"/>
      <c r="E9" s="75"/>
      <c r="F9" s="13">
        <v>1</v>
      </c>
      <c r="G9" s="13">
        <v>2</v>
      </c>
      <c r="H9" s="13">
        <v>3</v>
      </c>
      <c r="I9" s="13">
        <v>4</v>
      </c>
      <c r="J9" s="13">
        <v>5</v>
      </c>
      <c r="K9" s="13">
        <v>6</v>
      </c>
      <c r="L9" s="13">
        <v>7</v>
      </c>
      <c r="M9" s="13">
        <v>8</v>
      </c>
      <c r="N9" s="13">
        <v>9</v>
      </c>
      <c r="O9" s="13">
        <v>10</v>
      </c>
      <c r="P9" s="13">
        <v>11</v>
      </c>
      <c r="Q9" s="13">
        <v>12</v>
      </c>
      <c r="R9" s="13">
        <v>13</v>
      </c>
      <c r="S9" s="13">
        <v>14</v>
      </c>
      <c r="T9" s="13">
        <v>15</v>
      </c>
      <c r="U9" s="13">
        <v>16</v>
      </c>
      <c r="V9" s="13">
        <v>17</v>
      </c>
      <c r="W9" s="13">
        <v>18</v>
      </c>
      <c r="X9" s="13">
        <v>19</v>
      </c>
      <c r="Y9" s="13">
        <v>20</v>
      </c>
      <c r="Z9" s="81"/>
      <c r="AA9" s="20"/>
      <c r="AB9" s="40"/>
    </row>
    <row r="10" spans="1:28" s="11" customFormat="1" ht="15" customHeight="1" x14ac:dyDescent="0.25">
      <c r="A10" s="41"/>
      <c r="B10" s="12"/>
      <c r="C10" s="48"/>
      <c r="D10" s="48">
        <v>1</v>
      </c>
      <c r="E10" s="49"/>
      <c r="F10" s="50"/>
      <c r="G10" s="50"/>
      <c r="H10" s="50"/>
      <c r="I10" s="50"/>
      <c r="J10" s="50"/>
      <c r="K10" s="50"/>
      <c r="L10" s="50"/>
      <c r="M10" s="50"/>
      <c r="N10" s="50"/>
      <c r="O10" s="50"/>
      <c r="P10" s="50"/>
      <c r="Q10" s="50"/>
      <c r="R10" s="50"/>
      <c r="S10" s="50"/>
      <c r="T10" s="50"/>
      <c r="U10" s="50"/>
      <c r="V10" s="50"/>
      <c r="W10" s="50"/>
      <c r="X10" s="50"/>
      <c r="Y10" s="50"/>
      <c r="Z10" s="43" t="str">
        <f>IF(COUNTIF(F10:Y10,"=*")&gt;0,IF($C10="К","-"," - "),IF(COUNTIF(F10:Y10,"&lt;4")&gt;0,IF(C10="К","-"," - "),(IFERROR(AVERAGE(F10:Y10),"Очікую"))))</f>
        <v>Очікую</v>
      </c>
      <c r="AA10" s="22"/>
      <c r="AB10" s="40"/>
    </row>
    <row r="11" spans="1:28" s="11" customFormat="1" ht="15" customHeight="1" x14ac:dyDescent="0.25">
      <c r="A11" s="41"/>
      <c r="B11" s="12"/>
      <c r="C11" s="48"/>
      <c r="D11" s="48">
        <v>2</v>
      </c>
      <c r="E11" s="49"/>
      <c r="F11" s="50"/>
      <c r="G11" s="50"/>
      <c r="H11" s="50"/>
      <c r="I11" s="50"/>
      <c r="J11" s="50"/>
      <c r="K11" s="50"/>
      <c r="L11" s="50"/>
      <c r="M11" s="50"/>
      <c r="N11" s="50"/>
      <c r="O11" s="50"/>
      <c r="P11" s="50"/>
      <c r="Q11" s="50"/>
      <c r="R11" s="50"/>
      <c r="S11" s="50"/>
      <c r="T11" s="50"/>
      <c r="U11" s="50"/>
      <c r="V11" s="50"/>
      <c r="W11" s="50"/>
      <c r="X11" s="50"/>
      <c r="Y11" s="50"/>
      <c r="Z11" s="43" t="str">
        <f t="shared" ref="Z11:Z74" si="0">IF(COUNTIF(F11:Y11,"=*")&gt;0,IF($C11="К","-"," - "),IF(COUNTIF(F11:Y11,"&lt;4")&gt;0,IF(C11="К","-"," - "),(IFERROR(AVERAGE(F11:Y11),"Очікую"))))</f>
        <v>Очікую</v>
      </c>
      <c r="AA11" s="22"/>
      <c r="AB11" s="40"/>
    </row>
    <row r="12" spans="1:28" s="11" customFormat="1" ht="15" customHeight="1" x14ac:dyDescent="0.25">
      <c r="A12" s="41"/>
      <c r="B12" s="12"/>
      <c r="C12" s="48"/>
      <c r="D12" s="48">
        <v>3</v>
      </c>
      <c r="E12" s="49"/>
      <c r="F12" s="50"/>
      <c r="G12" s="50"/>
      <c r="H12" s="50"/>
      <c r="I12" s="50"/>
      <c r="J12" s="50"/>
      <c r="K12" s="50"/>
      <c r="L12" s="50"/>
      <c r="M12" s="50"/>
      <c r="N12" s="50"/>
      <c r="O12" s="50"/>
      <c r="P12" s="50"/>
      <c r="Q12" s="50"/>
      <c r="R12" s="50"/>
      <c r="S12" s="50"/>
      <c r="T12" s="50"/>
      <c r="U12" s="50"/>
      <c r="V12" s="50"/>
      <c r="W12" s="50"/>
      <c r="X12" s="50"/>
      <c r="Y12" s="50"/>
      <c r="Z12" s="43" t="str">
        <f t="shared" si="0"/>
        <v>Очікую</v>
      </c>
      <c r="AA12" s="22"/>
      <c r="AB12" s="40"/>
    </row>
    <row r="13" spans="1:28" s="11" customFormat="1" ht="15" customHeight="1" x14ac:dyDescent="0.25">
      <c r="A13" s="41"/>
      <c r="B13" s="12"/>
      <c r="C13" s="48"/>
      <c r="D13" s="48">
        <v>4</v>
      </c>
      <c r="E13" s="49"/>
      <c r="F13" s="50"/>
      <c r="G13" s="50"/>
      <c r="H13" s="50"/>
      <c r="I13" s="50"/>
      <c r="J13" s="50"/>
      <c r="K13" s="50"/>
      <c r="L13" s="50"/>
      <c r="M13" s="50"/>
      <c r="N13" s="50"/>
      <c r="O13" s="50"/>
      <c r="P13" s="50"/>
      <c r="Q13" s="50"/>
      <c r="R13" s="50"/>
      <c r="S13" s="50"/>
      <c r="T13" s="50"/>
      <c r="U13" s="50"/>
      <c r="V13" s="50"/>
      <c r="W13" s="50"/>
      <c r="X13" s="50"/>
      <c r="Y13" s="50"/>
      <c r="Z13" s="43" t="str">
        <f t="shared" si="0"/>
        <v>Очікую</v>
      </c>
      <c r="AA13" s="22"/>
      <c r="AB13" s="40"/>
    </row>
    <row r="14" spans="1:28" s="11" customFormat="1" ht="15" customHeight="1" x14ac:dyDescent="0.25">
      <c r="A14" s="41"/>
      <c r="B14" s="12"/>
      <c r="C14" s="48"/>
      <c r="D14" s="48">
        <v>5</v>
      </c>
      <c r="E14" s="49"/>
      <c r="F14" s="50"/>
      <c r="G14" s="50"/>
      <c r="H14" s="50"/>
      <c r="I14" s="50"/>
      <c r="J14" s="50"/>
      <c r="K14" s="50"/>
      <c r="L14" s="50"/>
      <c r="M14" s="50"/>
      <c r="N14" s="50"/>
      <c r="O14" s="50"/>
      <c r="P14" s="50"/>
      <c r="Q14" s="50"/>
      <c r="R14" s="50"/>
      <c r="S14" s="50"/>
      <c r="T14" s="50"/>
      <c r="U14" s="50"/>
      <c r="V14" s="50"/>
      <c r="W14" s="50"/>
      <c r="X14" s="50"/>
      <c r="Y14" s="50"/>
      <c r="Z14" s="43" t="str">
        <f t="shared" si="0"/>
        <v>Очікую</v>
      </c>
      <c r="AA14" s="22"/>
      <c r="AB14" s="40"/>
    </row>
    <row r="15" spans="1:28" s="11" customFormat="1" ht="15" customHeight="1" x14ac:dyDescent="0.25">
      <c r="A15" s="41"/>
      <c r="B15" s="12"/>
      <c r="C15" s="48"/>
      <c r="D15" s="48">
        <v>6</v>
      </c>
      <c r="E15" s="49"/>
      <c r="F15" s="50"/>
      <c r="G15" s="50"/>
      <c r="H15" s="50"/>
      <c r="I15" s="50"/>
      <c r="J15" s="50"/>
      <c r="K15" s="50"/>
      <c r="L15" s="50"/>
      <c r="M15" s="50"/>
      <c r="N15" s="50"/>
      <c r="O15" s="50"/>
      <c r="P15" s="50"/>
      <c r="Q15" s="50"/>
      <c r="R15" s="50"/>
      <c r="S15" s="50"/>
      <c r="T15" s="50"/>
      <c r="U15" s="50"/>
      <c r="V15" s="50"/>
      <c r="W15" s="50"/>
      <c r="X15" s="50"/>
      <c r="Y15" s="50"/>
      <c r="Z15" s="43" t="str">
        <f t="shared" si="0"/>
        <v>Очікую</v>
      </c>
      <c r="AA15" s="22"/>
      <c r="AB15" s="40"/>
    </row>
    <row r="16" spans="1:28" s="11" customFormat="1" ht="15" customHeight="1" x14ac:dyDescent="0.25">
      <c r="A16" s="41"/>
      <c r="B16" s="12"/>
      <c r="C16" s="48"/>
      <c r="D16" s="48">
        <v>7</v>
      </c>
      <c r="E16" s="49"/>
      <c r="F16" s="50"/>
      <c r="G16" s="50"/>
      <c r="H16" s="50"/>
      <c r="I16" s="50"/>
      <c r="J16" s="50"/>
      <c r="K16" s="50"/>
      <c r="L16" s="50"/>
      <c r="M16" s="50"/>
      <c r="N16" s="50"/>
      <c r="O16" s="50"/>
      <c r="P16" s="50"/>
      <c r="Q16" s="50"/>
      <c r="R16" s="50"/>
      <c r="S16" s="50"/>
      <c r="T16" s="50"/>
      <c r="U16" s="50"/>
      <c r="V16" s="50"/>
      <c r="W16" s="50"/>
      <c r="X16" s="50"/>
      <c r="Y16" s="50"/>
      <c r="Z16" s="43" t="str">
        <f t="shared" si="0"/>
        <v>Очікую</v>
      </c>
      <c r="AA16" s="22"/>
      <c r="AB16" s="40"/>
    </row>
    <row r="17" spans="1:28" s="11" customFormat="1" ht="15" customHeight="1" x14ac:dyDescent="0.25">
      <c r="A17" s="41"/>
      <c r="B17" s="12"/>
      <c r="C17" s="48"/>
      <c r="D17" s="48">
        <v>8</v>
      </c>
      <c r="E17" s="49"/>
      <c r="F17" s="50"/>
      <c r="G17" s="50"/>
      <c r="H17" s="50"/>
      <c r="I17" s="50"/>
      <c r="J17" s="50"/>
      <c r="K17" s="50"/>
      <c r="L17" s="50"/>
      <c r="M17" s="50"/>
      <c r="N17" s="50"/>
      <c r="O17" s="50"/>
      <c r="P17" s="50"/>
      <c r="Q17" s="50"/>
      <c r="R17" s="50"/>
      <c r="S17" s="50"/>
      <c r="T17" s="50"/>
      <c r="U17" s="50"/>
      <c r="V17" s="50"/>
      <c r="W17" s="50"/>
      <c r="X17" s="50"/>
      <c r="Y17" s="50"/>
      <c r="Z17" s="43" t="str">
        <f t="shared" si="0"/>
        <v>Очікую</v>
      </c>
      <c r="AA17" s="22"/>
      <c r="AB17" s="40"/>
    </row>
    <row r="18" spans="1:28" s="11" customFormat="1" ht="15" customHeight="1" x14ac:dyDescent="0.25">
      <c r="A18" s="41"/>
      <c r="B18" s="12"/>
      <c r="C18" s="48"/>
      <c r="D18" s="48">
        <v>9</v>
      </c>
      <c r="E18" s="49"/>
      <c r="F18" s="50"/>
      <c r="G18" s="50"/>
      <c r="H18" s="50"/>
      <c r="I18" s="50"/>
      <c r="J18" s="50"/>
      <c r="K18" s="50"/>
      <c r="L18" s="50"/>
      <c r="M18" s="50"/>
      <c r="N18" s="50"/>
      <c r="O18" s="50"/>
      <c r="P18" s="50"/>
      <c r="Q18" s="50"/>
      <c r="R18" s="50"/>
      <c r="S18" s="50"/>
      <c r="T18" s="50"/>
      <c r="U18" s="50"/>
      <c r="V18" s="50"/>
      <c r="W18" s="50"/>
      <c r="X18" s="50"/>
      <c r="Y18" s="50"/>
      <c r="Z18" s="43" t="str">
        <f t="shared" si="0"/>
        <v>Очікую</v>
      </c>
      <c r="AA18" s="22"/>
      <c r="AB18" s="40"/>
    </row>
    <row r="19" spans="1:28" s="11" customFormat="1" ht="15" customHeight="1" x14ac:dyDescent="0.25">
      <c r="A19" s="41"/>
      <c r="B19" s="12"/>
      <c r="C19" s="48"/>
      <c r="D19" s="48">
        <v>10</v>
      </c>
      <c r="E19" s="49"/>
      <c r="F19" s="50"/>
      <c r="G19" s="50"/>
      <c r="H19" s="50"/>
      <c r="I19" s="50"/>
      <c r="J19" s="50"/>
      <c r="K19" s="50"/>
      <c r="L19" s="50"/>
      <c r="M19" s="50"/>
      <c r="N19" s="50"/>
      <c r="O19" s="50"/>
      <c r="P19" s="50"/>
      <c r="Q19" s="50"/>
      <c r="R19" s="50"/>
      <c r="S19" s="50"/>
      <c r="T19" s="50"/>
      <c r="U19" s="50"/>
      <c r="V19" s="50"/>
      <c r="W19" s="50"/>
      <c r="X19" s="50"/>
      <c r="Y19" s="50"/>
      <c r="Z19" s="43" t="str">
        <f t="shared" si="0"/>
        <v>Очікую</v>
      </c>
      <c r="AA19" s="22"/>
      <c r="AB19" s="40"/>
    </row>
    <row r="20" spans="1:28" s="11" customFormat="1" ht="15" customHeight="1" x14ac:dyDescent="0.25">
      <c r="A20" s="41"/>
      <c r="B20" s="12"/>
      <c r="C20" s="48"/>
      <c r="D20" s="48">
        <v>11</v>
      </c>
      <c r="E20" s="49"/>
      <c r="F20" s="50"/>
      <c r="G20" s="50"/>
      <c r="H20" s="50"/>
      <c r="I20" s="50"/>
      <c r="J20" s="50"/>
      <c r="K20" s="50"/>
      <c r="L20" s="50"/>
      <c r="M20" s="50"/>
      <c r="N20" s="50"/>
      <c r="O20" s="50"/>
      <c r="P20" s="50"/>
      <c r="Q20" s="50"/>
      <c r="R20" s="50"/>
      <c r="S20" s="50"/>
      <c r="T20" s="50"/>
      <c r="U20" s="50"/>
      <c r="V20" s="50"/>
      <c r="W20" s="50"/>
      <c r="X20" s="50"/>
      <c r="Y20" s="50"/>
      <c r="Z20" s="43" t="str">
        <f t="shared" si="0"/>
        <v>Очікую</v>
      </c>
      <c r="AA20" s="22"/>
      <c r="AB20" s="40"/>
    </row>
    <row r="21" spans="1:28" s="11" customFormat="1" ht="15" customHeight="1" x14ac:dyDescent="0.25">
      <c r="A21" s="41"/>
      <c r="B21" s="12"/>
      <c r="C21" s="48"/>
      <c r="D21" s="48">
        <v>12</v>
      </c>
      <c r="E21" s="49"/>
      <c r="F21" s="50"/>
      <c r="G21" s="50"/>
      <c r="H21" s="50"/>
      <c r="I21" s="50"/>
      <c r="J21" s="50"/>
      <c r="K21" s="50"/>
      <c r="L21" s="50"/>
      <c r="M21" s="50"/>
      <c r="N21" s="50"/>
      <c r="O21" s="50"/>
      <c r="P21" s="50"/>
      <c r="Q21" s="50"/>
      <c r="R21" s="50"/>
      <c r="S21" s="50"/>
      <c r="T21" s="50"/>
      <c r="U21" s="50"/>
      <c r="V21" s="50"/>
      <c r="W21" s="50"/>
      <c r="X21" s="50"/>
      <c r="Y21" s="50"/>
      <c r="Z21" s="43" t="str">
        <f t="shared" si="0"/>
        <v>Очікую</v>
      </c>
      <c r="AA21" s="22"/>
      <c r="AB21" s="40"/>
    </row>
    <row r="22" spans="1:28" s="11" customFormat="1" ht="15" customHeight="1" x14ac:dyDescent="0.25">
      <c r="A22" s="41"/>
      <c r="B22" s="12"/>
      <c r="C22" s="48"/>
      <c r="D22" s="48">
        <v>13</v>
      </c>
      <c r="E22" s="49"/>
      <c r="F22" s="50"/>
      <c r="G22" s="50"/>
      <c r="H22" s="50"/>
      <c r="I22" s="50"/>
      <c r="J22" s="50"/>
      <c r="K22" s="50"/>
      <c r="L22" s="50"/>
      <c r="M22" s="50"/>
      <c r="N22" s="50"/>
      <c r="O22" s="50"/>
      <c r="P22" s="50"/>
      <c r="Q22" s="50"/>
      <c r="R22" s="50"/>
      <c r="S22" s="50"/>
      <c r="T22" s="50"/>
      <c r="U22" s="50"/>
      <c r="V22" s="50"/>
      <c r="W22" s="50"/>
      <c r="X22" s="50"/>
      <c r="Y22" s="50"/>
      <c r="Z22" s="43" t="str">
        <f t="shared" si="0"/>
        <v>Очікую</v>
      </c>
      <c r="AA22" s="22"/>
      <c r="AB22" s="40"/>
    </row>
    <row r="23" spans="1:28" s="11" customFormat="1" ht="15" customHeight="1" x14ac:dyDescent="0.25">
      <c r="A23" s="41"/>
      <c r="B23" s="12"/>
      <c r="C23" s="48"/>
      <c r="D23" s="48">
        <v>14</v>
      </c>
      <c r="E23" s="49"/>
      <c r="F23" s="50"/>
      <c r="G23" s="50"/>
      <c r="H23" s="50"/>
      <c r="I23" s="50"/>
      <c r="J23" s="50"/>
      <c r="K23" s="50"/>
      <c r="L23" s="50"/>
      <c r="M23" s="50"/>
      <c r="N23" s="50"/>
      <c r="O23" s="50"/>
      <c r="P23" s="50"/>
      <c r="Q23" s="50"/>
      <c r="R23" s="50"/>
      <c r="S23" s="50"/>
      <c r="T23" s="50"/>
      <c r="U23" s="50"/>
      <c r="V23" s="50"/>
      <c r="W23" s="50"/>
      <c r="X23" s="50"/>
      <c r="Y23" s="50"/>
      <c r="Z23" s="43" t="str">
        <f t="shared" si="0"/>
        <v>Очікую</v>
      </c>
      <c r="AA23" s="22"/>
      <c r="AB23" s="40"/>
    </row>
    <row r="24" spans="1:28" s="11" customFormat="1" ht="15" customHeight="1" x14ac:dyDescent="0.25">
      <c r="A24" s="41"/>
      <c r="B24" s="12"/>
      <c r="C24" s="48"/>
      <c r="D24" s="48">
        <v>15</v>
      </c>
      <c r="E24" s="49"/>
      <c r="F24" s="50"/>
      <c r="G24" s="50"/>
      <c r="H24" s="50"/>
      <c r="I24" s="50"/>
      <c r="J24" s="50"/>
      <c r="K24" s="50"/>
      <c r="L24" s="50"/>
      <c r="M24" s="50"/>
      <c r="N24" s="50"/>
      <c r="O24" s="50"/>
      <c r="P24" s="50"/>
      <c r="Q24" s="50"/>
      <c r="R24" s="50"/>
      <c r="S24" s="50"/>
      <c r="T24" s="50"/>
      <c r="U24" s="50"/>
      <c r="V24" s="50"/>
      <c r="W24" s="50"/>
      <c r="X24" s="50"/>
      <c r="Y24" s="50"/>
      <c r="Z24" s="43" t="str">
        <f t="shared" si="0"/>
        <v>Очікую</v>
      </c>
      <c r="AA24" s="22"/>
      <c r="AB24" s="40"/>
    </row>
    <row r="25" spans="1:28" s="11" customFormat="1" ht="15" customHeight="1" x14ac:dyDescent="0.25">
      <c r="A25" s="41"/>
      <c r="B25" s="12"/>
      <c r="C25" s="48"/>
      <c r="D25" s="48">
        <v>16</v>
      </c>
      <c r="E25" s="49"/>
      <c r="F25" s="50"/>
      <c r="G25" s="50"/>
      <c r="H25" s="50"/>
      <c r="I25" s="50"/>
      <c r="J25" s="50"/>
      <c r="K25" s="50"/>
      <c r="L25" s="50"/>
      <c r="M25" s="50"/>
      <c r="N25" s="50"/>
      <c r="O25" s="50"/>
      <c r="P25" s="50"/>
      <c r="Q25" s="50"/>
      <c r="R25" s="50"/>
      <c r="S25" s="50"/>
      <c r="T25" s="50"/>
      <c r="U25" s="50"/>
      <c r="V25" s="50"/>
      <c r="W25" s="50"/>
      <c r="X25" s="50"/>
      <c r="Y25" s="50"/>
      <c r="Z25" s="43" t="str">
        <f t="shared" si="0"/>
        <v>Очікую</v>
      </c>
      <c r="AA25" s="22"/>
      <c r="AB25" s="40"/>
    </row>
    <row r="26" spans="1:28" s="11" customFormat="1" ht="15" customHeight="1" x14ac:dyDescent="0.25">
      <c r="A26" s="41"/>
      <c r="B26" s="12"/>
      <c r="C26" s="48"/>
      <c r="D26" s="48">
        <v>17</v>
      </c>
      <c r="E26" s="49"/>
      <c r="F26" s="50"/>
      <c r="G26" s="50"/>
      <c r="H26" s="50"/>
      <c r="I26" s="50"/>
      <c r="J26" s="50"/>
      <c r="K26" s="50"/>
      <c r="L26" s="50"/>
      <c r="M26" s="50"/>
      <c r="N26" s="50"/>
      <c r="O26" s="50"/>
      <c r="P26" s="50"/>
      <c r="Q26" s="50"/>
      <c r="R26" s="50"/>
      <c r="S26" s="50"/>
      <c r="T26" s="50"/>
      <c r="U26" s="50"/>
      <c r="V26" s="50"/>
      <c r="W26" s="50"/>
      <c r="X26" s="50"/>
      <c r="Y26" s="50"/>
      <c r="Z26" s="43" t="str">
        <f t="shared" si="0"/>
        <v>Очікую</v>
      </c>
      <c r="AA26" s="22"/>
      <c r="AB26" s="40"/>
    </row>
    <row r="27" spans="1:28" s="11" customFormat="1" ht="15" customHeight="1" x14ac:dyDescent="0.25">
      <c r="A27" s="41"/>
      <c r="B27" s="12"/>
      <c r="C27" s="48"/>
      <c r="D27" s="48">
        <v>18</v>
      </c>
      <c r="E27" s="49"/>
      <c r="F27" s="50"/>
      <c r="G27" s="50"/>
      <c r="H27" s="50"/>
      <c r="I27" s="50"/>
      <c r="J27" s="50"/>
      <c r="K27" s="50"/>
      <c r="L27" s="50"/>
      <c r="M27" s="50"/>
      <c r="N27" s="50"/>
      <c r="O27" s="50"/>
      <c r="P27" s="50"/>
      <c r="Q27" s="50"/>
      <c r="R27" s="50"/>
      <c r="S27" s="50"/>
      <c r="T27" s="50"/>
      <c r="U27" s="50"/>
      <c r="V27" s="50"/>
      <c r="W27" s="50"/>
      <c r="X27" s="50"/>
      <c r="Y27" s="50"/>
      <c r="Z27" s="43" t="str">
        <f t="shared" si="0"/>
        <v>Очікую</v>
      </c>
      <c r="AA27" s="22"/>
      <c r="AB27" s="40"/>
    </row>
    <row r="28" spans="1:28" s="11" customFormat="1" ht="15" customHeight="1" x14ac:dyDescent="0.25">
      <c r="A28" s="41"/>
      <c r="B28" s="12"/>
      <c r="C28" s="48"/>
      <c r="D28" s="48">
        <v>19</v>
      </c>
      <c r="E28" s="49"/>
      <c r="F28" s="50"/>
      <c r="G28" s="50"/>
      <c r="H28" s="50"/>
      <c r="I28" s="50"/>
      <c r="J28" s="50"/>
      <c r="K28" s="50"/>
      <c r="L28" s="50"/>
      <c r="M28" s="50"/>
      <c r="N28" s="50"/>
      <c r="O28" s="50"/>
      <c r="P28" s="50"/>
      <c r="Q28" s="50"/>
      <c r="R28" s="50"/>
      <c r="S28" s="50"/>
      <c r="T28" s="50"/>
      <c r="U28" s="50"/>
      <c r="V28" s="50"/>
      <c r="W28" s="50"/>
      <c r="X28" s="50"/>
      <c r="Y28" s="50"/>
      <c r="Z28" s="43" t="str">
        <f t="shared" si="0"/>
        <v>Очікую</v>
      </c>
      <c r="AA28" s="22"/>
      <c r="AB28" s="40"/>
    </row>
    <row r="29" spans="1:28" s="11" customFormat="1" ht="15" customHeight="1" x14ac:dyDescent="0.25">
      <c r="A29" s="41"/>
      <c r="B29" s="12"/>
      <c r="C29" s="48"/>
      <c r="D29" s="48">
        <v>20</v>
      </c>
      <c r="E29" s="49"/>
      <c r="F29" s="50"/>
      <c r="G29" s="50"/>
      <c r="H29" s="50"/>
      <c r="I29" s="50"/>
      <c r="J29" s="50"/>
      <c r="K29" s="50"/>
      <c r="L29" s="50"/>
      <c r="M29" s="50"/>
      <c r="N29" s="50"/>
      <c r="O29" s="50"/>
      <c r="P29" s="50"/>
      <c r="Q29" s="50"/>
      <c r="R29" s="50"/>
      <c r="S29" s="50"/>
      <c r="T29" s="50"/>
      <c r="U29" s="50"/>
      <c r="V29" s="50"/>
      <c r="W29" s="50"/>
      <c r="X29" s="50"/>
      <c r="Y29" s="50"/>
      <c r="Z29" s="43" t="str">
        <f t="shared" si="0"/>
        <v>Очікую</v>
      </c>
      <c r="AA29" s="22"/>
      <c r="AB29" s="40"/>
    </row>
    <row r="30" spans="1:28" s="11" customFormat="1" ht="15" customHeight="1" x14ac:dyDescent="0.25">
      <c r="A30" s="41"/>
      <c r="B30" s="12"/>
      <c r="C30" s="48"/>
      <c r="D30" s="48">
        <v>21</v>
      </c>
      <c r="E30" s="49"/>
      <c r="F30" s="50"/>
      <c r="G30" s="50"/>
      <c r="H30" s="50"/>
      <c r="I30" s="50"/>
      <c r="J30" s="50"/>
      <c r="K30" s="50"/>
      <c r="L30" s="50"/>
      <c r="M30" s="50"/>
      <c r="N30" s="50"/>
      <c r="O30" s="50"/>
      <c r="P30" s="50"/>
      <c r="Q30" s="50"/>
      <c r="R30" s="50"/>
      <c r="S30" s="50"/>
      <c r="T30" s="50"/>
      <c r="U30" s="50"/>
      <c r="V30" s="50"/>
      <c r="W30" s="50"/>
      <c r="X30" s="50"/>
      <c r="Y30" s="50"/>
      <c r="Z30" s="43" t="str">
        <f t="shared" si="0"/>
        <v>Очікую</v>
      </c>
      <c r="AA30" s="22"/>
      <c r="AB30" s="40"/>
    </row>
    <row r="31" spans="1:28" s="11" customFormat="1" ht="15" customHeight="1" x14ac:dyDescent="0.25">
      <c r="A31" s="41"/>
      <c r="B31" s="12"/>
      <c r="C31" s="48"/>
      <c r="D31" s="48">
        <v>22</v>
      </c>
      <c r="E31" s="49"/>
      <c r="F31" s="50"/>
      <c r="G31" s="50"/>
      <c r="H31" s="50"/>
      <c r="I31" s="50"/>
      <c r="J31" s="50"/>
      <c r="K31" s="50"/>
      <c r="L31" s="50"/>
      <c r="M31" s="50"/>
      <c r="N31" s="50"/>
      <c r="O31" s="50"/>
      <c r="P31" s="50"/>
      <c r="Q31" s="50"/>
      <c r="R31" s="50"/>
      <c r="S31" s="50"/>
      <c r="T31" s="50"/>
      <c r="U31" s="50"/>
      <c r="V31" s="50"/>
      <c r="W31" s="50"/>
      <c r="X31" s="50"/>
      <c r="Y31" s="50"/>
      <c r="Z31" s="43" t="str">
        <f t="shared" si="0"/>
        <v>Очікую</v>
      </c>
      <c r="AA31" s="22"/>
      <c r="AB31" s="40"/>
    </row>
    <row r="32" spans="1:28" s="11" customFormat="1" ht="15" customHeight="1" x14ac:dyDescent="0.25">
      <c r="A32" s="41"/>
      <c r="B32" s="12"/>
      <c r="C32" s="48"/>
      <c r="D32" s="48">
        <v>23</v>
      </c>
      <c r="E32" s="49"/>
      <c r="F32" s="50"/>
      <c r="G32" s="50"/>
      <c r="H32" s="50"/>
      <c r="I32" s="50"/>
      <c r="J32" s="50"/>
      <c r="K32" s="50"/>
      <c r="L32" s="50"/>
      <c r="M32" s="50"/>
      <c r="N32" s="50"/>
      <c r="O32" s="50"/>
      <c r="P32" s="50"/>
      <c r="Q32" s="50"/>
      <c r="R32" s="50"/>
      <c r="S32" s="50"/>
      <c r="T32" s="50"/>
      <c r="U32" s="50"/>
      <c r="V32" s="50"/>
      <c r="W32" s="50"/>
      <c r="X32" s="50"/>
      <c r="Y32" s="50"/>
      <c r="Z32" s="43" t="str">
        <f t="shared" si="0"/>
        <v>Очікую</v>
      </c>
      <c r="AA32" s="22"/>
      <c r="AB32" s="40"/>
    </row>
    <row r="33" spans="1:28" s="11" customFormat="1" ht="15" customHeight="1" x14ac:dyDescent="0.25">
      <c r="A33" s="41"/>
      <c r="B33" s="12"/>
      <c r="C33" s="48"/>
      <c r="D33" s="48">
        <v>24</v>
      </c>
      <c r="E33" s="49"/>
      <c r="F33" s="50"/>
      <c r="G33" s="50"/>
      <c r="H33" s="50"/>
      <c r="I33" s="50"/>
      <c r="J33" s="50"/>
      <c r="K33" s="50"/>
      <c r="L33" s="50"/>
      <c r="M33" s="50"/>
      <c r="N33" s="50"/>
      <c r="O33" s="50"/>
      <c r="P33" s="50"/>
      <c r="Q33" s="50"/>
      <c r="R33" s="50"/>
      <c r="S33" s="50"/>
      <c r="T33" s="50"/>
      <c r="U33" s="50"/>
      <c r="V33" s="50"/>
      <c r="W33" s="50"/>
      <c r="X33" s="50"/>
      <c r="Y33" s="50"/>
      <c r="Z33" s="43" t="str">
        <f t="shared" si="0"/>
        <v>Очікую</v>
      </c>
      <c r="AA33" s="22"/>
      <c r="AB33" s="40"/>
    </row>
    <row r="34" spans="1:28" s="11" customFormat="1" ht="15" customHeight="1" x14ac:dyDescent="0.25">
      <c r="A34" s="41"/>
      <c r="B34" s="12"/>
      <c r="C34" s="48"/>
      <c r="D34" s="48">
        <v>25</v>
      </c>
      <c r="E34" s="49"/>
      <c r="F34" s="50"/>
      <c r="G34" s="50"/>
      <c r="H34" s="50"/>
      <c r="I34" s="50"/>
      <c r="J34" s="50"/>
      <c r="K34" s="50"/>
      <c r="L34" s="50"/>
      <c r="M34" s="50"/>
      <c r="N34" s="50"/>
      <c r="O34" s="50"/>
      <c r="P34" s="50"/>
      <c r="Q34" s="50"/>
      <c r="R34" s="50"/>
      <c r="S34" s="50"/>
      <c r="T34" s="50"/>
      <c r="U34" s="50"/>
      <c r="V34" s="50"/>
      <c r="W34" s="50"/>
      <c r="X34" s="50"/>
      <c r="Y34" s="50"/>
      <c r="Z34" s="43" t="str">
        <f t="shared" si="0"/>
        <v>Очікую</v>
      </c>
      <c r="AA34" s="22"/>
      <c r="AB34" s="40"/>
    </row>
    <row r="35" spans="1:28" s="11" customFormat="1" ht="15" customHeight="1" x14ac:dyDescent="0.25">
      <c r="A35" s="41"/>
      <c r="B35" s="12"/>
      <c r="C35" s="48"/>
      <c r="D35" s="48">
        <v>26</v>
      </c>
      <c r="E35" s="49"/>
      <c r="F35" s="50"/>
      <c r="G35" s="50"/>
      <c r="H35" s="50"/>
      <c r="I35" s="50"/>
      <c r="J35" s="50"/>
      <c r="K35" s="50"/>
      <c r="L35" s="50"/>
      <c r="M35" s="50"/>
      <c r="N35" s="50"/>
      <c r="O35" s="50"/>
      <c r="P35" s="50"/>
      <c r="Q35" s="50"/>
      <c r="R35" s="50"/>
      <c r="S35" s="50"/>
      <c r="T35" s="50"/>
      <c r="U35" s="50"/>
      <c r="V35" s="50"/>
      <c r="W35" s="50"/>
      <c r="X35" s="50"/>
      <c r="Y35" s="50"/>
      <c r="Z35" s="43" t="str">
        <f t="shared" si="0"/>
        <v>Очікую</v>
      </c>
      <c r="AA35" s="22"/>
      <c r="AB35" s="40"/>
    </row>
    <row r="36" spans="1:28" s="11" customFormat="1" ht="15" customHeight="1" x14ac:dyDescent="0.25">
      <c r="A36" s="41"/>
      <c r="B36" s="12"/>
      <c r="C36" s="48"/>
      <c r="D36" s="48">
        <v>27</v>
      </c>
      <c r="E36" s="49"/>
      <c r="F36" s="50"/>
      <c r="G36" s="50"/>
      <c r="H36" s="50"/>
      <c r="I36" s="50"/>
      <c r="J36" s="50"/>
      <c r="K36" s="50"/>
      <c r="L36" s="50"/>
      <c r="M36" s="50"/>
      <c r="N36" s="50"/>
      <c r="O36" s="50"/>
      <c r="P36" s="50"/>
      <c r="Q36" s="50"/>
      <c r="R36" s="50"/>
      <c r="S36" s="50"/>
      <c r="T36" s="50"/>
      <c r="U36" s="50"/>
      <c r="V36" s="50"/>
      <c r="W36" s="50"/>
      <c r="X36" s="50"/>
      <c r="Y36" s="50"/>
      <c r="Z36" s="43" t="str">
        <f t="shared" si="0"/>
        <v>Очікую</v>
      </c>
      <c r="AA36" s="22"/>
      <c r="AB36" s="40"/>
    </row>
    <row r="37" spans="1:28" s="11" customFormat="1" ht="15" customHeight="1" x14ac:dyDescent="0.25">
      <c r="A37" s="41"/>
      <c r="B37" s="12"/>
      <c r="C37" s="48"/>
      <c r="D37" s="48">
        <v>28</v>
      </c>
      <c r="E37" s="49"/>
      <c r="F37" s="50"/>
      <c r="G37" s="50"/>
      <c r="H37" s="50"/>
      <c r="I37" s="50"/>
      <c r="J37" s="50"/>
      <c r="K37" s="50"/>
      <c r="L37" s="50"/>
      <c r="M37" s="50"/>
      <c r="N37" s="50"/>
      <c r="O37" s="50"/>
      <c r="P37" s="50"/>
      <c r="Q37" s="50"/>
      <c r="R37" s="50"/>
      <c r="S37" s="50"/>
      <c r="T37" s="50"/>
      <c r="U37" s="50"/>
      <c r="V37" s="50"/>
      <c r="W37" s="50"/>
      <c r="X37" s="50"/>
      <c r="Y37" s="50"/>
      <c r="Z37" s="43" t="str">
        <f t="shared" si="0"/>
        <v>Очікую</v>
      </c>
      <c r="AA37" s="22"/>
      <c r="AB37" s="40"/>
    </row>
    <row r="38" spans="1:28" s="11" customFormat="1" ht="15" customHeight="1" x14ac:dyDescent="0.25">
      <c r="A38" s="41"/>
      <c r="B38" s="12"/>
      <c r="C38" s="48"/>
      <c r="D38" s="48">
        <v>29</v>
      </c>
      <c r="E38" s="49"/>
      <c r="F38" s="50"/>
      <c r="G38" s="50"/>
      <c r="H38" s="50"/>
      <c r="I38" s="50"/>
      <c r="J38" s="50"/>
      <c r="K38" s="50"/>
      <c r="L38" s="50"/>
      <c r="M38" s="50"/>
      <c r="N38" s="50"/>
      <c r="O38" s="50"/>
      <c r="P38" s="50"/>
      <c r="Q38" s="50"/>
      <c r="R38" s="50"/>
      <c r="S38" s="50"/>
      <c r="T38" s="50"/>
      <c r="U38" s="50"/>
      <c r="V38" s="50"/>
      <c r="W38" s="50"/>
      <c r="X38" s="50"/>
      <c r="Y38" s="50"/>
      <c r="Z38" s="43" t="str">
        <f t="shared" si="0"/>
        <v>Очікую</v>
      </c>
      <c r="AA38" s="22"/>
      <c r="AB38" s="40"/>
    </row>
    <row r="39" spans="1:28" s="11" customFormat="1" ht="15" customHeight="1" x14ac:dyDescent="0.25">
      <c r="A39" s="41"/>
      <c r="B39" s="12"/>
      <c r="C39" s="48"/>
      <c r="D39" s="48">
        <v>30</v>
      </c>
      <c r="E39" s="49"/>
      <c r="F39" s="50"/>
      <c r="G39" s="50"/>
      <c r="H39" s="50"/>
      <c r="I39" s="50"/>
      <c r="J39" s="50"/>
      <c r="K39" s="50"/>
      <c r="L39" s="50"/>
      <c r="M39" s="50"/>
      <c r="N39" s="50"/>
      <c r="O39" s="50"/>
      <c r="P39" s="50"/>
      <c r="Q39" s="50"/>
      <c r="R39" s="50"/>
      <c r="S39" s="50"/>
      <c r="T39" s="50"/>
      <c r="U39" s="50"/>
      <c r="V39" s="50"/>
      <c r="W39" s="50"/>
      <c r="X39" s="50"/>
      <c r="Y39" s="50"/>
      <c r="Z39" s="43" t="str">
        <f t="shared" si="0"/>
        <v>Очікую</v>
      </c>
      <c r="AA39" s="22"/>
      <c r="AB39" s="40"/>
    </row>
    <row r="40" spans="1:28" s="11" customFormat="1" ht="15" customHeight="1" x14ac:dyDescent="0.25">
      <c r="A40" s="41"/>
      <c r="B40" s="12"/>
      <c r="C40" s="48"/>
      <c r="D40" s="48">
        <v>31</v>
      </c>
      <c r="E40" s="49"/>
      <c r="F40" s="50"/>
      <c r="G40" s="50"/>
      <c r="H40" s="50"/>
      <c r="I40" s="50"/>
      <c r="J40" s="50"/>
      <c r="K40" s="50"/>
      <c r="L40" s="50"/>
      <c r="M40" s="50"/>
      <c r="N40" s="50"/>
      <c r="O40" s="50"/>
      <c r="P40" s="50"/>
      <c r="Q40" s="50"/>
      <c r="R40" s="50"/>
      <c r="S40" s="50"/>
      <c r="T40" s="50"/>
      <c r="U40" s="50"/>
      <c r="V40" s="50"/>
      <c r="W40" s="50"/>
      <c r="X40" s="50"/>
      <c r="Y40" s="50"/>
      <c r="Z40" s="43" t="str">
        <f t="shared" si="0"/>
        <v>Очікую</v>
      </c>
      <c r="AA40" s="22"/>
      <c r="AB40" s="40"/>
    </row>
    <row r="41" spans="1:28" s="11" customFormat="1" ht="15" customHeight="1" x14ac:dyDescent="0.25">
      <c r="A41" s="41"/>
      <c r="B41" s="12"/>
      <c r="C41" s="48"/>
      <c r="D41" s="48">
        <v>32</v>
      </c>
      <c r="E41" s="49"/>
      <c r="F41" s="50"/>
      <c r="G41" s="50"/>
      <c r="H41" s="50"/>
      <c r="I41" s="50"/>
      <c r="J41" s="50"/>
      <c r="K41" s="50"/>
      <c r="L41" s="50"/>
      <c r="M41" s="50"/>
      <c r="N41" s="50"/>
      <c r="O41" s="50"/>
      <c r="P41" s="50"/>
      <c r="Q41" s="50"/>
      <c r="R41" s="50"/>
      <c r="S41" s="50"/>
      <c r="T41" s="50"/>
      <c r="U41" s="50"/>
      <c r="V41" s="50"/>
      <c r="W41" s="50"/>
      <c r="X41" s="50"/>
      <c r="Y41" s="50"/>
      <c r="Z41" s="43" t="str">
        <f t="shared" si="0"/>
        <v>Очікую</v>
      </c>
      <c r="AA41" s="22"/>
      <c r="AB41" s="40"/>
    </row>
    <row r="42" spans="1:28" s="11" customFormat="1" ht="15" customHeight="1" x14ac:dyDescent="0.25">
      <c r="A42" s="41"/>
      <c r="B42" s="12"/>
      <c r="C42" s="48"/>
      <c r="D42" s="48">
        <v>33</v>
      </c>
      <c r="E42" s="49"/>
      <c r="F42" s="50"/>
      <c r="G42" s="50"/>
      <c r="H42" s="50"/>
      <c r="I42" s="50"/>
      <c r="J42" s="50"/>
      <c r="K42" s="50"/>
      <c r="L42" s="50"/>
      <c r="M42" s="50"/>
      <c r="N42" s="50"/>
      <c r="O42" s="50"/>
      <c r="P42" s="50"/>
      <c r="Q42" s="50"/>
      <c r="R42" s="50"/>
      <c r="S42" s="50"/>
      <c r="T42" s="50"/>
      <c r="U42" s="50"/>
      <c r="V42" s="50"/>
      <c r="W42" s="50"/>
      <c r="X42" s="50"/>
      <c r="Y42" s="50"/>
      <c r="Z42" s="43" t="str">
        <f t="shared" si="0"/>
        <v>Очікую</v>
      </c>
      <c r="AA42" s="22"/>
      <c r="AB42" s="40"/>
    </row>
    <row r="43" spans="1:28" s="11" customFormat="1" ht="15" customHeight="1" x14ac:dyDescent="0.25">
      <c r="A43" s="41"/>
      <c r="B43" s="12"/>
      <c r="C43" s="48"/>
      <c r="D43" s="48">
        <v>34</v>
      </c>
      <c r="E43" s="49"/>
      <c r="F43" s="50"/>
      <c r="G43" s="50"/>
      <c r="H43" s="50"/>
      <c r="I43" s="50"/>
      <c r="J43" s="50"/>
      <c r="K43" s="50"/>
      <c r="L43" s="50"/>
      <c r="M43" s="50"/>
      <c r="N43" s="50"/>
      <c r="O43" s="50"/>
      <c r="P43" s="50"/>
      <c r="Q43" s="50"/>
      <c r="R43" s="50"/>
      <c r="S43" s="50"/>
      <c r="T43" s="50"/>
      <c r="U43" s="50"/>
      <c r="V43" s="50"/>
      <c r="W43" s="50"/>
      <c r="X43" s="50"/>
      <c r="Y43" s="50"/>
      <c r="Z43" s="43" t="str">
        <f t="shared" si="0"/>
        <v>Очікую</v>
      </c>
      <c r="AA43" s="22"/>
      <c r="AB43" s="40"/>
    </row>
    <row r="44" spans="1:28" s="11" customFormat="1" ht="15" customHeight="1" x14ac:dyDescent="0.25">
      <c r="A44" s="41"/>
      <c r="B44" s="12"/>
      <c r="C44" s="48"/>
      <c r="D44" s="48">
        <v>35</v>
      </c>
      <c r="E44" s="49"/>
      <c r="F44" s="50"/>
      <c r="G44" s="50"/>
      <c r="H44" s="50"/>
      <c r="I44" s="50"/>
      <c r="J44" s="50"/>
      <c r="K44" s="50"/>
      <c r="L44" s="50"/>
      <c r="M44" s="50"/>
      <c r="N44" s="50"/>
      <c r="O44" s="50"/>
      <c r="P44" s="50"/>
      <c r="Q44" s="50"/>
      <c r="R44" s="50"/>
      <c r="S44" s="50"/>
      <c r="T44" s="50"/>
      <c r="U44" s="50"/>
      <c r="V44" s="50"/>
      <c r="W44" s="50"/>
      <c r="X44" s="50"/>
      <c r="Y44" s="50"/>
      <c r="Z44" s="43" t="str">
        <f t="shared" si="0"/>
        <v>Очікую</v>
      </c>
      <c r="AA44" s="22"/>
      <c r="AB44" s="40"/>
    </row>
    <row r="45" spans="1:28" s="11" customFormat="1" ht="15" customHeight="1" x14ac:dyDescent="0.25">
      <c r="A45" s="41"/>
      <c r="B45" s="12"/>
      <c r="C45" s="48"/>
      <c r="D45" s="48">
        <v>36</v>
      </c>
      <c r="E45" s="49"/>
      <c r="F45" s="50"/>
      <c r="G45" s="50"/>
      <c r="H45" s="50"/>
      <c r="I45" s="50"/>
      <c r="J45" s="50"/>
      <c r="K45" s="50"/>
      <c r="L45" s="50"/>
      <c r="M45" s="50"/>
      <c r="N45" s="50"/>
      <c r="O45" s="50"/>
      <c r="P45" s="50"/>
      <c r="Q45" s="50"/>
      <c r="R45" s="50"/>
      <c r="S45" s="50"/>
      <c r="T45" s="50"/>
      <c r="U45" s="50"/>
      <c r="V45" s="50"/>
      <c r="W45" s="50"/>
      <c r="X45" s="50"/>
      <c r="Y45" s="50"/>
      <c r="Z45" s="43" t="str">
        <f t="shared" si="0"/>
        <v>Очікую</v>
      </c>
      <c r="AA45" s="22"/>
      <c r="AB45" s="40"/>
    </row>
    <row r="46" spans="1:28" s="11" customFormat="1" ht="15" customHeight="1" x14ac:dyDescent="0.25">
      <c r="A46" s="41"/>
      <c r="B46" s="12"/>
      <c r="C46" s="48"/>
      <c r="D46" s="48">
        <v>37</v>
      </c>
      <c r="E46" s="49"/>
      <c r="F46" s="50"/>
      <c r="G46" s="50"/>
      <c r="H46" s="50"/>
      <c r="I46" s="50"/>
      <c r="J46" s="50"/>
      <c r="K46" s="50"/>
      <c r="L46" s="50"/>
      <c r="M46" s="50"/>
      <c r="N46" s="50"/>
      <c r="O46" s="50"/>
      <c r="P46" s="50"/>
      <c r="Q46" s="50"/>
      <c r="R46" s="50"/>
      <c r="S46" s="50"/>
      <c r="T46" s="50"/>
      <c r="U46" s="50"/>
      <c r="V46" s="50"/>
      <c r="W46" s="50"/>
      <c r="X46" s="50"/>
      <c r="Y46" s="50"/>
      <c r="Z46" s="43" t="str">
        <f t="shared" si="0"/>
        <v>Очікую</v>
      </c>
      <c r="AA46" s="22"/>
      <c r="AB46" s="40"/>
    </row>
    <row r="47" spans="1:28" s="11" customFormat="1" ht="15" customHeight="1" x14ac:dyDescent="0.25">
      <c r="A47" s="41"/>
      <c r="B47" s="12"/>
      <c r="C47" s="48"/>
      <c r="D47" s="48">
        <v>38</v>
      </c>
      <c r="E47" s="49"/>
      <c r="F47" s="50"/>
      <c r="G47" s="50"/>
      <c r="H47" s="50"/>
      <c r="I47" s="50"/>
      <c r="J47" s="50"/>
      <c r="K47" s="50"/>
      <c r="L47" s="50"/>
      <c r="M47" s="50"/>
      <c r="N47" s="50"/>
      <c r="O47" s="50"/>
      <c r="P47" s="50"/>
      <c r="Q47" s="50"/>
      <c r="R47" s="50"/>
      <c r="S47" s="50"/>
      <c r="T47" s="50"/>
      <c r="U47" s="50"/>
      <c r="V47" s="50"/>
      <c r="W47" s="50"/>
      <c r="X47" s="50"/>
      <c r="Y47" s="50"/>
      <c r="Z47" s="43" t="str">
        <f t="shared" si="0"/>
        <v>Очікую</v>
      </c>
      <c r="AA47" s="22"/>
      <c r="AB47" s="40"/>
    </row>
    <row r="48" spans="1:28" s="11" customFormat="1" ht="15" customHeight="1" x14ac:dyDescent="0.25">
      <c r="A48" s="41"/>
      <c r="B48" s="12"/>
      <c r="C48" s="48"/>
      <c r="D48" s="48">
        <v>39</v>
      </c>
      <c r="E48" s="49"/>
      <c r="F48" s="50"/>
      <c r="G48" s="50"/>
      <c r="H48" s="50"/>
      <c r="I48" s="50"/>
      <c r="J48" s="50"/>
      <c r="K48" s="50"/>
      <c r="L48" s="50"/>
      <c r="M48" s="50"/>
      <c r="N48" s="50"/>
      <c r="O48" s="50"/>
      <c r="P48" s="50"/>
      <c r="Q48" s="50"/>
      <c r="R48" s="50"/>
      <c r="S48" s="50"/>
      <c r="T48" s="50"/>
      <c r="U48" s="50"/>
      <c r="V48" s="50"/>
      <c r="W48" s="50"/>
      <c r="X48" s="50"/>
      <c r="Y48" s="50"/>
      <c r="Z48" s="43" t="str">
        <f t="shared" si="0"/>
        <v>Очікую</v>
      </c>
      <c r="AA48" s="22"/>
      <c r="AB48" s="40"/>
    </row>
    <row r="49" spans="1:28" s="11" customFormat="1" ht="15" customHeight="1" x14ac:dyDescent="0.25">
      <c r="A49" s="41"/>
      <c r="B49" s="12"/>
      <c r="C49" s="48"/>
      <c r="D49" s="48">
        <v>40</v>
      </c>
      <c r="E49" s="49"/>
      <c r="F49" s="50"/>
      <c r="G49" s="50"/>
      <c r="H49" s="50"/>
      <c r="I49" s="50"/>
      <c r="J49" s="50"/>
      <c r="K49" s="50"/>
      <c r="L49" s="50"/>
      <c r="M49" s="50"/>
      <c r="N49" s="50"/>
      <c r="O49" s="50"/>
      <c r="P49" s="50"/>
      <c r="Q49" s="50"/>
      <c r="R49" s="50"/>
      <c r="S49" s="50"/>
      <c r="T49" s="50"/>
      <c r="U49" s="50"/>
      <c r="V49" s="50"/>
      <c r="W49" s="50"/>
      <c r="X49" s="50"/>
      <c r="Y49" s="50"/>
      <c r="Z49" s="43" t="str">
        <f t="shared" si="0"/>
        <v>Очікую</v>
      </c>
      <c r="AA49" s="22"/>
      <c r="AB49" s="40"/>
    </row>
    <row r="50" spans="1:28" s="11" customFormat="1" ht="15" customHeight="1" x14ac:dyDescent="0.25">
      <c r="A50" s="41"/>
      <c r="B50" s="12"/>
      <c r="C50" s="48"/>
      <c r="D50" s="48">
        <v>41</v>
      </c>
      <c r="E50" s="49"/>
      <c r="F50" s="50"/>
      <c r="G50" s="50"/>
      <c r="H50" s="50"/>
      <c r="I50" s="50"/>
      <c r="J50" s="50"/>
      <c r="K50" s="50"/>
      <c r="L50" s="50"/>
      <c r="M50" s="50"/>
      <c r="N50" s="50"/>
      <c r="O50" s="50"/>
      <c r="P50" s="50"/>
      <c r="Q50" s="50"/>
      <c r="R50" s="50"/>
      <c r="S50" s="50"/>
      <c r="T50" s="50"/>
      <c r="U50" s="50"/>
      <c r="V50" s="50"/>
      <c r="W50" s="50"/>
      <c r="X50" s="50"/>
      <c r="Y50" s="50"/>
      <c r="Z50" s="43" t="str">
        <f t="shared" si="0"/>
        <v>Очікую</v>
      </c>
      <c r="AA50" s="22"/>
      <c r="AB50" s="40"/>
    </row>
    <row r="51" spans="1:28" s="11" customFormat="1" ht="15" customHeight="1" x14ac:dyDescent="0.25">
      <c r="A51" s="41"/>
      <c r="B51" s="12"/>
      <c r="C51" s="48"/>
      <c r="D51" s="48">
        <v>42</v>
      </c>
      <c r="E51" s="49"/>
      <c r="F51" s="50"/>
      <c r="G51" s="50"/>
      <c r="H51" s="50"/>
      <c r="I51" s="50"/>
      <c r="J51" s="50"/>
      <c r="K51" s="50"/>
      <c r="L51" s="50"/>
      <c r="M51" s="50"/>
      <c r="N51" s="50"/>
      <c r="O51" s="50"/>
      <c r="P51" s="50"/>
      <c r="Q51" s="50"/>
      <c r="R51" s="50"/>
      <c r="S51" s="50"/>
      <c r="T51" s="50"/>
      <c r="U51" s="50"/>
      <c r="V51" s="50"/>
      <c r="W51" s="50"/>
      <c r="X51" s="50"/>
      <c r="Y51" s="50"/>
      <c r="Z51" s="43" t="str">
        <f t="shared" si="0"/>
        <v>Очікую</v>
      </c>
      <c r="AA51" s="22"/>
      <c r="AB51" s="40"/>
    </row>
    <row r="52" spans="1:28" s="11" customFormat="1" ht="15" customHeight="1" x14ac:dyDescent="0.25">
      <c r="A52" s="41"/>
      <c r="B52" s="12"/>
      <c r="C52" s="48"/>
      <c r="D52" s="48">
        <v>43</v>
      </c>
      <c r="E52" s="49"/>
      <c r="F52" s="50"/>
      <c r="G52" s="50"/>
      <c r="H52" s="50"/>
      <c r="I52" s="50"/>
      <c r="J52" s="50"/>
      <c r="K52" s="50"/>
      <c r="L52" s="50"/>
      <c r="M52" s="50"/>
      <c r="N52" s="50"/>
      <c r="O52" s="50"/>
      <c r="P52" s="50"/>
      <c r="Q52" s="50"/>
      <c r="R52" s="50"/>
      <c r="S52" s="50"/>
      <c r="T52" s="50"/>
      <c r="U52" s="50"/>
      <c r="V52" s="50"/>
      <c r="W52" s="50"/>
      <c r="X52" s="50"/>
      <c r="Y52" s="50"/>
      <c r="Z52" s="43" t="str">
        <f t="shared" si="0"/>
        <v>Очікую</v>
      </c>
      <c r="AA52" s="22"/>
      <c r="AB52" s="40"/>
    </row>
    <row r="53" spans="1:28" s="11" customFormat="1" ht="15" customHeight="1" x14ac:dyDescent="0.25">
      <c r="A53" s="41"/>
      <c r="B53" s="12"/>
      <c r="C53" s="48"/>
      <c r="D53" s="48">
        <v>44</v>
      </c>
      <c r="E53" s="49"/>
      <c r="F53" s="50"/>
      <c r="G53" s="50"/>
      <c r="H53" s="50"/>
      <c r="I53" s="50"/>
      <c r="J53" s="50"/>
      <c r="K53" s="50"/>
      <c r="L53" s="50"/>
      <c r="M53" s="50"/>
      <c r="N53" s="50"/>
      <c r="O53" s="50"/>
      <c r="P53" s="50"/>
      <c r="Q53" s="50"/>
      <c r="R53" s="50"/>
      <c r="S53" s="50"/>
      <c r="T53" s="50"/>
      <c r="U53" s="50"/>
      <c r="V53" s="50"/>
      <c r="W53" s="50"/>
      <c r="X53" s="50"/>
      <c r="Y53" s="50"/>
      <c r="Z53" s="43" t="str">
        <f t="shared" si="0"/>
        <v>Очікую</v>
      </c>
      <c r="AA53" s="22"/>
      <c r="AB53" s="40"/>
    </row>
    <row r="54" spans="1:28" s="11" customFormat="1" ht="15" customHeight="1" x14ac:dyDescent="0.25">
      <c r="A54" s="41"/>
      <c r="B54" s="12"/>
      <c r="C54" s="48"/>
      <c r="D54" s="48">
        <v>45</v>
      </c>
      <c r="E54" s="49"/>
      <c r="F54" s="50"/>
      <c r="G54" s="50"/>
      <c r="H54" s="50"/>
      <c r="I54" s="50"/>
      <c r="J54" s="50"/>
      <c r="K54" s="50"/>
      <c r="L54" s="50"/>
      <c r="M54" s="50"/>
      <c r="N54" s="50"/>
      <c r="O54" s="50"/>
      <c r="P54" s="50"/>
      <c r="Q54" s="50"/>
      <c r="R54" s="50"/>
      <c r="S54" s="50"/>
      <c r="T54" s="50"/>
      <c r="U54" s="50"/>
      <c r="V54" s="50"/>
      <c r="W54" s="50"/>
      <c r="X54" s="50"/>
      <c r="Y54" s="50"/>
      <c r="Z54" s="43" t="str">
        <f t="shared" si="0"/>
        <v>Очікую</v>
      </c>
      <c r="AA54" s="22"/>
      <c r="AB54" s="40"/>
    </row>
    <row r="55" spans="1:28" s="11" customFormat="1" ht="15" customHeight="1" x14ac:dyDescent="0.25">
      <c r="A55" s="41"/>
      <c r="B55" s="12"/>
      <c r="C55" s="48"/>
      <c r="D55" s="48">
        <v>46</v>
      </c>
      <c r="E55" s="49"/>
      <c r="F55" s="50"/>
      <c r="G55" s="50"/>
      <c r="H55" s="50"/>
      <c r="I55" s="50"/>
      <c r="J55" s="50"/>
      <c r="K55" s="50"/>
      <c r="L55" s="50"/>
      <c r="M55" s="50"/>
      <c r="N55" s="50"/>
      <c r="O55" s="50"/>
      <c r="P55" s="50"/>
      <c r="Q55" s="50"/>
      <c r="R55" s="50"/>
      <c r="S55" s="50"/>
      <c r="T55" s="50"/>
      <c r="U55" s="50"/>
      <c r="V55" s="50"/>
      <c r="W55" s="50"/>
      <c r="X55" s="50"/>
      <c r="Y55" s="50"/>
      <c r="Z55" s="43" t="str">
        <f t="shared" si="0"/>
        <v>Очікую</v>
      </c>
      <c r="AA55" s="22"/>
      <c r="AB55" s="40"/>
    </row>
    <row r="56" spans="1:28" s="11" customFormat="1" ht="15" customHeight="1" x14ac:dyDescent="0.25">
      <c r="A56" s="41"/>
      <c r="B56" s="12"/>
      <c r="C56" s="48"/>
      <c r="D56" s="48">
        <v>47</v>
      </c>
      <c r="E56" s="49"/>
      <c r="F56" s="50"/>
      <c r="G56" s="50"/>
      <c r="H56" s="50"/>
      <c r="I56" s="50"/>
      <c r="J56" s="50"/>
      <c r="K56" s="50"/>
      <c r="L56" s="50"/>
      <c r="M56" s="50"/>
      <c r="N56" s="50"/>
      <c r="O56" s="50"/>
      <c r="P56" s="50"/>
      <c r="Q56" s="50"/>
      <c r="R56" s="50"/>
      <c r="S56" s="50"/>
      <c r="T56" s="50"/>
      <c r="U56" s="50"/>
      <c r="V56" s="50"/>
      <c r="W56" s="50"/>
      <c r="X56" s="50"/>
      <c r="Y56" s="50"/>
      <c r="Z56" s="43" t="str">
        <f t="shared" si="0"/>
        <v>Очікую</v>
      </c>
      <c r="AA56" s="22"/>
      <c r="AB56" s="40"/>
    </row>
    <row r="57" spans="1:28" s="11" customFormat="1" ht="15" customHeight="1" x14ac:dyDescent="0.25">
      <c r="A57" s="41"/>
      <c r="B57" s="12"/>
      <c r="C57" s="48"/>
      <c r="D57" s="48">
        <v>48</v>
      </c>
      <c r="E57" s="49"/>
      <c r="F57" s="50"/>
      <c r="G57" s="50"/>
      <c r="H57" s="50"/>
      <c r="I57" s="50"/>
      <c r="J57" s="50"/>
      <c r="K57" s="50"/>
      <c r="L57" s="50"/>
      <c r="M57" s="50"/>
      <c r="N57" s="50"/>
      <c r="O57" s="50"/>
      <c r="P57" s="50"/>
      <c r="Q57" s="50"/>
      <c r="R57" s="50"/>
      <c r="S57" s="50"/>
      <c r="T57" s="50"/>
      <c r="U57" s="50"/>
      <c r="V57" s="50"/>
      <c r="W57" s="50"/>
      <c r="X57" s="50"/>
      <c r="Y57" s="50"/>
      <c r="Z57" s="43" t="str">
        <f t="shared" si="0"/>
        <v>Очікую</v>
      </c>
      <c r="AA57" s="22"/>
      <c r="AB57" s="40"/>
    </row>
    <row r="58" spans="1:28" s="11" customFormat="1" ht="15" customHeight="1" x14ac:dyDescent="0.25">
      <c r="A58" s="41"/>
      <c r="B58" s="12"/>
      <c r="C58" s="48"/>
      <c r="D58" s="48">
        <v>49</v>
      </c>
      <c r="E58" s="49"/>
      <c r="F58" s="50"/>
      <c r="G58" s="50"/>
      <c r="H58" s="50"/>
      <c r="I58" s="50"/>
      <c r="J58" s="50"/>
      <c r="K58" s="50"/>
      <c r="L58" s="50"/>
      <c r="M58" s="50"/>
      <c r="N58" s="50"/>
      <c r="O58" s="50"/>
      <c r="P58" s="50"/>
      <c r="Q58" s="50"/>
      <c r="R58" s="50"/>
      <c r="S58" s="50"/>
      <c r="T58" s="50"/>
      <c r="U58" s="50"/>
      <c r="V58" s="50"/>
      <c r="W58" s="50"/>
      <c r="X58" s="50"/>
      <c r="Y58" s="50"/>
      <c r="Z58" s="43" t="str">
        <f t="shared" si="0"/>
        <v>Очікую</v>
      </c>
      <c r="AA58" s="22"/>
      <c r="AB58" s="40"/>
    </row>
    <row r="59" spans="1:28" s="11" customFormat="1" ht="15" customHeight="1" x14ac:dyDescent="0.25">
      <c r="A59" s="41"/>
      <c r="B59" s="12"/>
      <c r="C59" s="48"/>
      <c r="D59" s="48">
        <v>50</v>
      </c>
      <c r="E59" s="49"/>
      <c r="F59" s="50"/>
      <c r="G59" s="50"/>
      <c r="H59" s="50"/>
      <c r="I59" s="50"/>
      <c r="J59" s="50"/>
      <c r="K59" s="50"/>
      <c r="L59" s="50"/>
      <c r="M59" s="50"/>
      <c r="N59" s="50"/>
      <c r="O59" s="50"/>
      <c r="P59" s="50"/>
      <c r="Q59" s="50"/>
      <c r="R59" s="50"/>
      <c r="S59" s="50"/>
      <c r="T59" s="50"/>
      <c r="U59" s="50"/>
      <c r="V59" s="50"/>
      <c r="W59" s="50"/>
      <c r="X59" s="50"/>
      <c r="Y59" s="50"/>
      <c r="Z59" s="43" t="str">
        <f t="shared" si="0"/>
        <v>Очікую</v>
      </c>
      <c r="AA59" s="22"/>
      <c r="AB59" s="40"/>
    </row>
    <row r="60" spans="1:28" s="11" customFormat="1" ht="15" customHeight="1" x14ac:dyDescent="0.25">
      <c r="A60" s="41"/>
      <c r="B60" s="12"/>
      <c r="C60" s="48"/>
      <c r="D60" s="48">
        <v>51</v>
      </c>
      <c r="E60" s="49"/>
      <c r="F60" s="50"/>
      <c r="G60" s="50"/>
      <c r="H60" s="50"/>
      <c r="I60" s="50"/>
      <c r="J60" s="50"/>
      <c r="K60" s="50"/>
      <c r="L60" s="50"/>
      <c r="M60" s="50"/>
      <c r="N60" s="50"/>
      <c r="O60" s="50"/>
      <c r="P60" s="50"/>
      <c r="Q60" s="50"/>
      <c r="R60" s="50"/>
      <c r="S60" s="50"/>
      <c r="T60" s="50"/>
      <c r="U60" s="50"/>
      <c r="V60" s="50"/>
      <c r="W60" s="50"/>
      <c r="X60" s="50"/>
      <c r="Y60" s="50"/>
      <c r="Z60" s="43" t="str">
        <f t="shared" si="0"/>
        <v>Очікую</v>
      </c>
      <c r="AA60" s="22"/>
      <c r="AB60" s="40"/>
    </row>
    <row r="61" spans="1:28" s="11" customFormat="1" ht="15" customHeight="1" x14ac:dyDescent="0.25">
      <c r="A61" s="41"/>
      <c r="B61" s="12"/>
      <c r="C61" s="48"/>
      <c r="D61" s="48">
        <v>52</v>
      </c>
      <c r="E61" s="49"/>
      <c r="F61" s="50"/>
      <c r="G61" s="50"/>
      <c r="H61" s="50"/>
      <c r="I61" s="50"/>
      <c r="J61" s="50"/>
      <c r="K61" s="50"/>
      <c r="L61" s="50"/>
      <c r="M61" s="50"/>
      <c r="N61" s="50"/>
      <c r="O61" s="50"/>
      <c r="P61" s="50"/>
      <c r="Q61" s="50"/>
      <c r="R61" s="50"/>
      <c r="S61" s="50"/>
      <c r="T61" s="50"/>
      <c r="U61" s="50"/>
      <c r="V61" s="50"/>
      <c r="W61" s="50"/>
      <c r="X61" s="50"/>
      <c r="Y61" s="50"/>
      <c r="Z61" s="43" t="str">
        <f t="shared" si="0"/>
        <v>Очікую</v>
      </c>
      <c r="AA61" s="22"/>
      <c r="AB61" s="40"/>
    </row>
    <row r="62" spans="1:28" s="11" customFormat="1" ht="15" customHeight="1" x14ac:dyDescent="0.25">
      <c r="A62" s="41"/>
      <c r="B62" s="12"/>
      <c r="C62" s="48"/>
      <c r="D62" s="48">
        <v>53</v>
      </c>
      <c r="E62" s="49"/>
      <c r="F62" s="50"/>
      <c r="G62" s="50"/>
      <c r="H62" s="50"/>
      <c r="I62" s="50"/>
      <c r="J62" s="50"/>
      <c r="K62" s="50"/>
      <c r="L62" s="50"/>
      <c r="M62" s="50"/>
      <c r="N62" s="50"/>
      <c r="O62" s="50"/>
      <c r="P62" s="50"/>
      <c r="Q62" s="50"/>
      <c r="R62" s="50"/>
      <c r="S62" s="50"/>
      <c r="T62" s="50"/>
      <c r="U62" s="50"/>
      <c r="V62" s="50"/>
      <c r="W62" s="50"/>
      <c r="X62" s="50"/>
      <c r="Y62" s="50"/>
      <c r="Z62" s="43" t="str">
        <f t="shared" si="0"/>
        <v>Очікую</v>
      </c>
      <c r="AA62" s="22"/>
      <c r="AB62" s="40"/>
    </row>
    <row r="63" spans="1:28" s="11" customFormat="1" ht="15" customHeight="1" x14ac:dyDescent="0.25">
      <c r="A63" s="41"/>
      <c r="B63" s="12"/>
      <c r="C63" s="48"/>
      <c r="D63" s="48">
        <v>54</v>
      </c>
      <c r="E63" s="49"/>
      <c r="F63" s="50"/>
      <c r="G63" s="50"/>
      <c r="H63" s="50"/>
      <c r="I63" s="50"/>
      <c r="J63" s="50"/>
      <c r="K63" s="50"/>
      <c r="L63" s="50"/>
      <c r="M63" s="50"/>
      <c r="N63" s="50"/>
      <c r="O63" s="50"/>
      <c r="P63" s="50"/>
      <c r="Q63" s="50"/>
      <c r="R63" s="50"/>
      <c r="S63" s="50"/>
      <c r="T63" s="50"/>
      <c r="U63" s="50"/>
      <c r="V63" s="50"/>
      <c r="W63" s="50"/>
      <c r="X63" s="50"/>
      <c r="Y63" s="50"/>
      <c r="Z63" s="43" t="str">
        <f t="shared" si="0"/>
        <v>Очікую</v>
      </c>
      <c r="AA63" s="22"/>
      <c r="AB63" s="40"/>
    </row>
    <row r="64" spans="1:28" s="11" customFormat="1" ht="15" customHeight="1" x14ac:dyDescent="0.25">
      <c r="A64" s="41"/>
      <c r="B64" s="12"/>
      <c r="C64" s="48"/>
      <c r="D64" s="48">
        <v>55</v>
      </c>
      <c r="E64" s="49"/>
      <c r="F64" s="50"/>
      <c r="G64" s="50"/>
      <c r="H64" s="50"/>
      <c r="I64" s="50"/>
      <c r="J64" s="50"/>
      <c r="K64" s="50"/>
      <c r="L64" s="50"/>
      <c r="M64" s="50"/>
      <c r="N64" s="50"/>
      <c r="O64" s="50"/>
      <c r="P64" s="50"/>
      <c r="Q64" s="50"/>
      <c r="R64" s="50"/>
      <c r="S64" s="50"/>
      <c r="T64" s="50"/>
      <c r="U64" s="50"/>
      <c r="V64" s="50"/>
      <c r="W64" s="50"/>
      <c r="X64" s="50"/>
      <c r="Y64" s="50"/>
      <c r="Z64" s="43" t="str">
        <f t="shared" si="0"/>
        <v>Очікую</v>
      </c>
      <c r="AA64" s="22"/>
      <c r="AB64" s="40"/>
    </row>
    <row r="65" spans="1:28" s="11" customFormat="1" ht="15" customHeight="1" x14ac:dyDescent="0.25">
      <c r="A65" s="41"/>
      <c r="B65" s="12"/>
      <c r="C65" s="48"/>
      <c r="D65" s="48">
        <v>56</v>
      </c>
      <c r="E65" s="49"/>
      <c r="F65" s="50"/>
      <c r="G65" s="50"/>
      <c r="H65" s="50"/>
      <c r="I65" s="50"/>
      <c r="J65" s="50"/>
      <c r="K65" s="50"/>
      <c r="L65" s="50"/>
      <c r="M65" s="50"/>
      <c r="N65" s="50"/>
      <c r="O65" s="50"/>
      <c r="P65" s="50"/>
      <c r="Q65" s="50"/>
      <c r="R65" s="50"/>
      <c r="S65" s="50"/>
      <c r="T65" s="50"/>
      <c r="U65" s="50"/>
      <c r="V65" s="50"/>
      <c r="W65" s="50"/>
      <c r="X65" s="50"/>
      <c r="Y65" s="50"/>
      <c r="Z65" s="43" t="str">
        <f t="shared" si="0"/>
        <v>Очікую</v>
      </c>
      <c r="AA65" s="22"/>
      <c r="AB65" s="40"/>
    </row>
    <row r="66" spans="1:28" s="11" customFormat="1" ht="15" customHeight="1" x14ac:dyDescent="0.25">
      <c r="A66" s="41"/>
      <c r="B66" s="12"/>
      <c r="C66" s="48"/>
      <c r="D66" s="48">
        <v>57</v>
      </c>
      <c r="E66" s="49"/>
      <c r="F66" s="50"/>
      <c r="G66" s="50"/>
      <c r="H66" s="50"/>
      <c r="I66" s="50"/>
      <c r="J66" s="50"/>
      <c r="K66" s="50"/>
      <c r="L66" s="50"/>
      <c r="M66" s="50"/>
      <c r="N66" s="50"/>
      <c r="O66" s="50"/>
      <c r="P66" s="50"/>
      <c r="Q66" s="50"/>
      <c r="R66" s="50"/>
      <c r="S66" s="50"/>
      <c r="T66" s="50"/>
      <c r="U66" s="50"/>
      <c r="V66" s="50"/>
      <c r="W66" s="50"/>
      <c r="X66" s="50"/>
      <c r="Y66" s="50"/>
      <c r="Z66" s="43" t="str">
        <f t="shared" si="0"/>
        <v>Очікую</v>
      </c>
      <c r="AA66" s="22"/>
      <c r="AB66" s="40"/>
    </row>
    <row r="67" spans="1:28" s="11" customFormat="1" ht="15" customHeight="1" x14ac:dyDescent="0.25">
      <c r="A67" s="41"/>
      <c r="B67" s="12"/>
      <c r="C67" s="48"/>
      <c r="D67" s="48">
        <v>58</v>
      </c>
      <c r="E67" s="49"/>
      <c r="F67" s="50"/>
      <c r="G67" s="50"/>
      <c r="H67" s="50"/>
      <c r="I67" s="50"/>
      <c r="J67" s="50"/>
      <c r="K67" s="50"/>
      <c r="L67" s="50"/>
      <c r="M67" s="50"/>
      <c r="N67" s="50"/>
      <c r="O67" s="50"/>
      <c r="P67" s="50"/>
      <c r="Q67" s="50"/>
      <c r="R67" s="50"/>
      <c r="S67" s="50"/>
      <c r="T67" s="50"/>
      <c r="U67" s="50"/>
      <c r="V67" s="50"/>
      <c r="W67" s="50"/>
      <c r="X67" s="50"/>
      <c r="Y67" s="50"/>
      <c r="Z67" s="43" t="str">
        <f t="shared" si="0"/>
        <v>Очікую</v>
      </c>
      <c r="AA67" s="22"/>
      <c r="AB67" s="40"/>
    </row>
    <row r="68" spans="1:28" s="11" customFormat="1" ht="15" customHeight="1" x14ac:dyDescent="0.25">
      <c r="A68" s="41"/>
      <c r="B68" s="12"/>
      <c r="C68" s="48"/>
      <c r="D68" s="48">
        <v>59</v>
      </c>
      <c r="E68" s="49"/>
      <c r="F68" s="50"/>
      <c r="G68" s="50"/>
      <c r="H68" s="50"/>
      <c r="I68" s="50"/>
      <c r="J68" s="50"/>
      <c r="K68" s="50"/>
      <c r="L68" s="50"/>
      <c r="M68" s="50"/>
      <c r="N68" s="50"/>
      <c r="O68" s="50"/>
      <c r="P68" s="50"/>
      <c r="Q68" s="50"/>
      <c r="R68" s="50"/>
      <c r="S68" s="50"/>
      <c r="T68" s="50"/>
      <c r="U68" s="50"/>
      <c r="V68" s="50"/>
      <c r="W68" s="50"/>
      <c r="X68" s="50"/>
      <c r="Y68" s="50"/>
      <c r="Z68" s="43" t="str">
        <f t="shared" si="0"/>
        <v>Очікую</v>
      </c>
      <c r="AA68" s="22"/>
      <c r="AB68" s="40"/>
    </row>
    <row r="69" spans="1:28" s="11" customFormat="1" ht="15" customHeight="1" x14ac:dyDescent="0.25">
      <c r="A69" s="41"/>
      <c r="B69" s="12"/>
      <c r="C69" s="48"/>
      <c r="D69" s="48">
        <v>60</v>
      </c>
      <c r="E69" s="49"/>
      <c r="F69" s="50"/>
      <c r="G69" s="50"/>
      <c r="H69" s="50"/>
      <c r="I69" s="50"/>
      <c r="J69" s="50"/>
      <c r="K69" s="50"/>
      <c r="L69" s="50"/>
      <c r="M69" s="50"/>
      <c r="N69" s="50"/>
      <c r="O69" s="50"/>
      <c r="P69" s="50"/>
      <c r="Q69" s="50"/>
      <c r="R69" s="50"/>
      <c r="S69" s="50"/>
      <c r="T69" s="50"/>
      <c r="U69" s="50"/>
      <c r="V69" s="50"/>
      <c r="W69" s="50"/>
      <c r="X69" s="50"/>
      <c r="Y69" s="50"/>
      <c r="Z69" s="43" t="str">
        <f t="shared" si="0"/>
        <v>Очікую</v>
      </c>
      <c r="AA69" s="22"/>
      <c r="AB69" s="40"/>
    </row>
    <row r="70" spans="1:28" s="11" customFormat="1" ht="15" customHeight="1" x14ac:dyDescent="0.25">
      <c r="A70" s="41"/>
      <c r="B70" s="12"/>
      <c r="C70" s="48"/>
      <c r="D70" s="48">
        <v>61</v>
      </c>
      <c r="E70" s="49"/>
      <c r="F70" s="50"/>
      <c r="G70" s="50"/>
      <c r="H70" s="50"/>
      <c r="I70" s="50"/>
      <c r="J70" s="50"/>
      <c r="K70" s="50"/>
      <c r="L70" s="50"/>
      <c r="M70" s="50"/>
      <c r="N70" s="50"/>
      <c r="O70" s="50"/>
      <c r="P70" s="50"/>
      <c r="Q70" s="50"/>
      <c r="R70" s="50"/>
      <c r="S70" s="50"/>
      <c r="T70" s="50"/>
      <c r="U70" s="50"/>
      <c r="V70" s="50"/>
      <c r="W70" s="50"/>
      <c r="X70" s="50"/>
      <c r="Y70" s="50"/>
      <c r="Z70" s="43" t="str">
        <f t="shared" si="0"/>
        <v>Очікую</v>
      </c>
      <c r="AA70" s="22"/>
      <c r="AB70" s="40"/>
    </row>
    <row r="71" spans="1:28" s="11" customFormat="1" ht="15" customHeight="1" x14ac:dyDescent="0.25">
      <c r="A71" s="41"/>
      <c r="B71" s="12"/>
      <c r="C71" s="48"/>
      <c r="D71" s="48">
        <v>62</v>
      </c>
      <c r="E71" s="49"/>
      <c r="F71" s="50"/>
      <c r="G71" s="50"/>
      <c r="H71" s="50"/>
      <c r="I71" s="50"/>
      <c r="J71" s="50"/>
      <c r="K71" s="50"/>
      <c r="L71" s="50"/>
      <c r="M71" s="50"/>
      <c r="N71" s="50"/>
      <c r="O71" s="50"/>
      <c r="P71" s="50"/>
      <c r="Q71" s="50"/>
      <c r="R71" s="50"/>
      <c r="S71" s="50"/>
      <c r="T71" s="50"/>
      <c r="U71" s="50"/>
      <c r="V71" s="50"/>
      <c r="W71" s="50"/>
      <c r="X71" s="50"/>
      <c r="Y71" s="50"/>
      <c r="Z71" s="43" t="str">
        <f t="shared" si="0"/>
        <v>Очікую</v>
      </c>
      <c r="AA71" s="22"/>
      <c r="AB71" s="40"/>
    </row>
    <row r="72" spans="1:28" s="11" customFormat="1" ht="15" customHeight="1" x14ac:dyDescent="0.25">
      <c r="A72" s="41"/>
      <c r="B72" s="12"/>
      <c r="C72" s="48"/>
      <c r="D72" s="48">
        <v>63</v>
      </c>
      <c r="E72" s="49"/>
      <c r="F72" s="50"/>
      <c r="G72" s="50"/>
      <c r="H72" s="50"/>
      <c r="I72" s="50"/>
      <c r="J72" s="50"/>
      <c r="K72" s="50"/>
      <c r="L72" s="50"/>
      <c r="M72" s="50"/>
      <c r="N72" s="50"/>
      <c r="O72" s="50"/>
      <c r="P72" s="50"/>
      <c r="Q72" s="50"/>
      <c r="R72" s="50"/>
      <c r="S72" s="50"/>
      <c r="T72" s="50"/>
      <c r="U72" s="50"/>
      <c r="V72" s="50"/>
      <c r="W72" s="50"/>
      <c r="X72" s="50"/>
      <c r="Y72" s="50"/>
      <c r="Z72" s="43" t="str">
        <f t="shared" si="0"/>
        <v>Очікую</v>
      </c>
      <c r="AA72" s="22"/>
      <c r="AB72" s="40"/>
    </row>
    <row r="73" spans="1:28" s="11" customFormat="1" ht="15" customHeight="1" x14ac:dyDescent="0.25">
      <c r="A73" s="41"/>
      <c r="B73" s="12"/>
      <c r="C73" s="48"/>
      <c r="D73" s="48">
        <v>64</v>
      </c>
      <c r="E73" s="49"/>
      <c r="F73" s="50"/>
      <c r="G73" s="50"/>
      <c r="H73" s="50"/>
      <c r="I73" s="50"/>
      <c r="J73" s="50"/>
      <c r="K73" s="50"/>
      <c r="L73" s="50"/>
      <c r="M73" s="50"/>
      <c r="N73" s="50"/>
      <c r="O73" s="50"/>
      <c r="P73" s="50"/>
      <c r="Q73" s="50"/>
      <c r="R73" s="50"/>
      <c r="S73" s="50"/>
      <c r="T73" s="50"/>
      <c r="U73" s="50"/>
      <c r="V73" s="50"/>
      <c r="W73" s="50"/>
      <c r="X73" s="50"/>
      <c r="Y73" s="50"/>
      <c r="Z73" s="43" t="str">
        <f t="shared" si="0"/>
        <v>Очікую</v>
      </c>
      <c r="AA73" s="22"/>
      <c r="AB73" s="40"/>
    </row>
    <row r="74" spans="1:28" s="11" customFormat="1" ht="15" customHeight="1" x14ac:dyDescent="0.25">
      <c r="A74" s="41"/>
      <c r="B74" s="12"/>
      <c r="C74" s="48"/>
      <c r="D74" s="48">
        <v>65</v>
      </c>
      <c r="E74" s="49"/>
      <c r="F74" s="50"/>
      <c r="G74" s="50"/>
      <c r="H74" s="50"/>
      <c r="I74" s="50"/>
      <c r="J74" s="50"/>
      <c r="K74" s="50"/>
      <c r="L74" s="50"/>
      <c r="M74" s="50"/>
      <c r="N74" s="50"/>
      <c r="O74" s="50"/>
      <c r="P74" s="50"/>
      <c r="Q74" s="50"/>
      <c r="R74" s="50"/>
      <c r="S74" s="50"/>
      <c r="T74" s="50"/>
      <c r="U74" s="50"/>
      <c r="V74" s="50"/>
      <c r="W74" s="50"/>
      <c r="X74" s="50"/>
      <c r="Y74" s="50"/>
      <c r="Z74" s="43" t="str">
        <f t="shared" si="0"/>
        <v>Очікую</v>
      </c>
      <c r="AA74" s="22"/>
      <c r="AB74" s="40"/>
    </row>
    <row r="75" spans="1:28" s="11" customFormat="1" ht="15" customHeight="1" x14ac:dyDescent="0.25">
      <c r="A75" s="41"/>
      <c r="B75" s="12"/>
      <c r="C75" s="48"/>
      <c r="D75" s="48">
        <v>66</v>
      </c>
      <c r="E75" s="49"/>
      <c r="F75" s="50"/>
      <c r="G75" s="50"/>
      <c r="H75" s="50"/>
      <c r="I75" s="50"/>
      <c r="J75" s="50"/>
      <c r="K75" s="50"/>
      <c r="L75" s="50"/>
      <c r="M75" s="50"/>
      <c r="N75" s="50"/>
      <c r="O75" s="50"/>
      <c r="P75" s="50"/>
      <c r="Q75" s="50"/>
      <c r="R75" s="50"/>
      <c r="S75" s="50"/>
      <c r="T75" s="50"/>
      <c r="U75" s="50"/>
      <c r="V75" s="50"/>
      <c r="W75" s="50"/>
      <c r="X75" s="50"/>
      <c r="Y75" s="50"/>
      <c r="Z75" s="43" t="str">
        <f t="shared" ref="Z75:Z109" si="1">IF(COUNTIF(F75:Y75,"=*")&gt;0,IF($C75="К","-"," - "),IF(COUNTIF(F75:Y75,"&lt;4")&gt;0,IF(C75="К","-"," - "),(IFERROR(AVERAGE(F75:Y75),"Очікую"))))</f>
        <v>Очікую</v>
      </c>
      <c r="AA75" s="22"/>
      <c r="AB75" s="40"/>
    </row>
    <row r="76" spans="1:28" s="11" customFormat="1" ht="15" customHeight="1" x14ac:dyDescent="0.25">
      <c r="A76" s="41"/>
      <c r="B76" s="12"/>
      <c r="C76" s="48"/>
      <c r="D76" s="48">
        <v>67</v>
      </c>
      <c r="E76" s="49"/>
      <c r="F76" s="50"/>
      <c r="G76" s="50"/>
      <c r="H76" s="50"/>
      <c r="I76" s="50"/>
      <c r="J76" s="50"/>
      <c r="K76" s="50"/>
      <c r="L76" s="50"/>
      <c r="M76" s="50"/>
      <c r="N76" s="50"/>
      <c r="O76" s="50"/>
      <c r="P76" s="50"/>
      <c r="Q76" s="50"/>
      <c r="R76" s="50"/>
      <c r="S76" s="50"/>
      <c r="T76" s="50"/>
      <c r="U76" s="50"/>
      <c r="V76" s="50"/>
      <c r="W76" s="50"/>
      <c r="X76" s="50"/>
      <c r="Y76" s="50"/>
      <c r="Z76" s="43" t="str">
        <f t="shared" si="1"/>
        <v>Очікую</v>
      </c>
      <c r="AA76" s="22"/>
      <c r="AB76" s="40"/>
    </row>
    <row r="77" spans="1:28" s="11" customFormat="1" ht="15" customHeight="1" x14ac:dyDescent="0.25">
      <c r="A77" s="41"/>
      <c r="B77" s="12"/>
      <c r="C77" s="48"/>
      <c r="D77" s="48">
        <v>68</v>
      </c>
      <c r="E77" s="49"/>
      <c r="F77" s="50"/>
      <c r="G77" s="50"/>
      <c r="H77" s="50"/>
      <c r="I77" s="50"/>
      <c r="J77" s="50"/>
      <c r="K77" s="50"/>
      <c r="L77" s="50"/>
      <c r="M77" s="50"/>
      <c r="N77" s="50"/>
      <c r="O77" s="50"/>
      <c r="P77" s="50"/>
      <c r="Q77" s="50"/>
      <c r="R77" s="50"/>
      <c r="S77" s="50"/>
      <c r="T77" s="50"/>
      <c r="U77" s="50"/>
      <c r="V77" s="50"/>
      <c r="W77" s="50"/>
      <c r="X77" s="50"/>
      <c r="Y77" s="50"/>
      <c r="Z77" s="43" t="str">
        <f t="shared" si="1"/>
        <v>Очікую</v>
      </c>
      <c r="AA77" s="22"/>
      <c r="AB77" s="40"/>
    </row>
    <row r="78" spans="1:28" s="11" customFormat="1" ht="15" customHeight="1" x14ac:dyDescent="0.25">
      <c r="A78" s="41"/>
      <c r="B78" s="12"/>
      <c r="C78" s="48"/>
      <c r="D78" s="48">
        <v>69</v>
      </c>
      <c r="E78" s="49"/>
      <c r="F78" s="50"/>
      <c r="G78" s="50"/>
      <c r="H78" s="50"/>
      <c r="I78" s="50"/>
      <c r="J78" s="50"/>
      <c r="K78" s="50"/>
      <c r="L78" s="50"/>
      <c r="M78" s="50"/>
      <c r="N78" s="50"/>
      <c r="O78" s="50"/>
      <c r="P78" s="50"/>
      <c r="Q78" s="50"/>
      <c r="R78" s="50"/>
      <c r="S78" s="50"/>
      <c r="T78" s="50"/>
      <c r="U78" s="50"/>
      <c r="V78" s="50"/>
      <c r="W78" s="50"/>
      <c r="X78" s="50"/>
      <c r="Y78" s="50"/>
      <c r="Z78" s="43" t="str">
        <f t="shared" si="1"/>
        <v>Очікую</v>
      </c>
      <c r="AA78" s="22"/>
      <c r="AB78" s="40"/>
    </row>
    <row r="79" spans="1:28" s="11" customFormat="1" ht="15" customHeight="1" x14ac:dyDescent="0.25">
      <c r="A79" s="41"/>
      <c r="B79" s="12"/>
      <c r="C79" s="48"/>
      <c r="D79" s="48">
        <v>70</v>
      </c>
      <c r="E79" s="49"/>
      <c r="F79" s="50"/>
      <c r="G79" s="50"/>
      <c r="H79" s="50"/>
      <c r="I79" s="50"/>
      <c r="J79" s="50"/>
      <c r="K79" s="50"/>
      <c r="L79" s="50"/>
      <c r="M79" s="50"/>
      <c r="N79" s="50"/>
      <c r="O79" s="50"/>
      <c r="P79" s="50"/>
      <c r="Q79" s="50"/>
      <c r="R79" s="50"/>
      <c r="S79" s="50"/>
      <c r="T79" s="50"/>
      <c r="U79" s="50"/>
      <c r="V79" s="50"/>
      <c r="W79" s="50"/>
      <c r="X79" s="50"/>
      <c r="Y79" s="50"/>
      <c r="Z79" s="43" t="str">
        <f t="shared" si="1"/>
        <v>Очікую</v>
      </c>
      <c r="AA79" s="22"/>
      <c r="AB79" s="40"/>
    </row>
    <row r="80" spans="1:28" s="11" customFormat="1" ht="15" customHeight="1" x14ac:dyDescent="0.25">
      <c r="A80" s="41"/>
      <c r="B80" s="12"/>
      <c r="C80" s="48"/>
      <c r="D80" s="48">
        <v>71</v>
      </c>
      <c r="E80" s="49"/>
      <c r="F80" s="50"/>
      <c r="G80" s="50"/>
      <c r="H80" s="50"/>
      <c r="I80" s="50"/>
      <c r="J80" s="50"/>
      <c r="K80" s="50"/>
      <c r="L80" s="50"/>
      <c r="M80" s="50"/>
      <c r="N80" s="50"/>
      <c r="O80" s="50"/>
      <c r="P80" s="50"/>
      <c r="Q80" s="50"/>
      <c r="R80" s="50"/>
      <c r="S80" s="50"/>
      <c r="T80" s="50"/>
      <c r="U80" s="50"/>
      <c r="V80" s="50"/>
      <c r="W80" s="50"/>
      <c r="X80" s="50"/>
      <c r="Y80" s="50"/>
      <c r="Z80" s="43" t="str">
        <f t="shared" si="1"/>
        <v>Очікую</v>
      </c>
      <c r="AA80" s="22"/>
      <c r="AB80" s="40"/>
    </row>
    <row r="81" spans="1:28" s="11" customFormat="1" ht="15" customHeight="1" x14ac:dyDescent="0.25">
      <c r="A81" s="41"/>
      <c r="B81" s="12"/>
      <c r="C81" s="48"/>
      <c r="D81" s="48">
        <v>72</v>
      </c>
      <c r="E81" s="49"/>
      <c r="F81" s="50"/>
      <c r="G81" s="50"/>
      <c r="H81" s="50"/>
      <c r="I81" s="50"/>
      <c r="J81" s="50"/>
      <c r="K81" s="50"/>
      <c r="L81" s="50"/>
      <c r="M81" s="50"/>
      <c r="N81" s="50"/>
      <c r="O81" s="50"/>
      <c r="P81" s="50"/>
      <c r="Q81" s="50"/>
      <c r="R81" s="50"/>
      <c r="S81" s="50"/>
      <c r="T81" s="50"/>
      <c r="U81" s="50"/>
      <c r="V81" s="50"/>
      <c r="W81" s="50"/>
      <c r="X81" s="50"/>
      <c r="Y81" s="50"/>
      <c r="Z81" s="43" t="str">
        <f t="shared" si="1"/>
        <v>Очікую</v>
      </c>
      <c r="AA81" s="22"/>
      <c r="AB81" s="40"/>
    </row>
    <row r="82" spans="1:28" s="11" customFormat="1" ht="15" customHeight="1" x14ac:dyDescent="0.25">
      <c r="A82" s="41"/>
      <c r="B82" s="12"/>
      <c r="C82" s="48"/>
      <c r="D82" s="48">
        <v>73</v>
      </c>
      <c r="E82" s="49"/>
      <c r="F82" s="50"/>
      <c r="G82" s="50"/>
      <c r="H82" s="50"/>
      <c r="I82" s="50"/>
      <c r="J82" s="50"/>
      <c r="K82" s="50"/>
      <c r="L82" s="50"/>
      <c r="M82" s="50"/>
      <c r="N82" s="50"/>
      <c r="O82" s="50"/>
      <c r="P82" s="50"/>
      <c r="Q82" s="50"/>
      <c r="R82" s="50"/>
      <c r="S82" s="50"/>
      <c r="T82" s="50"/>
      <c r="U82" s="50"/>
      <c r="V82" s="50"/>
      <c r="W82" s="50"/>
      <c r="X82" s="50"/>
      <c r="Y82" s="50"/>
      <c r="Z82" s="43" t="str">
        <f t="shared" si="1"/>
        <v>Очікую</v>
      </c>
      <c r="AA82" s="22"/>
      <c r="AB82" s="40"/>
    </row>
    <row r="83" spans="1:28" s="11" customFormat="1" ht="15" customHeight="1" x14ac:dyDescent="0.25">
      <c r="A83" s="41"/>
      <c r="B83" s="12"/>
      <c r="C83" s="48"/>
      <c r="D83" s="48">
        <v>74</v>
      </c>
      <c r="E83" s="49"/>
      <c r="F83" s="50"/>
      <c r="G83" s="50"/>
      <c r="H83" s="50"/>
      <c r="I83" s="50"/>
      <c r="J83" s="50"/>
      <c r="K83" s="50"/>
      <c r="L83" s="50"/>
      <c r="M83" s="50"/>
      <c r="N83" s="50"/>
      <c r="O83" s="50"/>
      <c r="P83" s="50"/>
      <c r="Q83" s="50"/>
      <c r="R83" s="50"/>
      <c r="S83" s="50"/>
      <c r="T83" s="50"/>
      <c r="U83" s="50"/>
      <c r="V83" s="50"/>
      <c r="W83" s="50"/>
      <c r="X83" s="50"/>
      <c r="Y83" s="50"/>
      <c r="Z83" s="43" t="str">
        <f t="shared" si="1"/>
        <v>Очікую</v>
      </c>
      <c r="AA83" s="22"/>
      <c r="AB83" s="40"/>
    </row>
    <row r="84" spans="1:28" s="11" customFormat="1" ht="15" customHeight="1" x14ac:dyDescent="0.25">
      <c r="A84" s="41"/>
      <c r="B84" s="12"/>
      <c r="C84" s="48"/>
      <c r="D84" s="48">
        <v>75</v>
      </c>
      <c r="E84" s="49"/>
      <c r="F84" s="50"/>
      <c r="G84" s="50"/>
      <c r="H84" s="50"/>
      <c r="I84" s="50"/>
      <c r="J84" s="50"/>
      <c r="K84" s="50"/>
      <c r="L84" s="50"/>
      <c r="M84" s="50"/>
      <c r="N84" s="50"/>
      <c r="O84" s="50"/>
      <c r="P84" s="50"/>
      <c r="Q84" s="50"/>
      <c r="R84" s="50"/>
      <c r="S84" s="50"/>
      <c r="T84" s="50"/>
      <c r="U84" s="50"/>
      <c r="V84" s="50"/>
      <c r="W84" s="50"/>
      <c r="X84" s="50"/>
      <c r="Y84" s="50"/>
      <c r="Z84" s="43" t="str">
        <f t="shared" si="1"/>
        <v>Очікую</v>
      </c>
      <c r="AA84" s="22"/>
      <c r="AB84" s="40"/>
    </row>
    <row r="85" spans="1:28" s="11" customFormat="1" ht="15" customHeight="1" x14ac:dyDescent="0.25">
      <c r="A85" s="41"/>
      <c r="B85" s="12"/>
      <c r="C85" s="48"/>
      <c r="D85" s="48">
        <v>76</v>
      </c>
      <c r="E85" s="49"/>
      <c r="F85" s="50"/>
      <c r="G85" s="50"/>
      <c r="H85" s="50"/>
      <c r="I85" s="50"/>
      <c r="J85" s="50"/>
      <c r="K85" s="50"/>
      <c r="L85" s="50"/>
      <c r="M85" s="50"/>
      <c r="N85" s="50"/>
      <c r="O85" s="50"/>
      <c r="P85" s="50"/>
      <c r="Q85" s="50"/>
      <c r="R85" s="50"/>
      <c r="S85" s="50"/>
      <c r="T85" s="50"/>
      <c r="U85" s="50"/>
      <c r="V85" s="50"/>
      <c r="W85" s="50"/>
      <c r="X85" s="50"/>
      <c r="Y85" s="50"/>
      <c r="Z85" s="43" t="str">
        <f t="shared" si="1"/>
        <v>Очікую</v>
      </c>
      <c r="AA85" s="22"/>
      <c r="AB85" s="40"/>
    </row>
    <row r="86" spans="1:28" s="11" customFormat="1" ht="15" customHeight="1" x14ac:dyDescent="0.25">
      <c r="A86" s="41"/>
      <c r="B86" s="12"/>
      <c r="C86" s="48"/>
      <c r="D86" s="48">
        <v>77</v>
      </c>
      <c r="E86" s="49"/>
      <c r="F86" s="50"/>
      <c r="G86" s="50"/>
      <c r="H86" s="50"/>
      <c r="I86" s="50"/>
      <c r="J86" s="50"/>
      <c r="K86" s="50"/>
      <c r="L86" s="50"/>
      <c r="M86" s="50"/>
      <c r="N86" s="50"/>
      <c r="O86" s="50"/>
      <c r="P86" s="50"/>
      <c r="Q86" s="50"/>
      <c r="R86" s="50"/>
      <c r="S86" s="50"/>
      <c r="T86" s="50"/>
      <c r="U86" s="50"/>
      <c r="V86" s="50"/>
      <c r="W86" s="50"/>
      <c r="X86" s="50"/>
      <c r="Y86" s="50"/>
      <c r="Z86" s="43" t="str">
        <f t="shared" si="1"/>
        <v>Очікую</v>
      </c>
      <c r="AA86" s="22"/>
      <c r="AB86" s="40"/>
    </row>
    <row r="87" spans="1:28" s="11" customFormat="1" ht="15" customHeight="1" x14ac:dyDescent="0.25">
      <c r="A87" s="41"/>
      <c r="B87" s="12"/>
      <c r="C87" s="48"/>
      <c r="D87" s="48">
        <v>78</v>
      </c>
      <c r="E87" s="49"/>
      <c r="F87" s="50"/>
      <c r="G87" s="50"/>
      <c r="H87" s="50"/>
      <c r="I87" s="50"/>
      <c r="J87" s="50"/>
      <c r="K87" s="50"/>
      <c r="L87" s="50"/>
      <c r="M87" s="50"/>
      <c r="N87" s="50"/>
      <c r="O87" s="50"/>
      <c r="P87" s="50"/>
      <c r="Q87" s="50"/>
      <c r="R87" s="50"/>
      <c r="S87" s="50"/>
      <c r="T87" s="50"/>
      <c r="U87" s="50"/>
      <c r="V87" s="50"/>
      <c r="W87" s="50"/>
      <c r="X87" s="50"/>
      <c r="Y87" s="50"/>
      <c r="Z87" s="43" t="str">
        <f t="shared" si="1"/>
        <v>Очікую</v>
      </c>
      <c r="AA87" s="22"/>
      <c r="AB87" s="40"/>
    </row>
    <row r="88" spans="1:28" s="11" customFormat="1" ht="15" customHeight="1" x14ac:dyDescent="0.25">
      <c r="A88" s="41"/>
      <c r="B88" s="12"/>
      <c r="C88" s="48"/>
      <c r="D88" s="48">
        <v>79</v>
      </c>
      <c r="E88" s="49"/>
      <c r="F88" s="50"/>
      <c r="G88" s="50"/>
      <c r="H88" s="50"/>
      <c r="I88" s="50"/>
      <c r="J88" s="50"/>
      <c r="K88" s="50"/>
      <c r="L88" s="50"/>
      <c r="M88" s="50"/>
      <c r="N88" s="50"/>
      <c r="O88" s="50"/>
      <c r="P88" s="50"/>
      <c r="Q88" s="50"/>
      <c r="R88" s="50"/>
      <c r="S88" s="50"/>
      <c r="T88" s="50"/>
      <c r="U88" s="50"/>
      <c r="V88" s="50"/>
      <c r="W88" s="50"/>
      <c r="X88" s="50"/>
      <c r="Y88" s="50"/>
      <c r="Z88" s="43" t="str">
        <f t="shared" si="1"/>
        <v>Очікую</v>
      </c>
      <c r="AA88" s="22"/>
      <c r="AB88" s="40"/>
    </row>
    <row r="89" spans="1:28" s="11" customFormat="1" ht="15" customHeight="1" x14ac:dyDescent="0.25">
      <c r="A89" s="41"/>
      <c r="B89" s="12"/>
      <c r="C89" s="48"/>
      <c r="D89" s="48">
        <v>80</v>
      </c>
      <c r="E89" s="49"/>
      <c r="F89" s="50"/>
      <c r="G89" s="50"/>
      <c r="H89" s="50"/>
      <c r="I89" s="50"/>
      <c r="J89" s="50"/>
      <c r="K89" s="50"/>
      <c r="L89" s="50"/>
      <c r="M89" s="50"/>
      <c r="N89" s="50"/>
      <c r="O89" s="50"/>
      <c r="P89" s="50"/>
      <c r="Q89" s="50"/>
      <c r="R89" s="50"/>
      <c r="S89" s="50"/>
      <c r="T89" s="50"/>
      <c r="U89" s="50"/>
      <c r="V89" s="50"/>
      <c r="W89" s="50"/>
      <c r="X89" s="50"/>
      <c r="Y89" s="50"/>
      <c r="Z89" s="43" t="str">
        <f t="shared" si="1"/>
        <v>Очікую</v>
      </c>
      <c r="AA89" s="22"/>
      <c r="AB89" s="40"/>
    </row>
    <row r="90" spans="1:28" s="11" customFormat="1" ht="15" customHeight="1" x14ac:dyDescent="0.25">
      <c r="A90" s="41"/>
      <c r="B90" s="12"/>
      <c r="C90" s="48"/>
      <c r="D90" s="48">
        <v>81</v>
      </c>
      <c r="E90" s="49"/>
      <c r="F90" s="50"/>
      <c r="G90" s="50"/>
      <c r="H90" s="50"/>
      <c r="I90" s="50"/>
      <c r="J90" s="50"/>
      <c r="K90" s="50"/>
      <c r="L90" s="50"/>
      <c r="M90" s="50"/>
      <c r="N90" s="50"/>
      <c r="O90" s="50"/>
      <c r="P90" s="50"/>
      <c r="Q90" s="50"/>
      <c r="R90" s="50"/>
      <c r="S90" s="50"/>
      <c r="T90" s="50"/>
      <c r="U90" s="50"/>
      <c r="V90" s="50"/>
      <c r="W90" s="50"/>
      <c r="X90" s="50"/>
      <c r="Y90" s="50"/>
      <c r="Z90" s="43" t="str">
        <f t="shared" si="1"/>
        <v>Очікую</v>
      </c>
      <c r="AA90" s="22"/>
      <c r="AB90" s="40"/>
    </row>
    <row r="91" spans="1:28" s="11" customFormat="1" ht="15" customHeight="1" x14ac:dyDescent="0.25">
      <c r="A91" s="41"/>
      <c r="B91" s="12"/>
      <c r="C91" s="48"/>
      <c r="D91" s="48">
        <v>82</v>
      </c>
      <c r="E91" s="49"/>
      <c r="F91" s="50"/>
      <c r="G91" s="50"/>
      <c r="H91" s="50"/>
      <c r="I91" s="50"/>
      <c r="J91" s="50"/>
      <c r="K91" s="50"/>
      <c r="L91" s="50"/>
      <c r="M91" s="50"/>
      <c r="N91" s="50"/>
      <c r="O91" s="50"/>
      <c r="P91" s="50"/>
      <c r="Q91" s="50"/>
      <c r="R91" s="50"/>
      <c r="S91" s="50"/>
      <c r="T91" s="50"/>
      <c r="U91" s="50"/>
      <c r="V91" s="50"/>
      <c r="W91" s="50"/>
      <c r="X91" s="50"/>
      <c r="Y91" s="50"/>
      <c r="Z91" s="43" t="str">
        <f t="shared" si="1"/>
        <v>Очікую</v>
      </c>
      <c r="AA91" s="22"/>
      <c r="AB91" s="40"/>
    </row>
    <row r="92" spans="1:28" s="11" customFormat="1" ht="15" customHeight="1" x14ac:dyDescent="0.25">
      <c r="A92" s="41"/>
      <c r="B92" s="12"/>
      <c r="C92" s="48"/>
      <c r="D92" s="48">
        <v>83</v>
      </c>
      <c r="E92" s="49"/>
      <c r="F92" s="50"/>
      <c r="G92" s="50"/>
      <c r="H92" s="50"/>
      <c r="I92" s="50"/>
      <c r="J92" s="50"/>
      <c r="K92" s="50"/>
      <c r="L92" s="50"/>
      <c r="M92" s="50"/>
      <c r="N92" s="50"/>
      <c r="O92" s="50"/>
      <c r="P92" s="50"/>
      <c r="Q92" s="50"/>
      <c r="R92" s="50"/>
      <c r="S92" s="50"/>
      <c r="T92" s="50"/>
      <c r="U92" s="50"/>
      <c r="V92" s="50"/>
      <c r="W92" s="50"/>
      <c r="X92" s="50"/>
      <c r="Y92" s="50"/>
      <c r="Z92" s="43" t="str">
        <f t="shared" si="1"/>
        <v>Очікую</v>
      </c>
      <c r="AA92" s="22"/>
      <c r="AB92" s="40"/>
    </row>
    <row r="93" spans="1:28" s="11" customFormat="1" ht="15" customHeight="1" x14ac:dyDescent="0.25">
      <c r="A93" s="41"/>
      <c r="B93" s="12"/>
      <c r="C93" s="48"/>
      <c r="D93" s="48">
        <v>84</v>
      </c>
      <c r="E93" s="49"/>
      <c r="F93" s="50"/>
      <c r="G93" s="50"/>
      <c r="H93" s="50"/>
      <c r="I93" s="50"/>
      <c r="J93" s="50"/>
      <c r="K93" s="50"/>
      <c r="L93" s="50"/>
      <c r="M93" s="50"/>
      <c r="N93" s="50"/>
      <c r="O93" s="50"/>
      <c r="P93" s="50"/>
      <c r="Q93" s="50"/>
      <c r="R93" s="50"/>
      <c r="S93" s="50"/>
      <c r="T93" s="50"/>
      <c r="U93" s="50"/>
      <c r="V93" s="50"/>
      <c r="W93" s="50"/>
      <c r="X93" s="50"/>
      <c r="Y93" s="50"/>
      <c r="Z93" s="43" t="str">
        <f t="shared" si="1"/>
        <v>Очікую</v>
      </c>
      <c r="AA93" s="22"/>
      <c r="AB93" s="40"/>
    </row>
    <row r="94" spans="1:28" s="11" customFormat="1" ht="15" customHeight="1" x14ac:dyDescent="0.25">
      <c r="A94" s="41"/>
      <c r="B94" s="12"/>
      <c r="C94" s="48"/>
      <c r="D94" s="48">
        <v>85</v>
      </c>
      <c r="E94" s="49"/>
      <c r="F94" s="50"/>
      <c r="G94" s="50"/>
      <c r="H94" s="50"/>
      <c r="I94" s="50"/>
      <c r="J94" s="50"/>
      <c r="K94" s="50"/>
      <c r="L94" s="50"/>
      <c r="M94" s="50"/>
      <c r="N94" s="50"/>
      <c r="O94" s="50"/>
      <c r="P94" s="50"/>
      <c r="Q94" s="50"/>
      <c r="R94" s="50"/>
      <c r="S94" s="50"/>
      <c r="T94" s="50"/>
      <c r="U94" s="50"/>
      <c r="V94" s="50"/>
      <c r="W94" s="50"/>
      <c r="X94" s="50"/>
      <c r="Y94" s="50"/>
      <c r="Z94" s="43" t="str">
        <f t="shared" si="1"/>
        <v>Очікую</v>
      </c>
      <c r="AA94" s="22"/>
      <c r="AB94" s="40"/>
    </row>
    <row r="95" spans="1:28" s="11" customFormat="1" ht="15" customHeight="1" x14ac:dyDescent="0.25">
      <c r="A95" s="41"/>
      <c r="B95" s="12"/>
      <c r="C95" s="48"/>
      <c r="D95" s="48">
        <v>86</v>
      </c>
      <c r="E95" s="49"/>
      <c r="F95" s="50"/>
      <c r="G95" s="50"/>
      <c r="H95" s="50"/>
      <c r="I95" s="50"/>
      <c r="J95" s="50"/>
      <c r="K95" s="50"/>
      <c r="L95" s="50"/>
      <c r="M95" s="50"/>
      <c r="N95" s="50"/>
      <c r="O95" s="50"/>
      <c r="P95" s="50"/>
      <c r="Q95" s="50"/>
      <c r="R95" s="50"/>
      <c r="S95" s="50"/>
      <c r="T95" s="50"/>
      <c r="U95" s="50"/>
      <c r="V95" s="50"/>
      <c r="W95" s="50"/>
      <c r="X95" s="50"/>
      <c r="Y95" s="50"/>
      <c r="Z95" s="43" t="str">
        <f t="shared" si="1"/>
        <v>Очікую</v>
      </c>
      <c r="AA95" s="22"/>
      <c r="AB95" s="40"/>
    </row>
    <row r="96" spans="1:28" s="11" customFormat="1" ht="15" customHeight="1" x14ac:dyDescent="0.25">
      <c r="A96" s="41"/>
      <c r="B96" s="12"/>
      <c r="C96" s="48"/>
      <c r="D96" s="48">
        <v>87</v>
      </c>
      <c r="E96" s="49"/>
      <c r="F96" s="50"/>
      <c r="G96" s="50"/>
      <c r="H96" s="50"/>
      <c r="I96" s="50"/>
      <c r="J96" s="50"/>
      <c r="K96" s="50"/>
      <c r="L96" s="50"/>
      <c r="M96" s="50"/>
      <c r="N96" s="50"/>
      <c r="O96" s="50"/>
      <c r="P96" s="50"/>
      <c r="Q96" s="50"/>
      <c r="R96" s="50"/>
      <c r="S96" s="50"/>
      <c r="T96" s="50"/>
      <c r="U96" s="50"/>
      <c r="V96" s="50"/>
      <c r="W96" s="50"/>
      <c r="X96" s="50"/>
      <c r="Y96" s="50"/>
      <c r="Z96" s="43" t="str">
        <f t="shared" si="1"/>
        <v>Очікую</v>
      </c>
      <c r="AA96" s="22"/>
      <c r="AB96" s="40"/>
    </row>
    <row r="97" spans="1:28" s="11" customFormat="1" ht="15" customHeight="1" x14ac:dyDescent="0.25">
      <c r="A97" s="41"/>
      <c r="B97" s="12"/>
      <c r="C97" s="48"/>
      <c r="D97" s="48">
        <v>88</v>
      </c>
      <c r="E97" s="49"/>
      <c r="F97" s="50"/>
      <c r="G97" s="50"/>
      <c r="H97" s="50"/>
      <c r="I97" s="50"/>
      <c r="J97" s="50"/>
      <c r="K97" s="50"/>
      <c r="L97" s="50"/>
      <c r="M97" s="50"/>
      <c r="N97" s="50"/>
      <c r="O97" s="50"/>
      <c r="P97" s="50"/>
      <c r="Q97" s="50"/>
      <c r="R97" s="50"/>
      <c r="S97" s="50"/>
      <c r="T97" s="50"/>
      <c r="U97" s="50"/>
      <c r="V97" s="50"/>
      <c r="W97" s="50"/>
      <c r="X97" s="50"/>
      <c r="Y97" s="50"/>
      <c r="Z97" s="43" t="str">
        <f t="shared" si="1"/>
        <v>Очікую</v>
      </c>
      <c r="AA97" s="22"/>
      <c r="AB97" s="40"/>
    </row>
    <row r="98" spans="1:28" s="11" customFormat="1" ht="15" customHeight="1" x14ac:dyDescent="0.25">
      <c r="A98" s="41"/>
      <c r="B98" s="12"/>
      <c r="C98" s="48"/>
      <c r="D98" s="48">
        <v>89</v>
      </c>
      <c r="E98" s="49"/>
      <c r="F98" s="50"/>
      <c r="G98" s="50"/>
      <c r="H98" s="50"/>
      <c r="I98" s="50"/>
      <c r="J98" s="50"/>
      <c r="K98" s="50"/>
      <c r="L98" s="50"/>
      <c r="M98" s="50"/>
      <c r="N98" s="50"/>
      <c r="O98" s="50"/>
      <c r="P98" s="50"/>
      <c r="Q98" s="50"/>
      <c r="R98" s="50"/>
      <c r="S98" s="50"/>
      <c r="T98" s="50"/>
      <c r="U98" s="50"/>
      <c r="V98" s="50"/>
      <c r="W98" s="50"/>
      <c r="X98" s="50"/>
      <c r="Y98" s="50"/>
      <c r="Z98" s="43" t="str">
        <f t="shared" si="1"/>
        <v>Очікую</v>
      </c>
      <c r="AA98" s="22"/>
      <c r="AB98" s="40"/>
    </row>
    <row r="99" spans="1:28" s="11" customFormat="1" ht="15" customHeight="1" x14ac:dyDescent="0.25">
      <c r="A99" s="41"/>
      <c r="B99" s="12"/>
      <c r="C99" s="48"/>
      <c r="D99" s="48">
        <v>90</v>
      </c>
      <c r="E99" s="49"/>
      <c r="F99" s="50"/>
      <c r="G99" s="50"/>
      <c r="H99" s="50"/>
      <c r="I99" s="50"/>
      <c r="J99" s="50"/>
      <c r="K99" s="50"/>
      <c r="L99" s="50"/>
      <c r="M99" s="50"/>
      <c r="N99" s="50"/>
      <c r="O99" s="50"/>
      <c r="P99" s="50"/>
      <c r="Q99" s="50"/>
      <c r="R99" s="50"/>
      <c r="S99" s="50"/>
      <c r="T99" s="50"/>
      <c r="U99" s="50"/>
      <c r="V99" s="50"/>
      <c r="W99" s="50"/>
      <c r="X99" s="50"/>
      <c r="Y99" s="50"/>
      <c r="Z99" s="43" t="str">
        <f t="shared" si="1"/>
        <v>Очікую</v>
      </c>
      <c r="AA99" s="22"/>
      <c r="AB99" s="40"/>
    </row>
    <row r="100" spans="1:28" s="11" customFormat="1" ht="15" customHeight="1" x14ac:dyDescent="0.25">
      <c r="A100" s="41"/>
      <c r="B100" s="12"/>
      <c r="C100" s="48"/>
      <c r="D100" s="48">
        <v>91</v>
      </c>
      <c r="E100" s="49"/>
      <c r="F100" s="50"/>
      <c r="G100" s="50"/>
      <c r="H100" s="50"/>
      <c r="I100" s="50"/>
      <c r="J100" s="50"/>
      <c r="K100" s="50"/>
      <c r="L100" s="50"/>
      <c r="M100" s="50"/>
      <c r="N100" s="50"/>
      <c r="O100" s="50"/>
      <c r="P100" s="50"/>
      <c r="Q100" s="50"/>
      <c r="R100" s="50"/>
      <c r="S100" s="50"/>
      <c r="T100" s="50"/>
      <c r="U100" s="50"/>
      <c r="V100" s="50"/>
      <c r="W100" s="50"/>
      <c r="X100" s="50"/>
      <c r="Y100" s="50"/>
      <c r="Z100" s="43" t="str">
        <f t="shared" si="1"/>
        <v>Очікую</v>
      </c>
      <c r="AA100" s="22"/>
      <c r="AB100" s="40"/>
    </row>
    <row r="101" spans="1:28" s="11" customFormat="1" ht="15" customHeight="1" x14ac:dyDescent="0.25">
      <c r="A101" s="41"/>
      <c r="B101" s="12"/>
      <c r="C101" s="48"/>
      <c r="D101" s="48">
        <v>92</v>
      </c>
      <c r="E101" s="49"/>
      <c r="F101" s="50"/>
      <c r="G101" s="50"/>
      <c r="H101" s="50"/>
      <c r="I101" s="50"/>
      <c r="J101" s="50"/>
      <c r="K101" s="50"/>
      <c r="L101" s="50"/>
      <c r="M101" s="50"/>
      <c r="N101" s="50"/>
      <c r="O101" s="50"/>
      <c r="P101" s="50"/>
      <c r="Q101" s="50"/>
      <c r="R101" s="50"/>
      <c r="S101" s="50"/>
      <c r="T101" s="50"/>
      <c r="U101" s="50"/>
      <c r="V101" s="50"/>
      <c r="W101" s="50"/>
      <c r="X101" s="50"/>
      <c r="Y101" s="50"/>
      <c r="Z101" s="43" t="str">
        <f t="shared" si="1"/>
        <v>Очікую</v>
      </c>
      <c r="AA101" s="22"/>
      <c r="AB101" s="40"/>
    </row>
    <row r="102" spans="1:28" s="11" customFormat="1" ht="15" customHeight="1" x14ac:dyDescent="0.25">
      <c r="A102" s="41"/>
      <c r="B102" s="12"/>
      <c r="C102" s="48"/>
      <c r="D102" s="48">
        <v>93</v>
      </c>
      <c r="E102" s="49"/>
      <c r="F102" s="50"/>
      <c r="G102" s="50"/>
      <c r="H102" s="50"/>
      <c r="I102" s="50"/>
      <c r="J102" s="50"/>
      <c r="K102" s="50"/>
      <c r="L102" s="50"/>
      <c r="M102" s="50"/>
      <c r="N102" s="50"/>
      <c r="O102" s="50"/>
      <c r="P102" s="50"/>
      <c r="Q102" s="50"/>
      <c r="R102" s="50"/>
      <c r="S102" s="50"/>
      <c r="T102" s="50"/>
      <c r="U102" s="50"/>
      <c r="V102" s="50"/>
      <c r="W102" s="50"/>
      <c r="X102" s="50"/>
      <c r="Y102" s="50"/>
      <c r="Z102" s="43" t="str">
        <f t="shared" si="1"/>
        <v>Очікую</v>
      </c>
      <c r="AA102" s="22"/>
      <c r="AB102" s="40"/>
    </row>
    <row r="103" spans="1:28" s="11" customFormat="1" ht="15" customHeight="1" x14ac:dyDescent="0.25">
      <c r="A103" s="41"/>
      <c r="B103" s="12"/>
      <c r="C103" s="48"/>
      <c r="D103" s="48">
        <v>94</v>
      </c>
      <c r="E103" s="49"/>
      <c r="F103" s="50"/>
      <c r="G103" s="50"/>
      <c r="H103" s="50"/>
      <c r="I103" s="50"/>
      <c r="J103" s="50"/>
      <c r="K103" s="50"/>
      <c r="L103" s="50"/>
      <c r="M103" s="50"/>
      <c r="N103" s="50"/>
      <c r="O103" s="50"/>
      <c r="P103" s="50"/>
      <c r="Q103" s="50"/>
      <c r="R103" s="50"/>
      <c r="S103" s="50"/>
      <c r="T103" s="50"/>
      <c r="U103" s="50"/>
      <c r="V103" s="50"/>
      <c r="W103" s="50"/>
      <c r="X103" s="50"/>
      <c r="Y103" s="50"/>
      <c r="Z103" s="43" t="str">
        <f t="shared" si="1"/>
        <v>Очікую</v>
      </c>
      <c r="AA103" s="22"/>
      <c r="AB103" s="40"/>
    </row>
    <row r="104" spans="1:28" s="11" customFormat="1" ht="15" customHeight="1" x14ac:dyDescent="0.25">
      <c r="A104" s="41"/>
      <c r="B104" s="12"/>
      <c r="C104" s="48"/>
      <c r="D104" s="48">
        <v>95</v>
      </c>
      <c r="E104" s="49"/>
      <c r="F104" s="50"/>
      <c r="G104" s="50"/>
      <c r="H104" s="50"/>
      <c r="I104" s="50"/>
      <c r="J104" s="50"/>
      <c r="K104" s="50"/>
      <c r="L104" s="50"/>
      <c r="M104" s="50"/>
      <c r="N104" s="50"/>
      <c r="O104" s="50"/>
      <c r="P104" s="50"/>
      <c r="Q104" s="50"/>
      <c r="R104" s="50"/>
      <c r="S104" s="50"/>
      <c r="T104" s="50"/>
      <c r="U104" s="50"/>
      <c r="V104" s="50"/>
      <c r="W104" s="50"/>
      <c r="X104" s="50"/>
      <c r="Y104" s="50"/>
      <c r="Z104" s="43" t="str">
        <f t="shared" si="1"/>
        <v>Очікую</v>
      </c>
      <c r="AA104" s="22"/>
      <c r="AB104" s="40"/>
    </row>
    <row r="105" spans="1:28" s="11" customFormat="1" ht="15" customHeight="1" x14ac:dyDescent="0.25">
      <c r="A105" s="41"/>
      <c r="B105" s="12"/>
      <c r="C105" s="48"/>
      <c r="D105" s="48">
        <v>96</v>
      </c>
      <c r="E105" s="49"/>
      <c r="F105" s="50"/>
      <c r="G105" s="50"/>
      <c r="H105" s="50"/>
      <c r="I105" s="50"/>
      <c r="J105" s="50"/>
      <c r="K105" s="50"/>
      <c r="L105" s="50"/>
      <c r="M105" s="50"/>
      <c r="N105" s="50"/>
      <c r="O105" s="50"/>
      <c r="P105" s="50"/>
      <c r="Q105" s="50"/>
      <c r="R105" s="50"/>
      <c r="S105" s="50"/>
      <c r="T105" s="50"/>
      <c r="U105" s="50"/>
      <c r="V105" s="50"/>
      <c r="W105" s="50"/>
      <c r="X105" s="50"/>
      <c r="Y105" s="50"/>
      <c r="Z105" s="43" t="str">
        <f t="shared" si="1"/>
        <v>Очікую</v>
      </c>
      <c r="AA105" s="22"/>
      <c r="AB105" s="40"/>
    </row>
    <row r="106" spans="1:28" s="11" customFormat="1" ht="15" customHeight="1" x14ac:dyDescent="0.25">
      <c r="A106" s="41"/>
      <c r="B106" s="12"/>
      <c r="C106" s="48"/>
      <c r="D106" s="48">
        <v>97</v>
      </c>
      <c r="E106" s="49"/>
      <c r="F106" s="50"/>
      <c r="G106" s="50"/>
      <c r="H106" s="50"/>
      <c r="I106" s="50"/>
      <c r="J106" s="50"/>
      <c r="K106" s="50"/>
      <c r="L106" s="50"/>
      <c r="M106" s="50"/>
      <c r="N106" s="50"/>
      <c r="O106" s="50"/>
      <c r="P106" s="50"/>
      <c r="Q106" s="50"/>
      <c r="R106" s="50"/>
      <c r="S106" s="50"/>
      <c r="T106" s="50"/>
      <c r="U106" s="50"/>
      <c r="V106" s="50"/>
      <c r="W106" s="50"/>
      <c r="X106" s="50"/>
      <c r="Y106" s="50"/>
      <c r="Z106" s="43" t="str">
        <f t="shared" si="1"/>
        <v>Очікую</v>
      </c>
      <c r="AA106" s="22"/>
      <c r="AB106" s="40"/>
    </row>
    <row r="107" spans="1:28" s="11" customFormat="1" ht="15" customHeight="1" x14ac:dyDescent="0.25">
      <c r="A107" s="41"/>
      <c r="B107" s="12"/>
      <c r="C107" s="48"/>
      <c r="D107" s="48">
        <v>98</v>
      </c>
      <c r="E107" s="49"/>
      <c r="F107" s="50"/>
      <c r="G107" s="50"/>
      <c r="H107" s="50"/>
      <c r="I107" s="50"/>
      <c r="J107" s="50"/>
      <c r="K107" s="50"/>
      <c r="L107" s="50"/>
      <c r="M107" s="50"/>
      <c r="N107" s="50"/>
      <c r="O107" s="50"/>
      <c r="P107" s="50"/>
      <c r="Q107" s="50"/>
      <c r="R107" s="50"/>
      <c r="S107" s="50"/>
      <c r="T107" s="50"/>
      <c r="U107" s="50"/>
      <c r="V107" s="50"/>
      <c r="W107" s="50"/>
      <c r="X107" s="50"/>
      <c r="Y107" s="50"/>
      <c r="Z107" s="43" t="str">
        <f t="shared" si="1"/>
        <v>Очікую</v>
      </c>
      <c r="AA107" s="22"/>
      <c r="AB107" s="40"/>
    </row>
    <row r="108" spans="1:28" s="11" customFormat="1" ht="15" customHeight="1" x14ac:dyDescent="0.25">
      <c r="A108" s="41"/>
      <c r="B108" s="12"/>
      <c r="C108" s="48"/>
      <c r="D108" s="48">
        <v>99</v>
      </c>
      <c r="E108" s="49"/>
      <c r="F108" s="50"/>
      <c r="G108" s="50"/>
      <c r="H108" s="50"/>
      <c r="I108" s="50"/>
      <c r="J108" s="50"/>
      <c r="K108" s="50"/>
      <c r="L108" s="50"/>
      <c r="M108" s="50"/>
      <c r="N108" s="50"/>
      <c r="O108" s="50"/>
      <c r="P108" s="50"/>
      <c r="Q108" s="50"/>
      <c r="R108" s="50"/>
      <c r="S108" s="50"/>
      <c r="T108" s="50"/>
      <c r="U108" s="50"/>
      <c r="V108" s="50"/>
      <c r="W108" s="50"/>
      <c r="X108" s="50"/>
      <c r="Y108" s="50"/>
      <c r="Z108" s="43" t="str">
        <f t="shared" si="1"/>
        <v>Очікую</v>
      </c>
      <c r="AA108" s="22"/>
      <c r="AB108" s="40"/>
    </row>
    <row r="109" spans="1:28" s="11" customFormat="1" ht="15" customHeight="1" x14ac:dyDescent="0.25">
      <c r="A109" s="41"/>
      <c r="B109" s="12"/>
      <c r="C109" s="48"/>
      <c r="D109" s="48">
        <v>100</v>
      </c>
      <c r="E109" s="49"/>
      <c r="F109" s="50"/>
      <c r="G109" s="50"/>
      <c r="H109" s="50"/>
      <c r="I109" s="50"/>
      <c r="J109" s="50"/>
      <c r="K109" s="50"/>
      <c r="L109" s="50"/>
      <c r="M109" s="50"/>
      <c r="N109" s="50"/>
      <c r="O109" s="50"/>
      <c r="P109" s="50"/>
      <c r="Q109" s="50"/>
      <c r="R109" s="50"/>
      <c r="S109" s="50"/>
      <c r="T109" s="50"/>
      <c r="U109" s="50"/>
      <c r="V109" s="50"/>
      <c r="W109" s="50"/>
      <c r="X109" s="50"/>
      <c r="Y109" s="50"/>
      <c r="Z109" s="43" t="str">
        <f t="shared" si="1"/>
        <v>Очікую</v>
      </c>
      <c r="AA109" s="22"/>
      <c r="AB109" s="40"/>
    </row>
    <row r="110" spans="1:28" ht="15" customHeight="1" x14ac:dyDescent="0.25">
      <c r="A110" s="41"/>
      <c r="B110" s="12"/>
      <c r="C110" s="6"/>
      <c r="D110" s="6"/>
      <c r="E110" s="7" t="s">
        <v>4</v>
      </c>
      <c r="F110" s="8" t="str">
        <f>IF(SUM(F10:F109)=0,IF(COUNTA(F10:F109)=0,"Очікую",0),SUM(F10:F109)/$D109)</f>
        <v>Очікую</v>
      </c>
      <c r="G110" s="8" t="str">
        <f t="shared" ref="G110:Y110" si="2">IF(SUM(G10:G109)=0,IF(COUNTA(G10:G109)=0,"Очікую",0),SUM(G10:G109)/$D109)</f>
        <v>Очікую</v>
      </c>
      <c r="H110" s="8" t="str">
        <f t="shared" si="2"/>
        <v>Очікую</v>
      </c>
      <c r="I110" s="8" t="str">
        <f t="shared" si="2"/>
        <v>Очікую</v>
      </c>
      <c r="J110" s="8" t="str">
        <f t="shared" si="2"/>
        <v>Очікую</v>
      </c>
      <c r="K110" s="8" t="str">
        <f t="shared" si="2"/>
        <v>Очікую</v>
      </c>
      <c r="L110" s="8" t="str">
        <f t="shared" si="2"/>
        <v>Очікую</v>
      </c>
      <c r="M110" s="8" t="str">
        <f t="shared" si="2"/>
        <v>Очікую</v>
      </c>
      <c r="N110" s="8" t="str">
        <f t="shared" si="2"/>
        <v>Очікую</v>
      </c>
      <c r="O110" s="8" t="str">
        <f t="shared" si="2"/>
        <v>Очікую</v>
      </c>
      <c r="P110" s="8" t="str">
        <f t="shared" si="2"/>
        <v>Очікую</v>
      </c>
      <c r="Q110" s="8" t="str">
        <f t="shared" si="2"/>
        <v>Очікую</v>
      </c>
      <c r="R110" s="8" t="str">
        <f t="shared" si="2"/>
        <v>Очікую</v>
      </c>
      <c r="S110" s="8" t="str">
        <f t="shared" si="2"/>
        <v>Очікую</v>
      </c>
      <c r="T110" s="8" t="str">
        <f t="shared" si="2"/>
        <v>Очікую</v>
      </c>
      <c r="U110" s="8" t="str">
        <f t="shared" si="2"/>
        <v>Очікую</v>
      </c>
      <c r="V110" s="8" t="str">
        <f t="shared" si="2"/>
        <v>Очікую</v>
      </c>
      <c r="W110" s="8" t="str">
        <f t="shared" si="2"/>
        <v>Очікую</v>
      </c>
      <c r="X110" s="8" t="str">
        <f t="shared" si="2"/>
        <v>Очікую</v>
      </c>
      <c r="Y110" s="8" t="str">
        <f t="shared" si="2"/>
        <v>Очікую</v>
      </c>
      <c r="Z110" s="9" t="str">
        <f>IFERROR(AVERAGE(F110:Y110),"Очікую")</f>
        <v>Очікую</v>
      </c>
      <c r="AA110" s="20"/>
      <c r="AB110" s="40"/>
    </row>
    <row r="111" spans="1:28" ht="15" customHeight="1" x14ac:dyDescent="0.25">
      <c r="A111" s="41"/>
      <c r="B111" s="12"/>
      <c r="C111" s="6"/>
      <c r="D111" s="6"/>
      <c r="E111" s="7" t="s">
        <v>5</v>
      </c>
      <c r="F111" s="44" t="str">
        <f>IF(SUM(F10:F109)=0,IF(COUNTA(F10:F109)=0,"Очікую",0),IF(COUNTIF(F10:F109,"&gt;=4")=0,0,COUNTIF(F10:F109,"&gt;=4")/$D109*100))</f>
        <v>Очікую</v>
      </c>
      <c r="G111" s="44" t="str">
        <f t="shared" ref="G111:Y111" si="3">IF(SUM(G10:G109)=0,IF(COUNTA(G10:G109)=0,"Очікую",0),IF(COUNTIF(G10:G109,"&gt;=4")=0,0,COUNTIF(G10:G109,"&gt;=4")/$D109*100))</f>
        <v>Очікую</v>
      </c>
      <c r="H111" s="44" t="str">
        <f t="shared" si="3"/>
        <v>Очікую</v>
      </c>
      <c r="I111" s="44" t="str">
        <f t="shared" si="3"/>
        <v>Очікую</v>
      </c>
      <c r="J111" s="44" t="str">
        <f t="shared" si="3"/>
        <v>Очікую</v>
      </c>
      <c r="K111" s="44" t="str">
        <f t="shared" si="3"/>
        <v>Очікую</v>
      </c>
      <c r="L111" s="44" t="str">
        <f t="shared" si="3"/>
        <v>Очікую</v>
      </c>
      <c r="M111" s="44" t="str">
        <f t="shared" si="3"/>
        <v>Очікую</v>
      </c>
      <c r="N111" s="44" t="str">
        <f t="shared" si="3"/>
        <v>Очікую</v>
      </c>
      <c r="O111" s="44" t="str">
        <f t="shared" si="3"/>
        <v>Очікую</v>
      </c>
      <c r="P111" s="44" t="str">
        <f t="shared" si="3"/>
        <v>Очікую</v>
      </c>
      <c r="Q111" s="44" t="str">
        <f t="shared" si="3"/>
        <v>Очікую</v>
      </c>
      <c r="R111" s="44" t="str">
        <f t="shared" si="3"/>
        <v>Очікую</v>
      </c>
      <c r="S111" s="44" t="str">
        <f t="shared" si="3"/>
        <v>Очікую</v>
      </c>
      <c r="T111" s="44" t="str">
        <f t="shared" si="3"/>
        <v>Очікую</v>
      </c>
      <c r="U111" s="44" t="str">
        <f t="shared" si="3"/>
        <v>Очікую</v>
      </c>
      <c r="V111" s="44" t="str">
        <f t="shared" si="3"/>
        <v>Очікую</v>
      </c>
      <c r="W111" s="44" t="str">
        <f t="shared" si="3"/>
        <v>Очікую</v>
      </c>
      <c r="X111" s="44" t="str">
        <f t="shared" si="3"/>
        <v>Очікую</v>
      </c>
      <c r="Y111" s="44" t="str">
        <f t="shared" si="3"/>
        <v>Очікую</v>
      </c>
      <c r="Z111" s="6"/>
      <c r="AA111" s="20"/>
      <c r="AB111" s="40"/>
    </row>
    <row r="112" spans="1:28" ht="15" customHeight="1" x14ac:dyDescent="0.25">
      <c r="A112" s="41"/>
      <c r="B112" s="12"/>
      <c r="C112" s="6"/>
      <c r="D112" s="6"/>
      <c r="E112" s="7" t="s">
        <v>6</v>
      </c>
      <c r="F112" s="44" t="str">
        <f>IF(SUM(F10:F109)=0,IF(COUNTA(F10:F109)=0,"Очікую",0),IF(COUNTIF(F10:F109,"&gt;=7")=0,0,COUNTIF(F10:F109,"&gt;=7")/$D109*100))</f>
        <v>Очікую</v>
      </c>
      <c r="G112" s="44" t="str">
        <f t="shared" ref="G112:Y112" si="4">IF(SUM(G10:G109)=0,IF(COUNTA(G10:G109)=0,"Очікую",0),IF(COUNTIF(G10:G109,"&gt;=7")=0,0,COUNTIF(G10:G109,"&gt;=7")/$D109*100))</f>
        <v>Очікую</v>
      </c>
      <c r="H112" s="44" t="str">
        <f t="shared" si="4"/>
        <v>Очікую</v>
      </c>
      <c r="I112" s="44" t="str">
        <f t="shared" si="4"/>
        <v>Очікую</v>
      </c>
      <c r="J112" s="44" t="str">
        <f t="shared" si="4"/>
        <v>Очікую</v>
      </c>
      <c r="K112" s="44" t="str">
        <f t="shared" si="4"/>
        <v>Очікую</v>
      </c>
      <c r="L112" s="44" t="str">
        <f t="shared" si="4"/>
        <v>Очікую</v>
      </c>
      <c r="M112" s="44" t="str">
        <f>IF(SUM(M10:M109)=0,IF(COUNTA(M10:M109)=0,"Очікую",0),IF(COUNTIF(M10:M109,"&gt;=7")=0,0,COUNTIF(M10:M109,"&gt;=7")/$D109*100))</f>
        <v>Очікую</v>
      </c>
      <c r="N112" s="44" t="str">
        <f t="shared" si="4"/>
        <v>Очікую</v>
      </c>
      <c r="O112" s="44" t="str">
        <f t="shared" si="4"/>
        <v>Очікую</v>
      </c>
      <c r="P112" s="44" t="str">
        <f t="shared" si="4"/>
        <v>Очікую</v>
      </c>
      <c r="Q112" s="44" t="str">
        <f t="shared" si="4"/>
        <v>Очікую</v>
      </c>
      <c r="R112" s="44" t="str">
        <f t="shared" si="4"/>
        <v>Очікую</v>
      </c>
      <c r="S112" s="44" t="str">
        <f t="shared" si="4"/>
        <v>Очікую</v>
      </c>
      <c r="T112" s="44" t="str">
        <f t="shared" si="4"/>
        <v>Очікую</v>
      </c>
      <c r="U112" s="44" t="str">
        <f t="shared" si="4"/>
        <v>Очікую</v>
      </c>
      <c r="V112" s="44" t="str">
        <f t="shared" si="4"/>
        <v>Очікую</v>
      </c>
      <c r="W112" s="44" t="str">
        <f t="shared" si="4"/>
        <v>Очікую</v>
      </c>
      <c r="X112" s="44" t="str">
        <f t="shared" si="4"/>
        <v>Очікую</v>
      </c>
      <c r="Y112" s="44" t="str">
        <f t="shared" si="4"/>
        <v>Очікую</v>
      </c>
      <c r="Z112" s="6"/>
      <c r="AA112" s="20"/>
      <c r="AB112" s="40"/>
    </row>
    <row r="113" spans="1:28" ht="15" customHeight="1" x14ac:dyDescent="0.25">
      <c r="A113" s="41"/>
      <c r="B113" s="12"/>
      <c r="C113" s="6"/>
      <c r="D113" s="6"/>
      <c r="E113" s="7" t="s">
        <v>7</v>
      </c>
      <c r="F113" s="8" t="str">
        <f>IFERROR(AVERAGE(F111:Y111),"Очікую")</f>
        <v>Очікую</v>
      </c>
      <c r="G113" s="6"/>
      <c r="H113" s="6"/>
      <c r="I113" s="6"/>
      <c r="J113" s="6"/>
      <c r="K113" s="6"/>
      <c r="L113" s="6"/>
      <c r="M113" s="6"/>
      <c r="N113" s="6"/>
      <c r="O113" s="6"/>
      <c r="P113" s="6"/>
      <c r="Q113" s="6"/>
      <c r="R113" s="6"/>
      <c r="S113" s="6"/>
      <c r="T113" s="6"/>
      <c r="U113" s="6"/>
      <c r="V113" s="6"/>
      <c r="W113" s="6"/>
      <c r="X113" s="6"/>
      <c r="Y113" s="6"/>
      <c r="Z113" s="6"/>
      <c r="AA113" s="20"/>
      <c r="AB113" s="40"/>
    </row>
    <row r="114" spans="1:28" ht="15" customHeight="1" x14ac:dyDescent="0.25">
      <c r="A114" s="41"/>
      <c r="B114" s="12"/>
      <c r="C114" s="6"/>
      <c r="D114" s="6"/>
      <c r="E114" s="7" t="s">
        <v>8</v>
      </c>
      <c r="F114" s="8" t="str">
        <f>IFERROR(AVERAGE(F112:Y112),"Очікую")</f>
        <v>Очікую</v>
      </c>
      <c r="G114" s="6"/>
      <c r="H114" s="6"/>
      <c r="I114" s="6"/>
      <c r="J114" s="6"/>
      <c r="K114" s="6"/>
      <c r="L114" s="6"/>
      <c r="M114" s="6"/>
      <c r="N114" s="6"/>
      <c r="O114" s="6"/>
      <c r="P114" s="6"/>
      <c r="Q114" s="6"/>
      <c r="R114" s="6"/>
      <c r="S114" s="6"/>
      <c r="T114" s="6"/>
      <c r="U114" s="6"/>
      <c r="V114" s="6"/>
      <c r="W114" s="6"/>
      <c r="X114" s="6"/>
      <c r="Y114" s="6"/>
      <c r="Z114" s="6"/>
      <c r="AA114" s="20"/>
      <c r="AB114" s="40"/>
    </row>
    <row r="115" spans="1:28" ht="15" customHeight="1" x14ac:dyDescent="0.25">
      <c r="A115" s="41"/>
      <c r="B115" s="12"/>
      <c r="C115" s="6"/>
      <c r="D115" s="6"/>
      <c r="E115" s="7" t="s">
        <v>9</v>
      </c>
      <c r="F115" s="5" t="str">
        <f>IF(COUNTIF(C10:C109,"=Б")=0,IF(COUNTIF(C10:C109,"=К")=0,"Очікую",0),COUNTIF(C10:C109,"=Б"))</f>
        <v>Очікую</v>
      </c>
      <c r="G115" s="6"/>
      <c r="H115" s="6"/>
      <c r="I115" s="6"/>
      <c r="J115" s="6"/>
      <c r="K115" s="6"/>
      <c r="L115" s="6"/>
      <c r="M115" s="6"/>
      <c r="N115" s="6"/>
      <c r="O115" s="6"/>
      <c r="P115" s="6"/>
      <c r="Q115" s="6"/>
      <c r="R115" s="6"/>
      <c r="S115" s="6"/>
      <c r="T115" s="6"/>
      <c r="U115" s="6"/>
      <c r="V115" s="6"/>
      <c r="W115" s="60"/>
      <c r="X115" s="60"/>
      <c r="Y115" s="60"/>
      <c r="Z115" s="60"/>
      <c r="AA115" s="20"/>
      <c r="AB115" s="40"/>
    </row>
    <row r="116" spans="1:28" ht="15" customHeight="1" x14ac:dyDescent="0.3">
      <c r="A116" s="41"/>
      <c r="B116" s="12"/>
      <c r="C116" s="6"/>
      <c r="D116" s="6"/>
      <c r="E116" s="7" t="s">
        <v>10</v>
      </c>
      <c r="F116" s="5" t="str">
        <f>IF(COUNTIF(C10:C109,"=К")=0,IF(COUNTIF(C10:C109,"=Б")=0,"Очікую",0),COUNTIF(C10:C109,"=К"))</f>
        <v>Очікую</v>
      </c>
      <c r="G116" s="6"/>
      <c r="H116" s="63" t="s">
        <v>11</v>
      </c>
      <c r="I116" s="6"/>
      <c r="J116" s="6"/>
      <c r="K116" s="6"/>
      <c r="L116" s="6"/>
      <c r="M116" s="6"/>
      <c r="N116" s="63"/>
      <c r="O116" s="63"/>
      <c r="P116" s="63"/>
      <c r="Q116" s="63"/>
      <c r="R116" s="6"/>
      <c r="S116" s="6"/>
      <c r="T116" s="6"/>
      <c r="U116" s="64"/>
      <c r="V116" s="62"/>
      <c r="W116" s="62"/>
      <c r="X116" s="62"/>
      <c r="Y116" s="62"/>
      <c r="Z116" s="62"/>
      <c r="AA116" s="20"/>
      <c r="AB116" s="40"/>
    </row>
    <row r="117" spans="1:28" ht="15" customHeight="1" x14ac:dyDescent="0.25">
      <c r="A117" s="41"/>
      <c r="B117" s="12"/>
      <c r="C117" s="6"/>
      <c r="D117" s="6"/>
      <c r="E117" s="7" t="s">
        <v>12</v>
      </c>
      <c r="F117" s="4"/>
      <c r="G117" s="6"/>
      <c r="H117" s="63"/>
      <c r="I117" s="6"/>
      <c r="J117" s="6"/>
      <c r="K117" s="6"/>
      <c r="L117" s="6"/>
      <c r="M117" s="6"/>
      <c r="N117" s="63"/>
      <c r="O117" s="63"/>
      <c r="P117" s="63"/>
      <c r="Q117" s="63"/>
      <c r="R117" s="6"/>
      <c r="S117" s="6"/>
      <c r="T117" s="6"/>
      <c r="U117" s="64"/>
      <c r="V117" s="60"/>
      <c r="W117" s="60"/>
      <c r="X117" s="60"/>
      <c r="Y117" s="60"/>
      <c r="Z117" s="60"/>
      <c r="AA117" s="20"/>
      <c r="AB117" s="40"/>
    </row>
    <row r="118" spans="1:28" ht="15" customHeight="1" x14ac:dyDescent="0.3">
      <c r="A118" s="41"/>
      <c r="B118" s="12"/>
      <c r="C118" s="6"/>
      <c r="D118" s="6"/>
      <c r="E118" s="7" t="s">
        <v>13</v>
      </c>
      <c r="F118" s="5" t="str">
        <f>IF(F115="Очікую","Очікую",IF(F115-COUNTIF(Z10:Z109," - ")&lt;ROUNDDOWN(F115*0.4,0),F115-COUNTIF(Z10:Z109," - "),ROUNDDOWN(F115*0.4,0)))</f>
        <v>Очікую</v>
      </c>
      <c r="G118" s="6"/>
      <c r="H118" s="64" t="s">
        <v>14</v>
      </c>
      <c r="I118" s="6"/>
      <c r="J118" s="6"/>
      <c r="K118" s="6"/>
      <c r="L118" s="6"/>
      <c r="M118" s="6"/>
      <c r="N118" s="64"/>
      <c r="O118" s="64"/>
      <c r="P118" s="64"/>
      <c r="Q118" s="64"/>
      <c r="R118" s="6"/>
      <c r="S118" s="6"/>
      <c r="T118" s="6"/>
      <c r="U118" s="64"/>
      <c r="V118" s="62"/>
      <c r="W118" s="62"/>
      <c r="X118" s="62"/>
      <c r="Y118" s="62"/>
      <c r="Z118" s="62"/>
      <c r="AA118" s="20"/>
      <c r="AB118" s="40"/>
    </row>
    <row r="119" spans="1:28" ht="12" customHeight="1" thickBot="1" x14ac:dyDescent="0.3">
      <c r="A119" s="41"/>
      <c r="B119" s="21"/>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5"/>
      <c r="AB119" s="40"/>
    </row>
    <row r="120" spans="1:28" ht="12" customHeight="1" x14ac:dyDescent="0.25">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c r="AA120" s="39"/>
      <c r="AB120" s="40"/>
    </row>
  </sheetData>
  <sheetProtection insertRows="0" deleteRows="0"/>
  <mergeCells count="10">
    <mergeCell ref="C8:C9"/>
    <mergeCell ref="D8:D9"/>
    <mergeCell ref="E8:E9"/>
    <mergeCell ref="F8:Y8"/>
    <mergeCell ref="Z8:Z9"/>
    <mergeCell ref="C3:Z3"/>
    <mergeCell ref="C4:Z4"/>
    <mergeCell ref="C5:Z5"/>
    <mergeCell ref="C6:Z6"/>
    <mergeCell ref="C7:Z7"/>
  </mergeCells>
  <printOptions horizontalCentered="1"/>
  <pageMargins left="0.19685039370078741" right="0.19685039370078741" top="0.19685039370078741" bottom="0.19685039370078741" header="0" footer="0"/>
  <pageSetup paperSize="9" scale="3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70C0"/>
    <pageSetUpPr fitToPage="1"/>
  </sheetPr>
  <dimension ref="A1:BP120"/>
  <sheetViews>
    <sheetView zoomScaleNormal="100" workbookViewId="0"/>
  </sheetViews>
  <sheetFormatPr defaultColWidth="0" defaultRowHeight="0" customHeight="1" zeroHeight="1" x14ac:dyDescent="0.25"/>
  <cols>
    <col min="1" max="2" width="2.7109375" style="1" customWidth="1"/>
    <col min="3" max="3" width="4.140625" style="1" customWidth="1"/>
    <col min="4" max="4" width="6.5703125" style="1" customWidth="1"/>
    <col min="5" max="5" width="40.42578125" style="1" customWidth="1"/>
    <col min="6" max="25" width="6.7109375" style="1" customWidth="1"/>
    <col min="26" max="26" width="11.28515625" style="1" customWidth="1"/>
    <col min="27" max="28" width="2.7109375" style="1" customWidth="1"/>
    <col min="29" max="34" width="14.42578125" style="1" hidden="1" customWidth="1"/>
    <col min="35" max="35" width="14.85546875" style="1" hidden="1" customWidth="1"/>
    <col min="36" max="49" width="3.7109375" style="1" hidden="1" customWidth="1"/>
    <col min="50" max="68" width="5.7109375" style="1" hidden="1" customWidth="1"/>
    <col min="69" max="16384" width="14.42578125" style="1" hidden="1"/>
  </cols>
  <sheetData>
    <row r="1" spans="1:28" ht="12" customHeight="1" thickBot="1" x14ac:dyDescent="0.3">
      <c r="A1" s="38" t="s">
        <v>18</v>
      </c>
      <c r="B1" s="39"/>
      <c r="C1" s="39"/>
      <c r="D1" s="39"/>
      <c r="E1" s="39"/>
      <c r="F1" s="39"/>
      <c r="G1" s="39"/>
      <c r="H1" s="39"/>
      <c r="I1" s="39"/>
      <c r="J1" s="39"/>
      <c r="K1" s="39"/>
      <c r="L1" s="39"/>
      <c r="M1" s="39"/>
      <c r="N1" s="39"/>
      <c r="O1" s="39"/>
      <c r="P1" s="39"/>
      <c r="Q1" s="39"/>
      <c r="R1" s="39"/>
      <c r="S1" s="39"/>
      <c r="T1" s="39"/>
      <c r="U1" s="39"/>
      <c r="V1" s="39"/>
      <c r="W1" s="39"/>
      <c r="X1" s="39"/>
      <c r="Y1" s="39"/>
      <c r="Z1" s="39"/>
      <c r="AA1" s="39"/>
      <c r="AB1" s="39"/>
    </row>
    <row r="2" spans="1:28" ht="12" customHeight="1" x14ac:dyDescent="0.25">
      <c r="A2" s="41"/>
      <c r="B2" s="17"/>
      <c r="C2" s="18"/>
      <c r="D2" s="18"/>
      <c r="E2" s="18"/>
      <c r="F2" s="18"/>
      <c r="G2" s="18"/>
      <c r="H2" s="18"/>
      <c r="I2" s="18"/>
      <c r="J2" s="18"/>
      <c r="K2" s="18"/>
      <c r="L2" s="18"/>
      <c r="M2" s="18"/>
      <c r="N2" s="18"/>
      <c r="O2" s="18"/>
      <c r="P2" s="18"/>
      <c r="Q2" s="18"/>
      <c r="R2" s="18"/>
      <c r="S2" s="18"/>
      <c r="T2" s="18"/>
      <c r="U2" s="18"/>
      <c r="V2" s="18"/>
      <c r="W2" s="18"/>
      <c r="X2" s="18"/>
      <c r="Y2" s="18"/>
      <c r="Z2" s="18"/>
      <c r="AA2" s="19"/>
      <c r="AB2" s="40"/>
    </row>
    <row r="3" spans="1:28" s="2" customFormat="1" ht="54.95" customHeight="1" x14ac:dyDescent="0.3">
      <c r="A3" s="41"/>
      <c r="B3" s="12"/>
      <c r="C3" s="70" t="s">
        <v>19</v>
      </c>
      <c r="D3" s="70"/>
      <c r="E3" s="70"/>
      <c r="F3" s="70"/>
      <c r="G3" s="70"/>
      <c r="H3" s="70"/>
      <c r="I3" s="70"/>
      <c r="J3" s="70"/>
      <c r="K3" s="70"/>
      <c r="L3" s="70"/>
      <c r="M3" s="70"/>
      <c r="N3" s="70"/>
      <c r="O3" s="70"/>
      <c r="P3" s="70"/>
      <c r="Q3" s="70"/>
      <c r="R3" s="70"/>
      <c r="S3" s="70"/>
      <c r="T3" s="70"/>
      <c r="U3" s="70"/>
      <c r="V3" s="70"/>
      <c r="W3" s="70"/>
      <c r="X3" s="70"/>
      <c r="Y3" s="70"/>
      <c r="Z3" s="70"/>
      <c r="AA3" s="20"/>
      <c r="AB3" s="40"/>
    </row>
    <row r="4" spans="1:28" s="3" customFormat="1" ht="15" customHeight="1" x14ac:dyDescent="0.25">
      <c r="A4" s="41"/>
      <c r="B4" s="12"/>
      <c r="C4" s="71" t="s">
        <v>16</v>
      </c>
      <c r="D4" s="71"/>
      <c r="E4" s="71"/>
      <c r="F4" s="71"/>
      <c r="G4" s="71"/>
      <c r="H4" s="71"/>
      <c r="I4" s="71"/>
      <c r="J4" s="71"/>
      <c r="K4" s="71"/>
      <c r="L4" s="71"/>
      <c r="M4" s="71"/>
      <c r="N4" s="71"/>
      <c r="O4" s="71"/>
      <c r="P4" s="71"/>
      <c r="Q4" s="71"/>
      <c r="R4" s="71"/>
      <c r="S4" s="71"/>
      <c r="T4" s="71"/>
      <c r="U4" s="71"/>
      <c r="V4" s="71"/>
      <c r="W4" s="71"/>
      <c r="X4" s="71"/>
      <c r="Y4" s="71"/>
      <c r="Z4" s="71"/>
      <c r="AA4" s="20"/>
      <c r="AB4" s="40"/>
    </row>
    <row r="5" spans="1:28" s="2" customFormat="1" ht="15" customHeight="1" x14ac:dyDescent="0.25">
      <c r="A5" s="41"/>
      <c r="B5" s="12"/>
      <c r="C5" s="72" t="s">
        <v>20</v>
      </c>
      <c r="D5" s="72"/>
      <c r="E5" s="72"/>
      <c r="F5" s="72"/>
      <c r="G5" s="72"/>
      <c r="H5" s="72"/>
      <c r="I5" s="72"/>
      <c r="J5" s="72"/>
      <c r="K5" s="72"/>
      <c r="L5" s="72"/>
      <c r="M5" s="72"/>
      <c r="N5" s="72"/>
      <c r="O5" s="72"/>
      <c r="P5" s="72"/>
      <c r="Q5" s="72"/>
      <c r="R5" s="72"/>
      <c r="S5" s="72"/>
      <c r="T5" s="72"/>
      <c r="U5" s="72"/>
      <c r="V5" s="72"/>
      <c r="W5" s="72"/>
      <c r="X5" s="72"/>
      <c r="Y5" s="72"/>
      <c r="Z5" s="72"/>
      <c r="AA5" s="20"/>
      <c r="AB5" s="40"/>
    </row>
    <row r="6" spans="1:28" s="2" customFormat="1" ht="15" customHeight="1" x14ac:dyDescent="0.25">
      <c r="A6" s="41"/>
      <c r="B6" s="12"/>
      <c r="C6" s="72" t="s">
        <v>22</v>
      </c>
      <c r="D6" s="72"/>
      <c r="E6" s="72"/>
      <c r="F6" s="72"/>
      <c r="G6" s="72"/>
      <c r="H6" s="72"/>
      <c r="I6" s="72"/>
      <c r="J6" s="72"/>
      <c r="K6" s="72"/>
      <c r="L6" s="72"/>
      <c r="M6" s="72"/>
      <c r="N6" s="72"/>
      <c r="O6" s="72"/>
      <c r="P6" s="72"/>
      <c r="Q6" s="72"/>
      <c r="R6" s="72"/>
      <c r="S6" s="72"/>
      <c r="T6" s="72"/>
      <c r="U6" s="72"/>
      <c r="V6" s="72"/>
      <c r="W6" s="72"/>
      <c r="X6" s="72"/>
      <c r="Y6" s="72"/>
      <c r="Z6" s="72"/>
      <c r="AA6" s="20"/>
      <c r="AB6" s="40"/>
    </row>
    <row r="7" spans="1:28" s="2" customFormat="1" ht="15" customHeight="1" x14ac:dyDescent="0.25">
      <c r="A7" s="41"/>
      <c r="B7" s="12"/>
      <c r="C7" s="73" t="s">
        <v>21</v>
      </c>
      <c r="D7" s="73"/>
      <c r="E7" s="73"/>
      <c r="F7" s="73"/>
      <c r="G7" s="73"/>
      <c r="H7" s="73"/>
      <c r="I7" s="73"/>
      <c r="J7" s="73"/>
      <c r="K7" s="73"/>
      <c r="L7" s="73"/>
      <c r="M7" s="73"/>
      <c r="N7" s="73"/>
      <c r="O7" s="73"/>
      <c r="P7" s="73"/>
      <c r="Q7" s="73"/>
      <c r="R7" s="73"/>
      <c r="S7" s="73"/>
      <c r="T7" s="73"/>
      <c r="U7" s="73"/>
      <c r="V7" s="73"/>
      <c r="W7" s="73"/>
      <c r="X7" s="73"/>
      <c r="Y7" s="73"/>
      <c r="Z7" s="73"/>
      <c r="AA7" s="20"/>
      <c r="AB7" s="40"/>
    </row>
    <row r="8" spans="1:28" ht="15" customHeight="1" x14ac:dyDescent="0.25">
      <c r="A8" s="41"/>
      <c r="B8" s="12"/>
      <c r="C8" s="74" t="s">
        <v>0</v>
      </c>
      <c r="D8" s="76" t="s">
        <v>1</v>
      </c>
      <c r="E8" s="76" t="s">
        <v>2</v>
      </c>
      <c r="F8" s="77" t="s">
        <v>17</v>
      </c>
      <c r="G8" s="78"/>
      <c r="H8" s="78"/>
      <c r="I8" s="78"/>
      <c r="J8" s="78"/>
      <c r="K8" s="78"/>
      <c r="L8" s="78"/>
      <c r="M8" s="78"/>
      <c r="N8" s="78"/>
      <c r="O8" s="78"/>
      <c r="P8" s="78"/>
      <c r="Q8" s="78"/>
      <c r="R8" s="78"/>
      <c r="S8" s="78"/>
      <c r="T8" s="78"/>
      <c r="U8" s="78"/>
      <c r="V8" s="78"/>
      <c r="W8" s="78"/>
      <c r="X8" s="78"/>
      <c r="Y8" s="79"/>
      <c r="Z8" s="80" t="s">
        <v>3</v>
      </c>
      <c r="AA8" s="20"/>
      <c r="AB8" s="40"/>
    </row>
    <row r="9" spans="1:28" ht="125.1" customHeight="1" x14ac:dyDescent="0.25">
      <c r="A9" s="41"/>
      <c r="B9" s="12"/>
      <c r="C9" s="75"/>
      <c r="D9" s="75"/>
      <c r="E9" s="75"/>
      <c r="F9" s="13">
        <v>1</v>
      </c>
      <c r="G9" s="13">
        <v>2</v>
      </c>
      <c r="H9" s="13">
        <v>3</v>
      </c>
      <c r="I9" s="13">
        <v>4</v>
      </c>
      <c r="J9" s="13">
        <v>5</v>
      </c>
      <c r="K9" s="13">
        <v>6</v>
      </c>
      <c r="L9" s="13">
        <v>7</v>
      </c>
      <c r="M9" s="13">
        <v>8</v>
      </c>
      <c r="N9" s="13">
        <v>9</v>
      </c>
      <c r="O9" s="13">
        <v>10</v>
      </c>
      <c r="P9" s="13">
        <v>11</v>
      </c>
      <c r="Q9" s="13">
        <v>12</v>
      </c>
      <c r="R9" s="13">
        <v>13</v>
      </c>
      <c r="S9" s="13">
        <v>14</v>
      </c>
      <c r="T9" s="13">
        <v>15</v>
      </c>
      <c r="U9" s="13">
        <v>16</v>
      </c>
      <c r="V9" s="13">
        <v>17</v>
      </c>
      <c r="W9" s="13">
        <v>18</v>
      </c>
      <c r="X9" s="13">
        <v>19</v>
      </c>
      <c r="Y9" s="13">
        <v>20</v>
      </c>
      <c r="Z9" s="81"/>
      <c r="AA9" s="20"/>
      <c r="AB9" s="40"/>
    </row>
    <row r="10" spans="1:28" s="11" customFormat="1" ht="15" customHeight="1" x14ac:dyDescent="0.25">
      <c r="A10" s="41"/>
      <c r="B10" s="12"/>
      <c r="C10" s="48"/>
      <c r="D10" s="48">
        <v>1</v>
      </c>
      <c r="E10" s="49"/>
      <c r="F10" s="50"/>
      <c r="G10" s="50"/>
      <c r="H10" s="50"/>
      <c r="I10" s="50"/>
      <c r="J10" s="50"/>
      <c r="K10" s="50"/>
      <c r="L10" s="50"/>
      <c r="M10" s="50"/>
      <c r="N10" s="50"/>
      <c r="O10" s="50"/>
      <c r="P10" s="50"/>
      <c r="Q10" s="50"/>
      <c r="R10" s="50"/>
      <c r="S10" s="50"/>
      <c r="T10" s="50"/>
      <c r="U10" s="50"/>
      <c r="V10" s="50"/>
      <c r="W10" s="50"/>
      <c r="X10" s="50"/>
      <c r="Y10" s="50"/>
      <c r="Z10" s="43" t="str">
        <f>IF(COUNTIF(F10:Y10,"=*")&gt;0,IF($C10="К","-"," - "),IF(COUNTIF(F10:Y10,"&lt;4")&gt;0,IF(C10="К","-"," - "),(IFERROR(AVERAGE(F10:Y10),"Очікую"))))</f>
        <v>Очікую</v>
      </c>
      <c r="AA10" s="22"/>
      <c r="AB10" s="40"/>
    </row>
    <row r="11" spans="1:28" s="11" customFormat="1" ht="15" customHeight="1" x14ac:dyDescent="0.25">
      <c r="A11" s="41"/>
      <c r="B11" s="12"/>
      <c r="C11" s="48"/>
      <c r="D11" s="48">
        <v>2</v>
      </c>
      <c r="E11" s="49"/>
      <c r="F11" s="50"/>
      <c r="G11" s="50"/>
      <c r="H11" s="50"/>
      <c r="I11" s="50"/>
      <c r="J11" s="50"/>
      <c r="K11" s="50"/>
      <c r="L11" s="50"/>
      <c r="M11" s="50"/>
      <c r="N11" s="50"/>
      <c r="O11" s="50"/>
      <c r="P11" s="50"/>
      <c r="Q11" s="50"/>
      <c r="R11" s="50"/>
      <c r="S11" s="50"/>
      <c r="T11" s="50"/>
      <c r="U11" s="50"/>
      <c r="V11" s="50"/>
      <c r="W11" s="50"/>
      <c r="X11" s="50"/>
      <c r="Y11" s="50"/>
      <c r="Z11" s="43" t="str">
        <f t="shared" ref="Z11:Z74" si="0">IF(COUNTIF(F11:Y11,"=*")&gt;0,IF($C11="К","-"," - "),IF(COUNTIF(F11:Y11,"&lt;4")&gt;0,IF(C11="К","-"," - "),(IFERROR(AVERAGE(F11:Y11),"Очікую"))))</f>
        <v>Очікую</v>
      </c>
      <c r="AA11" s="22"/>
      <c r="AB11" s="40"/>
    </row>
    <row r="12" spans="1:28" s="11" customFormat="1" ht="15" customHeight="1" x14ac:dyDescent="0.25">
      <c r="A12" s="41"/>
      <c r="B12" s="12"/>
      <c r="C12" s="48"/>
      <c r="D12" s="48">
        <v>3</v>
      </c>
      <c r="E12" s="49"/>
      <c r="F12" s="50"/>
      <c r="G12" s="50"/>
      <c r="H12" s="50"/>
      <c r="I12" s="50"/>
      <c r="J12" s="50"/>
      <c r="K12" s="50"/>
      <c r="L12" s="50"/>
      <c r="M12" s="50"/>
      <c r="N12" s="50"/>
      <c r="O12" s="50"/>
      <c r="P12" s="50"/>
      <c r="Q12" s="50"/>
      <c r="R12" s="50"/>
      <c r="S12" s="50"/>
      <c r="T12" s="50"/>
      <c r="U12" s="50"/>
      <c r="V12" s="50"/>
      <c r="W12" s="50"/>
      <c r="X12" s="50"/>
      <c r="Y12" s="50"/>
      <c r="Z12" s="43" t="str">
        <f t="shared" si="0"/>
        <v>Очікую</v>
      </c>
      <c r="AA12" s="22"/>
      <c r="AB12" s="40"/>
    </row>
    <row r="13" spans="1:28" s="11" customFormat="1" ht="15" customHeight="1" x14ac:dyDescent="0.25">
      <c r="A13" s="41"/>
      <c r="B13" s="12"/>
      <c r="C13" s="48"/>
      <c r="D13" s="48">
        <v>4</v>
      </c>
      <c r="E13" s="49"/>
      <c r="F13" s="50"/>
      <c r="G13" s="50"/>
      <c r="H13" s="50"/>
      <c r="I13" s="50"/>
      <c r="J13" s="50"/>
      <c r="K13" s="50"/>
      <c r="L13" s="50"/>
      <c r="M13" s="50"/>
      <c r="N13" s="50"/>
      <c r="O13" s="50"/>
      <c r="P13" s="50"/>
      <c r="Q13" s="50"/>
      <c r="R13" s="50"/>
      <c r="S13" s="50"/>
      <c r="T13" s="50"/>
      <c r="U13" s="50"/>
      <c r="V13" s="50"/>
      <c r="W13" s="50"/>
      <c r="X13" s="50"/>
      <c r="Y13" s="50"/>
      <c r="Z13" s="43" t="str">
        <f t="shared" si="0"/>
        <v>Очікую</v>
      </c>
      <c r="AA13" s="22"/>
      <c r="AB13" s="40"/>
    </row>
    <row r="14" spans="1:28" s="11" customFormat="1" ht="15" customHeight="1" x14ac:dyDescent="0.25">
      <c r="A14" s="41"/>
      <c r="B14" s="12"/>
      <c r="C14" s="48"/>
      <c r="D14" s="48">
        <v>5</v>
      </c>
      <c r="E14" s="49"/>
      <c r="F14" s="50"/>
      <c r="G14" s="50"/>
      <c r="H14" s="50"/>
      <c r="I14" s="50"/>
      <c r="J14" s="50"/>
      <c r="K14" s="50"/>
      <c r="L14" s="50"/>
      <c r="M14" s="50"/>
      <c r="N14" s="50"/>
      <c r="O14" s="50"/>
      <c r="P14" s="50"/>
      <c r="Q14" s="50"/>
      <c r="R14" s="50"/>
      <c r="S14" s="50"/>
      <c r="T14" s="50"/>
      <c r="U14" s="50"/>
      <c r="V14" s="50"/>
      <c r="W14" s="50"/>
      <c r="X14" s="50"/>
      <c r="Y14" s="50"/>
      <c r="Z14" s="43" t="str">
        <f t="shared" si="0"/>
        <v>Очікую</v>
      </c>
      <c r="AA14" s="22"/>
      <c r="AB14" s="40"/>
    </row>
    <row r="15" spans="1:28" s="11" customFormat="1" ht="15" customHeight="1" x14ac:dyDescent="0.25">
      <c r="A15" s="41"/>
      <c r="B15" s="12"/>
      <c r="C15" s="48"/>
      <c r="D15" s="48">
        <v>6</v>
      </c>
      <c r="E15" s="49"/>
      <c r="F15" s="50"/>
      <c r="G15" s="50"/>
      <c r="H15" s="50"/>
      <c r="I15" s="50"/>
      <c r="J15" s="50"/>
      <c r="K15" s="50"/>
      <c r="L15" s="50"/>
      <c r="M15" s="50"/>
      <c r="N15" s="50"/>
      <c r="O15" s="50"/>
      <c r="P15" s="50"/>
      <c r="Q15" s="50"/>
      <c r="R15" s="50"/>
      <c r="S15" s="50"/>
      <c r="T15" s="50"/>
      <c r="U15" s="50"/>
      <c r="V15" s="50"/>
      <c r="W15" s="50"/>
      <c r="X15" s="50"/>
      <c r="Y15" s="50"/>
      <c r="Z15" s="43" t="str">
        <f t="shared" si="0"/>
        <v>Очікую</v>
      </c>
      <c r="AA15" s="22"/>
      <c r="AB15" s="40"/>
    </row>
    <row r="16" spans="1:28" s="11" customFormat="1" ht="15" customHeight="1" x14ac:dyDescent="0.25">
      <c r="A16" s="41"/>
      <c r="B16" s="12"/>
      <c r="C16" s="48"/>
      <c r="D16" s="48">
        <v>7</v>
      </c>
      <c r="E16" s="49"/>
      <c r="F16" s="50"/>
      <c r="G16" s="50"/>
      <c r="H16" s="50"/>
      <c r="I16" s="50"/>
      <c r="J16" s="50"/>
      <c r="K16" s="50"/>
      <c r="L16" s="50"/>
      <c r="M16" s="50"/>
      <c r="N16" s="50"/>
      <c r="O16" s="50"/>
      <c r="P16" s="50"/>
      <c r="Q16" s="50"/>
      <c r="R16" s="50"/>
      <c r="S16" s="50"/>
      <c r="T16" s="50"/>
      <c r="U16" s="50"/>
      <c r="V16" s="50"/>
      <c r="W16" s="50"/>
      <c r="X16" s="50"/>
      <c r="Y16" s="50"/>
      <c r="Z16" s="43" t="str">
        <f t="shared" si="0"/>
        <v>Очікую</v>
      </c>
      <c r="AA16" s="22"/>
      <c r="AB16" s="40"/>
    </row>
    <row r="17" spans="1:28" s="11" customFormat="1" ht="15" customHeight="1" x14ac:dyDescent="0.25">
      <c r="A17" s="41"/>
      <c r="B17" s="12"/>
      <c r="C17" s="48"/>
      <c r="D17" s="48">
        <v>8</v>
      </c>
      <c r="E17" s="49"/>
      <c r="F17" s="50"/>
      <c r="G17" s="50"/>
      <c r="H17" s="50"/>
      <c r="I17" s="50"/>
      <c r="J17" s="50"/>
      <c r="K17" s="50"/>
      <c r="L17" s="50"/>
      <c r="M17" s="50"/>
      <c r="N17" s="50"/>
      <c r="O17" s="50"/>
      <c r="P17" s="50"/>
      <c r="Q17" s="50"/>
      <c r="R17" s="50"/>
      <c r="S17" s="50"/>
      <c r="T17" s="50"/>
      <c r="U17" s="50"/>
      <c r="V17" s="50"/>
      <c r="W17" s="50"/>
      <c r="X17" s="50"/>
      <c r="Y17" s="50"/>
      <c r="Z17" s="43" t="str">
        <f t="shared" si="0"/>
        <v>Очікую</v>
      </c>
      <c r="AA17" s="22"/>
      <c r="AB17" s="40"/>
    </row>
    <row r="18" spans="1:28" s="11" customFormat="1" ht="15" customHeight="1" x14ac:dyDescent="0.25">
      <c r="A18" s="41"/>
      <c r="B18" s="12"/>
      <c r="C18" s="48"/>
      <c r="D18" s="48">
        <v>9</v>
      </c>
      <c r="E18" s="49"/>
      <c r="F18" s="50"/>
      <c r="G18" s="50"/>
      <c r="H18" s="50"/>
      <c r="I18" s="50"/>
      <c r="J18" s="50"/>
      <c r="K18" s="50"/>
      <c r="L18" s="50"/>
      <c r="M18" s="50"/>
      <c r="N18" s="50"/>
      <c r="O18" s="50"/>
      <c r="P18" s="50"/>
      <c r="Q18" s="50"/>
      <c r="R18" s="50"/>
      <c r="S18" s="50"/>
      <c r="T18" s="50"/>
      <c r="U18" s="50"/>
      <c r="V18" s="50"/>
      <c r="W18" s="50"/>
      <c r="X18" s="50"/>
      <c r="Y18" s="50"/>
      <c r="Z18" s="43" t="str">
        <f t="shared" si="0"/>
        <v>Очікую</v>
      </c>
      <c r="AA18" s="22"/>
      <c r="AB18" s="40"/>
    </row>
    <row r="19" spans="1:28" s="11" customFormat="1" ht="15" customHeight="1" x14ac:dyDescent="0.25">
      <c r="A19" s="41"/>
      <c r="B19" s="12"/>
      <c r="C19" s="48"/>
      <c r="D19" s="48">
        <v>10</v>
      </c>
      <c r="E19" s="49"/>
      <c r="F19" s="50"/>
      <c r="G19" s="50"/>
      <c r="H19" s="50"/>
      <c r="I19" s="50"/>
      <c r="J19" s="50"/>
      <c r="K19" s="50"/>
      <c r="L19" s="50"/>
      <c r="M19" s="50"/>
      <c r="N19" s="50"/>
      <c r="O19" s="50"/>
      <c r="P19" s="50"/>
      <c r="Q19" s="50"/>
      <c r="R19" s="50"/>
      <c r="S19" s="50"/>
      <c r="T19" s="50"/>
      <c r="U19" s="50"/>
      <c r="V19" s="50"/>
      <c r="W19" s="50"/>
      <c r="X19" s="50"/>
      <c r="Y19" s="50"/>
      <c r="Z19" s="43" t="str">
        <f t="shared" si="0"/>
        <v>Очікую</v>
      </c>
      <c r="AA19" s="22"/>
      <c r="AB19" s="40"/>
    </row>
    <row r="20" spans="1:28" s="11" customFormat="1" ht="15" customHeight="1" x14ac:dyDescent="0.25">
      <c r="A20" s="41"/>
      <c r="B20" s="12"/>
      <c r="C20" s="48"/>
      <c r="D20" s="48">
        <v>11</v>
      </c>
      <c r="E20" s="49"/>
      <c r="F20" s="50"/>
      <c r="G20" s="50"/>
      <c r="H20" s="50"/>
      <c r="I20" s="50"/>
      <c r="J20" s="50"/>
      <c r="K20" s="50"/>
      <c r="L20" s="50"/>
      <c r="M20" s="50"/>
      <c r="N20" s="50"/>
      <c r="O20" s="50"/>
      <c r="P20" s="50"/>
      <c r="Q20" s="50"/>
      <c r="R20" s="50"/>
      <c r="S20" s="50"/>
      <c r="T20" s="50"/>
      <c r="U20" s="50"/>
      <c r="V20" s="50"/>
      <c r="W20" s="50"/>
      <c r="X20" s="50"/>
      <c r="Y20" s="50"/>
      <c r="Z20" s="43" t="str">
        <f t="shared" si="0"/>
        <v>Очікую</v>
      </c>
      <c r="AA20" s="22"/>
      <c r="AB20" s="40"/>
    </row>
    <row r="21" spans="1:28" s="11" customFormat="1" ht="15" customHeight="1" x14ac:dyDescent="0.25">
      <c r="A21" s="41"/>
      <c r="B21" s="12"/>
      <c r="C21" s="48"/>
      <c r="D21" s="48">
        <v>12</v>
      </c>
      <c r="E21" s="49"/>
      <c r="F21" s="50"/>
      <c r="G21" s="50"/>
      <c r="H21" s="50"/>
      <c r="I21" s="50"/>
      <c r="J21" s="50"/>
      <c r="K21" s="50"/>
      <c r="L21" s="50"/>
      <c r="M21" s="50"/>
      <c r="N21" s="50"/>
      <c r="O21" s="50"/>
      <c r="P21" s="50"/>
      <c r="Q21" s="50"/>
      <c r="R21" s="50"/>
      <c r="S21" s="50"/>
      <c r="T21" s="50"/>
      <c r="U21" s="50"/>
      <c r="V21" s="50"/>
      <c r="W21" s="50"/>
      <c r="X21" s="50"/>
      <c r="Y21" s="50"/>
      <c r="Z21" s="43" t="str">
        <f t="shared" si="0"/>
        <v>Очікую</v>
      </c>
      <c r="AA21" s="22"/>
      <c r="AB21" s="40"/>
    </row>
    <row r="22" spans="1:28" s="11" customFormat="1" ht="15" customHeight="1" x14ac:dyDescent="0.25">
      <c r="A22" s="41"/>
      <c r="B22" s="12"/>
      <c r="C22" s="48"/>
      <c r="D22" s="48">
        <v>13</v>
      </c>
      <c r="E22" s="49"/>
      <c r="F22" s="50"/>
      <c r="G22" s="50"/>
      <c r="H22" s="50"/>
      <c r="I22" s="50"/>
      <c r="J22" s="50"/>
      <c r="K22" s="50"/>
      <c r="L22" s="50"/>
      <c r="M22" s="50"/>
      <c r="N22" s="50"/>
      <c r="O22" s="50"/>
      <c r="P22" s="50"/>
      <c r="Q22" s="50"/>
      <c r="R22" s="50"/>
      <c r="S22" s="50"/>
      <c r="T22" s="50"/>
      <c r="U22" s="50"/>
      <c r="V22" s="50"/>
      <c r="W22" s="50"/>
      <c r="X22" s="50"/>
      <c r="Y22" s="50"/>
      <c r="Z22" s="43" t="str">
        <f t="shared" si="0"/>
        <v>Очікую</v>
      </c>
      <c r="AA22" s="22"/>
      <c r="AB22" s="40"/>
    </row>
    <row r="23" spans="1:28" s="11" customFormat="1" ht="15" customHeight="1" x14ac:dyDescent="0.25">
      <c r="A23" s="41"/>
      <c r="B23" s="12"/>
      <c r="C23" s="48"/>
      <c r="D23" s="48">
        <v>14</v>
      </c>
      <c r="E23" s="49"/>
      <c r="F23" s="50"/>
      <c r="G23" s="50"/>
      <c r="H23" s="50"/>
      <c r="I23" s="50"/>
      <c r="J23" s="50"/>
      <c r="K23" s="50"/>
      <c r="L23" s="50"/>
      <c r="M23" s="50"/>
      <c r="N23" s="50"/>
      <c r="O23" s="50"/>
      <c r="P23" s="50"/>
      <c r="Q23" s="50"/>
      <c r="R23" s="50"/>
      <c r="S23" s="50"/>
      <c r="T23" s="50"/>
      <c r="U23" s="50"/>
      <c r="V23" s="50"/>
      <c r="W23" s="50"/>
      <c r="X23" s="50"/>
      <c r="Y23" s="50"/>
      <c r="Z23" s="43" t="str">
        <f t="shared" si="0"/>
        <v>Очікую</v>
      </c>
      <c r="AA23" s="22"/>
      <c r="AB23" s="40"/>
    </row>
    <row r="24" spans="1:28" s="11" customFormat="1" ht="15" customHeight="1" x14ac:dyDescent="0.25">
      <c r="A24" s="41"/>
      <c r="B24" s="12"/>
      <c r="C24" s="48"/>
      <c r="D24" s="48">
        <v>15</v>
      </c>
      <c r="E24" s="49"/>
      <c r="F24" s="50"/>
      <c r="G24" s="50"/>
      <c r="H24" s="50"/>
      <c r="I24" s="50"/>
      <c r="J24" s="50"/>
      <c r="K24" s="50"/>
      <c r="L24" s="50"/>
      <c r="M24" s="50"/>
      <c r="N24" s="50"/>
      <c r="O24" s="50"/>
      <c r="P24" s="50"/>
      <c r="Q24" s="50"/>
      <c r="R24" s="50"/>
      <c r="S24" s="50"/>
      <c r="T24" s="50"/>
      <c r="U24" s="50"/>
      <c r="V24" s="50"/>
      <c r="W24" s="50"/>
      <c r="X24" s="50"/>
      <c r="Y24" s="50"/>
      <c r="Z24" s="43" t="str">
        <f t="shared" si="0"/>
        <v>Очікую</v>
      </c>
      <c r="AA24" s="22"/>
      <c r="AB24" s="40"/>
    </row>
    <row r="25" spans="1:28" s="11" customFormat="1" ht="15" customHeight="1" x14ac:dyDescent="0.25">
      <c r="A25" s="41"/>
      <c r="B25" s="12"/>
      <c r="C25" s="48"/>
      <c r="D25" s="48">
        <v>16</v>
      </c>
      <c r="E25" s="49"/>
      <c r="F25" s="50"/>
      <c r="G25" s="50"/>
      <c r="H25" s="50"/>
      <c r="I25" s="50"/>
      <c r="J25" s="50"/>
      <c r="K25" s="50"/>
      <c r="L25" s="50"/>
      <c r="M25" s="50"/>
      <c r="N25" s="50"/>
      <c r="O25" s="50"/>
      <c r="P25" s="50"/>
      <c r="Q25" s="50"/>
      <c r="R25" s="50"/>
      <c r="S25" s="50"/>
      <c r="T25" s="50"/>
      <c r="U25" s="50"/>
      <c r="V25" s="50"/>
      <c r="W25" s="50"/>
      <c r="X25" s="50"/>
      <c r="Y25" s="50"/>
      <c r="Z25" s="43" t="str">
        <f t="shared" si="0"/>
        <v>Очікую</v>
      </c>
      <c r="AA25" s="22"/>
      <c r="AB25" s="40"/>
    </row>
    <row r="26" spans="1:28" s="11" customFormat="1" ht="15" customHeight="1" x14ac:dyDescent="0.25">
      <c r="A26" s="41"/>
      <c r="B26" s="12"/>
      <c r="C26" s="48"/>
      <c r="D26" s="48">
        <v>17</v>
      </c>
      <c r="E26" s="49"/>
      <c r="F26" s="50"/>
      <c r="G26" s="50"/>
      <c r="H26" s="50"/>
      <c r="I26" s="50"/>
      <c r="J26" s="50"/>
      <c r="K26" s="50"/>
      <c r="L26" s="50"/>
      <c r="M26" s="50"/>
      <c r="N26" s="50"/>
      <c r="O26" s="50"/>
      <c r="P26" s="50"/>
      <c r="Q26" s="50"/>
      <c r="R26" s="50"/>
      <c r="S26" s="50"/>
      <c r="T26" s="50"/>
      <c r="U26" s="50"/>
      <c r="V26" s="50"/>
      <c r="W26" s="50"/>
      <c r="X26" s="50"/>
      <c r="Y26" s="50"/>
      <c r="Z26" s="43" t="str">
        <f t="shared" si="0"/>
        <v>Очікую</v>
      </c>
      <c r="AA26" s="22"/>
      <c r="AB26" s="40"/>
    </row>
    <row r="27" spans="1:28" s="11" customFormat="1" ht="15" customHeight="1" x14ac:dyDescent="0.25">
      <c r="A27" s="41"/>
      <c r="B27" s="12"/>
      <c r="C27" s="48"/>
      <c r="D27" s="48">
        <v>18</v>
      </c>
      <c r="E27" s="49"/>
      <c r="F27" s="50"/>
      <c r="G27" s="50"/>
      <c r="H27" s="50"/>
      <c r="I27" s="50"/>
      <c r="J27" s="50"/>
      <c r="K27" s="50"/>
      <c r="L27" s="50"/>
      <c r="M27" s="50"/>
      <c r="N27" s="50"/>
      <c r="O27" s="50"/>
      <c r="P27" s="50"/>
      <c r="Q27" s="50"/>
      <c r="R27" s="50"/>
      <c r="S27" s="50"/>
      <c r="T27" s="50"/>
      <c r="U27" s="50"/>
      <c r="V27" s="50"/>
      <c r="W27" s="50"/>
      <c r="X27" s="50"/>
      <c r="Y27" s="50"/>
      <c r="Z27" s="43" t="str">
        <f t="shared" si="0"/>
        <v>Очікую</v>
      </c>
      <c r="AA27" s="22"/>
      <c r="AB27" s="40"/>
    </row>
    <row r="28" spans="1:28" s="11" customFormat="1" ht="15" customHeight="1" x14ac:dyDescent="0.25">
      <c r="A28" s="41"/>
      <c r="B28" s="12"/>
      <c r="C28" s="48"/>
      <c r="D28" s="48">
        <v>19</v>
      </c>
      <c r="E28" s="49"/>
      <c r="F28" s="50"/>
      <c r="G28" s="50"/>
      <c r="H28" s="50"/>
      <c r="I28" s="50"/>
      <c r="J28" s="50"/>
      <c r="K28" s="50"/>
      <c r="L28" s="50"/>
      <c r="M28" s="50"/>
      <c r="N28" s="50"/>
      <c r="O28" s="50"/>
      <c r="P28" s="50"/>
      <c r="Q28" s="50"/>
      <c r="R28" s="50"/>
      <c r="S28" s="50"/>
      <c r="T28" s="50"/>
      <c r="U28" s="50"/>
      <c r="V28" s="50"/>
      <c r="W28" s="50"/>
      <c r="X28" s="50"/>
      <c r="Y28" s="50"/>
      <c r="Z28" s="43" t="str">
        <f t="shared" si="0"/>
        <v>Очікую</v>
      </c>
      <c r="AA28" s="22"/>
      <c r="AB28" s="40"/>
    </row>
    <row r="29" spans="1:28" s="11" customFormat="1" ht="15" customHeight="1" x14ac:dyDescent="0.25">
      <c r="A29" s="41"/>
      <c r="B29" s="12"/>
      <c r="C29" s="48"/>
      <c r="D29" s="48">
        <v>20</v>
      </c>
      <c r="E29" s="49"/>
      <c r="F29" s="50"/>
      <c r="G29" s="50"/>
      <c r="H29" s="50"/>
      <c r="I29" s="50"/>
      <c r="J29" s="50"/>
      <c r="K29" s="50"/>
      <c r="L29" s="50"/>
      <c r="M29" s="50"/>
      <c r="N29" s="50"/>
      <c r="O29" s="50"/>
      <c r="P29" s="50"/>
      <c r="Q29" s="50"/>
      <c r="R29" s="50"/>
      <c r="S29" s="50"/>
      <c r="T29" s="50"/>
      <c r="U29" s="50"/>
      <c r="V29" s="50"/>
      <c r="W29" s="50"/>
      <c r="X29" s="50"/>
      <c r="Y29" s="50"/>
      <c r="Z29" s="43" t="str">
        <f t="shared" si="0"/>
        <v>Очікую</v>
      </c>
      <c r="AA29" s="22"/>
      <c r="AB29" s="40"/>
    </row>
    <row r="30" spans="1:28" s="11" customFormat="1" ht="15" customHeight="1" x14ac:dyDescent="0.25">
      <c r="A30" s="41"/>
      <c r="B30" s="12"/>
      <c r="C30" s="48"/>
      <c r="D30" s="48">
        <v>21</v>
      </c>
      <c r="E30" s="49"/>
      <c r="F30" s="50"/>
      <c r="G30" s="50"/>
      <c r="H30" s="50"/>
      <c r="I30" s="50"/>
      <c r="J30" s="50"/>
      <c r="K30" s="50"/>
      <c r="L30" s="50"/>
      <c r="M30" s="50"/>
      <c r="N30" s="50"/>
      <c r="O30" s="50"/>
      <c r="P30" s="50"/>
      <c r="Q30" s="50"/>
      <c r="R30" s="50"/>
      <c r="S30" s="50"/>
      <c r="T30" s="50"/>
      <c r="U30" s="50"/>
      <c r="V30" s="50"/>
      <c r="W30" s="50"/>
      <c r="X30" s="50"/>
      <c r="Y30" s="50"/>
      <c r="Z30" s="43" t="str">
        <f t="shared" si="0"/>
        <v>Очікую</v>
      </c>
      <c r="AA30" s="22"/>
      <c r="AB30" s="40"/>
    </row>
    <row r="31" spans="1:28" s="11" customFormat="1" ht="15" customHeight="1" x14ac:dyDescent="0.25">
      <c r="A31" s="41"/>
      <c r="B31" s="12"/>
      <c r="C31" s="48"/>
      <c r="D31" s="48">
        <v>22</v>
      </c>
      <c r="E31" s="49"/>
      <c r="F31" s="50"/>
      <c r="G31" s="50"/>
      <c r="H31" s="50"/>
      <c r="I31" s="50"/>
      <c r="J31" s="50"/>
      <c r="K31" s="50"/>
      <c r="L31" s="50"/>
      <c r="M31" s="50"/>
      <c r="N31" s="50"/>
      <c r="O31" s="50"/>
      <c r="P31" s="50"/>
      <c r="Q31" s="50"/>
      <c r="R31" s="50"/>
      <c r="S31" s="50"/>
      <c r="T31" s="50"/>
      <c r="U31" s="50"/>
      <c r="V31" s="50"/>
      <c r="W31" s="50"/>
      <c r="X31" s="50"/>
      <c r="Y31" s="50"/>
      <c r="Z31" s="43" t="str">
        <f t="shared" si="0"/>
        <v>Очікую</v>
      </c>
      <c r="AA31" s="22"/>
      <c r="AB31" s="40"/>
    </row>
    <row r="32" spans="1:28" s="11" customFormat="1" ht="15" customHeight="1" x14ac:dyDescent="0.25">
      <c r="A32" s="41"/>
      <c r="B32" s="12"/>
      <c r="C32" s="48"/>
      <c r="D32" s="48">
        <v>23</v>
      </c>
      <c r="E32" s="49"/>
      <c r="F32" s="50"/>
      <c r="G32" s="50"/>
      <c r="H32" s="50"/>
      <c r="I32" s="50"/>
      <c r="J32" s="50"/>
      <c r="K32" s="50"/>
      <c r="L32" s="50"/>
      <c r="M32" s="50"/>
      <c r="N32" s="50"/>
      <c r="O32" s="50"/>
      <c r="P32" s="50"/>
      <c r="Q32" s="50"/>
      <c r="R32" s="50"/>
      <c r="S32" s="50"/>
      <c r="T32" s="50"/>
      <c r="U32" s="50"/>
      <c r="V32" s="50"/>
      <c r="W32" s="50"/>
      <c r="X32" s="50"/>
      <c r="Y32" s="50"/>
      <c r="Z32" s="43" t="str">
        <f t="shared" si="0"/>
        <v>Очікую</v>
      </c>
      <c r="AA32" s="22"/>
      <c r="AB32" s="40"/>
    </row>
    <row r="33" spans="1:28" s="11" customFormat="1" ht="15" customHeight="1" x14ac:dyDescent="0.25">
      <c r="A33" s="41"/>
      <c r="B33" s="12"/>
      <c r="C33" s="48"/>
      <c r="D33" s="48">
        <v>24</v>
      </c>
      <c r="E33" s="49"/>
      <c r="F33" s="50"/>
      <c r="G33" s="50"/>
      <c r="H33" s="50"/>
      <c r="I33" s="50"/>
      <c r="J33" s="50"/>
      <c r="K33" s="50"/>
      <c r="L33" s="50"/>
      <c r="M33" s="50"/>
      <c r="N33" s="50"/>
      <c r="O33" s="50"/>
      <c r="P33" s="50"/>
      <c r="Q33" s="50"/>
      <c r="R33" s="50"/>
      <c r="S33" s="50"/>
      <c r="T33" s="50"/>
      <c r="U33" s="50"/>
      <c r="V33" s="50"/>
      <c r="W33" s="50"/>
      <c r="X33" s="50"/>
      <c r="Y33" s="50"/>
      <c r="Z33" s="43" t="str">
        <f t="shared" si="0"/>
        <v>Очікую</v>
      </c>
      <c r="AA33" s="22"/>
      <c r="AB33" s="40"/>
    </row>
    <row r="34" spans="1:28" s="11" customFormat="1" ht="15" customHeight="1" x14ac:dyDescent="0.25">
      <c r="A34" s="41"/>
      <c r="B34" s="12"/>
      <c r="C34" s="48"/>
      <c r="D34" s="48">
        <v>25</v>
      </c>
      <c r="E34" s="49"/>
      <c r="F34" s="50"/>
      <c r="G34" s="50"/>
      <c r="H34" s="50"/>
      <c r="I34" s="50"/>
      <c r="J34" s="50"/>
      <c r="K34" s="50"/>
      <c r="L34" s="50"/>
      <c r="M34" s="50"/>
      <c r="N34" s="50"/>
      <c r="O34" s="50"/>
      <c r="P34" s="50"/>
      <c r="Q34" s="50"/>
      <c r="R34" s="50"/>
      <c r="S34" s="50"/>
      <c r="T34" s="50"/>
      <c r="U34" s="50"/>
      <c r="V34" s="50"/>
      <c r="W34" s="50"/>
      <c r="X34" s="50"/>
      <c r="Y34" s="50"/>
      <c r="Z34" s="43" t="str">
        <f t="shared" si="0"/>
        <v>Очікую</v>
      </c>
      <c r="AA34" s="22"/>
      <c r="AB34" s="40"/>
    </row>
    <row r="35" spans="1:28" s="11" customFormat="1" ht="15" customHeight="1" x14ac:dyDescent="0.25">
      <c r="A35" s="41"/>
      <c r="B35" s="12"/>
      <c r="C35" s="48"/>
      <c r="D35" s="48">
        <v>26</v>
      </c>
      <c r="E35" s="49"/>
      <c r="F35" s="50"/>
      <c r="G35" s="50"/>
      <c r="H35" s="50"/>
      <c r="I35" s="50"/>
      <c r="J35" s="50"/>
      <c r="K35" s="50"/>
      <c r="L35" s="50"/>
      <c r="M35" s="50"/>
      <c r="N35" s="50"/>
      <c r="O35" s="50"/>
      <c r="P35" s="50"/>
      <c r="Q35" s="50"/>
      <c r="R35" s="50"/>
      <c r="S35" s="50"/>
      <c r="T35" s="50"/>
      <c r="U35" s="50"/>
      <c r="V35" s="50"/>
      <c r="W35" s="50"/>
      <c r="X35" s="50"/>
      <c r="Y35" s="50"/>
      <c r="Z35" s="43" t="str">
        <f t="shared" si="0"/>
        <v>Очікую</v>
      </c>
      <c r="AA35" s="22"/>
      <c r="AB35" s="40"/>
    </row>
    <row r="36" spans="1:28" s="11" customFormat="1" ht="15" customHeight="1" x14ac:dyDescent="0.25">
      <c r="A36" s="41"/>
      <c r="B36" s="12"/>
      <c r="C36" s="48"/>
      <c r="D36" s="48">
        <v>27</v>
      </c>
      <c r="E36" s="49"/>
      <c r="F36" s="50"/>
      <c r="G36" s="50"/>
      <c r="H36" s="50"/>
      <c r="I36" s="50"/>
      <c r="J36" s="50"/>
      <c r="K36" s="50"/>
      <c r="L36" s="50"/>
      <c r="M36" s="50"/>
      <c r="N36" s="50"/>
      <c r="O36" s="50"/>
      <c r="P36" s="50"/>
      <c r="Q36" s="50"/>
      <c r="R36" s="50"/>
      <c r="S36" s="50"/>
      <c r="T36" s="50"/>
      <c r="U36" s="50"/>
      <c r="V36" s="50"/>
      <c r="W36" s="50"/>
      <c r="X36" s="50"/>
      <c r="Y36" s="50"/>
      <c r="Z36" s="43" t="str">
        <f t="shared" si="0"/>
        <v>Очікую</v>
      </c>
      <c r="AA36" s="22"/>
      <c r="AB36" s="40"/>
    </row>
    <row r="37" spans="1:28" s="11" customFormat="1" ht="15" customHeight="1" x14ac:dyDescent="0.25">
      <c r="A37" s="41"/>
      <c r="B37" s="12"/>
      <c r="C37" s="48"/>
      <c r="D37" s="48">
        <v>28</v>
      </c>
      <c r="E37" s="49"/>
      <c r="F37" s="50"/>
      <c r="G37" s="50"/>
      <c r="H37" s="50"/>
      <c r="I37" s="50"/>
      <c r="J37" s="50"/>
      <c r="K37" s="50"/>
      <c r="L37" s="50"/>
      <c r="M37" s="50"/>
      <c r="N37" s="50"/>
      <c r="O37" s="50"/>
      <c r="P37" s="50"/>
      <c r="Q37" s="50"/>
      <c r="R37" s="50"/>
      <c r="S37" s="50"/>
      <c r="T37" s="50"/>
      <c r="U37" s="50"/>
      <c r="V37" s="50"/>
      <c r="W37" s="50"/>
      <c r="X37" s="50"/>
      <c r="Y37" s="50"/>
      <c r="Z37" s="43" t="str">
        <f t="shared" si="0"/>
        <v>Очікую</v>
      </c>
      <c r="AA37" s="22"/>
      <c r="AB37" s="40"/>
    </row>
    <row r="38" spans="1:28" s="11" customFormat="1" ht="15" customHeight="1" x14ac:dyDescent="0.25">
      <c r="A38" s="41"/>
      <c r="B38" s="12"/>
      <c r="C38" s="48"/>
      <c r="D38" s="48">
        <v>29</v>
      </c>
      <c r="E38" s="49"/>
      <c r="F38" s="50"/>
      <c r="G38" s="50"/>
      <c r="H38" s="50"/>
      <c r="I38" s="50"/>
      <c r="J38" s="50"/>
      <c r="K38" s="50"/>
      <c r="L38" s="50"/>
      <c r="M38" s="50"/>
      <c r="N38" s="50"/>
      <c r="O38" s="50"/>
      <c r="P38" s="50"/>
      <c r="Q38" s="50"/>
      <c r="R38" s="50"/>
      <c r="S38" s="50"/>
      <c r="T38" s="50"/>
      <c r="U38" s="50"/>
      <c r="V38" s="50"/>
      <c r="W38" s="50"/>
      <c r="X38" s="50"/>
      <c r="Y38" s="50"/>
      <c r="Z38" s="43" t="str">
        <f t="shared" si="0"/>
        <v>Очікую</v>
      </c>
      <c r="AA38" s="22"/>
      <c r="AB38" s="40"/>
    </row>
    <row r="39" spans="1:28" s="11" customFormat="1" ht="15" customHeight="1" x14ac:dyDescent="0.25">
      <c r="A39" s="41"/>
      <c r="B39" s="12"/>
      <c r="C39" s="48"/>
      <c r="D39" s="48">
        <v>30</v>
      </c>
      <c r="E39" s="49"/>
      <c r="F39" s="50"/>
      <c r="G39" s="50"/>
      <c r="H39" s="50"/>
      <c r="I39" s="50"/>
      <c r="J39" s="50"/>
      <c r="K39" s="50"/>
      <c r="L39" s="50"/>
      <c r="M39" s="50"/>
      <c r="N39" s="50"/>
      <c r="O39" s="50"/>
      <c r="P39" s="50"/>
      <c r="Q39" s="50"/>
      <c r="R39" s="50"/>
      <c r="S39" s="50"/>
      <c r="T39" s="50"/>
      <c r="U39" s="50"/>
      <c r="V39" s="50"/>
      <c r="W39" s="50"/>
      <c r="X39" s="50"/>
      <c r="Y39" s="50"/>
      <c r="Z39" s="43" t="str">
        <f t="shared" si="0"/>
        <v>Очікую</v>
      </c>
      <c r="AA39" s="22"/>
      <c r="AB39" s="40"/>
    </row>
    <row r="40" spans="1:28" s="11" customFormat="1" ht="15" customHeight="1" x14ac:dyDescent="0.25">
      <c r="A40" s="41"/>
      <c r="B40" s="12"/>
      <c r="C40" s="48"/>
      <c r="D40" s="48">
        <v>31</v>
      </c>
      <c r="E40" s="49"/>
      <c r="F40" s="50"/>
      <c r="G40" s="50"/>
      <c r="H40" s="50"/>
      <c r="I40" s="50"/>
      <c r="J40" s="50"/>
      <c r="K40" s="50"/>
      <c r="L40" s="50"/>
      <c r="M40" s="50"/>
      <c r="N40" s="50"/>
      <c r="O40" s="50"/>
      <c r="P40" s="50"/>
      <c r="Q40" s="50"/>
      <c r="R40" s="50"/>
      <c r="S40" s="50"/>
      <c r="T40" s="50"/>
      <c r="U40" s="50"/>
      <c r="V40" s="50"/>
      <c r="W40" s="50"/>
      <c r="X40" s="50"/>
      <c r="Y40" s="50"/>
      <c r="Z40" s="43" t="str">
        <f t="shared" si="0"/>
        <v>Очікую</v>
      </c>
      <c r="AA40" s="22"/>
      <c r="AB40" s="40"/>
    </row>
    <row r="41" spans="1:28" s="11" customFormat="1" ht="15" customHeight="1" x14ac:dyDescent="0.25">
      <c r="A41" s="41"/>
      <c r="B41" s="12"/>
      <c r="C41" s="48"/>
      <c r="D41" s="48">
        <v>32</v>
      </c>
      <c r="E41" s="49"/>
      <c r="F41" s="50"/>
      <c r="G41" s="50"/>
      <c r="H41" s="50"/>
      <c r="I41" s="50"/>
      <c r="J41" s="50"/>
      <c r="K41" s="50"/>
      <c r="L41" s="50"/>
      <c r="M41" s="50"/>
      <c r="N41" s="50"/>
      <c r="O41" s="50"/>
      <c r="P41" s="50"/>
      <c r="Q41" s="50"/>
      <c r="R41" s="50"/>
      <c r="S41" s="50"/>
      <c r="T41" s="50"/>
      <c r="U41" s="50"/>
      <c r="V41" s="50"/>
      <c r="W41" s="50"/>
      <c r="X41" s="50"/>
      <c r="Y41" s="50"/>
      <c r="Z41" s="43" t="str">
        <f t="shared" si="0"/>
        <v>Очікую</v>
      </c>
      <c r="AA41" s="22"/>
      <c r="AB41" s="40"/>
    </row>
    <row r="42" spans="1:28" s="11" customFormat="1" ht="15" customHeight="1" x14ac:dyDescent="0.25">
      <c r="A42" s="41"/>
      <c r="B42" s="12"/>
      <c r="C42" s="48"/>
      <c r="D42" s="48">
        <v>33</v>
      </c>
      <c r="E42" s="49"/>
      <c r="F42" s="50"/>
      <c r="G42" s="50"/>
      <c r="H42" s="50"/>
      <c r="I42" s="50"/>
      <c r="J42" s="50"/>
      <c r="K42" s="50"/>
      <c r="L42" s="50"/>
      <c r="M42" s="50"/>
      <c r="N42" s="50"/>
      <c r="O42" s="50"/>
      <c r="P42" s="50"/>
      <c r="Q42" s="50"/>
      <c r="R42" s="50"/>
      <c r="S42" s="50"/>
      <c r="T42" s="50"/>
      <c r="U42" s="50"/>
      <c r="V42" s="50"/>
      <c r="W42" s="50"/>
      <c r="X42" s="50"/>
      <c r="Y42" s="50"/>
      <c r="Z42" s="43" t="str">
        <f t="shared" si="0"/>
        <v>Очікую</v>
      </c>
      <c r="AA42" s="22"/>
      <c r="AB42" s="40"/>
    </row>
    <row r="43" spans="1:28" s="11" customFormat="1" ht="15" customHeight="1" x14ac:dyDescent="0.25">
      <c r="A43" s="41"/>
      <c r="B43" s="12"/>
      <c r="C43" s="48"/>
      <c r="D43" s="48">
        <v>34</v>
      </c>
      <c r="E43" s="49"/>
      <c r="F43" s="50"/>
      <c r="G43" s="50"/>
      <c r="H43" s="50"/>
      <c r="I43" s="50"/>
      <c r="J43" s="50"/>
      <c r="K43" s="50"/>
      <c r="L43" s="50"/>
      <c r="M43" s="50"/>
      <c r="N43" s="50"/>
      <c r="O43" s="50"/>
      <c r="P43" s="50"/>
      <c r="Q43" s="50"/>
      <c r="R43" s="50"/>
      <c r="S43" s="50"/>
      <c r="T43" s="50"/>
      <c r="U43" s="50"/>
      <c r="V43" s="50"/>
      <c r="W43" s="50"/>
      <c r="X43" s="50"/>
      <c r="Y43" s="50"/>
      <c r="Z43" s="43" t="str">
        <f t="shared" si="0"/>
        <v>Очікую</v>
      </c>
      <c r="AA43" s="22"/>
      <c r="AB43" s="40"/>
    </row>
    <row r="44" spans="1:28" s="11" customFormat="1" ht="15" customHeight="1" x14ac:dyDescent="0.25">
      <c r="A44" s="41"/>
      <c r="B44" s="12"/>
      <c r="C44" s="48"/>
      <c r="D44" s="48">
        <v>35</v>
      </c>
      <c r="E44" s="49"/>
      <c r="F44" s="50"/>
      <c r="G44" s="50"/>
      <c r="H44" s="50"/>
      <c r="I44" s="50"/>
      <c r="J44" s="50"/>
      <c r="K44" s="50"/>
      <c r="L44" s="50"/>
      <c r="M44" s="50"/>
      <c r="N44" s="50"/>
      <c r="O44" s="50"/>
      <c r="P44" s="50"/>
      <c r="Q44" s="50"/>
      <c r="R44" s="50"/>
      <c r="S44" s="50"/>
      <c r="T44" s="50"/>
      <c r="U44" s="50"/>
      <c r="V44" s="50"/>
      <c r="W44" s="50"/>
      <c r="X44" s="50"/>
      <c r="Y44" s="50"/>
      <c r="Z44" s="43" t="str">
        <f t="shared" si="0"/>
        <v>Очікую</v>
      </c>
      <c r="AA44" s="22"/>
      <c r="AB44" s="40"/>
    </row>
    <row r="45" spans="1:28" s="11" customFormat="1" ht="15" customHeight="1" x14ac:dyDescent="0.25">
      <c r="A45" s="41"/>
      <c r="B45" s="12"/>
      <c r="C45" s="48"/>
      <c r="D45" s="48">
        <v>36</v>
      </c>
      <c r="E45" s="49"/>
      <c r="F45" s="50"/>
      <c r="G45" s="50"/>
      <c r="H45" s="50"/>
      <c r="I45" s="50"/>
      <c r="J45" s="50"/>
      <c r="K45" s="50"/>
      <c r="L45" s="50"/>
      <c r="M45" s="50"/>
      <c r="N45" s="50"/>
      <c r="O45" s="50"/>
      <c r="P45" s="50"/>
      <c r="Q45" s="50"/>
      <c r="R45" s="50"/>
      <c r="S45" s="50"/>
      <c r="T45" s="50"/>
      <c r="U45" s="50"/>
      <c r="V45" s="50"/>
      <c r="W45" s="50"/>
      <c r="X45" s="50"/>
      <c r="Y45" s="50"/>
      <c r="Z45" s="43" t="str">
        <f t="shared" si="0"/>
        <v>Очікую</v>
      </c>
      <c r="AA45" s="22"/>
      <c r="AB45" s="40"/>
    </row>
    <row r="46" spans="1:28" s="11" customFormat="1" ht="15" customHeight="1" x14ac:dyDescent="0.25">
      <c r="A46" s="41"/>
      <c r="B46" s="12"/>
      <c r="C46" s="48"/>
      <c r="D46" s="48">
        <v>37</v>
      </c>
      <c r="E46" s="49"/>
      <c r="F46" s="50"/>
      <c r="G46" s="50"/>
      <c r="H46" s="50"/>
      <c r="I46" s="50"/>
      <c r="J46" s="50"/>
      <c r="K46" s="50"/>
      <c r="L46" s="50"/>
      <c r="M46" s="50"/>
      <c r="N46" s="50"/>
      <c r="O46" s="50"/>
      <c r="P46" s="50"/>
      <c r="Q46" s="50"/>
      <c r="R46" s="50"/>
      <c r="S46" s="50"/>
      <c r="T46" s="50"/>
      <c r="U46" s="50"/>
      <c r="V46" s="50"/>
      <c r="W46" s="50"/>
      <c r="X46" s="50"/>
      <c r="Y46" s="50"/>
      <c r="Z46" s="43" t="str">
        <f t="shared" si="0"/>
        <v>Очікую</v>
      </c>
      <c r="AA46" s="22"/>
      <c r="AB46" s="40"/>
    </row>
    <row r="47" spans="1:28" s="11" customFormat="1" ht="15" customHeight="1" x14ac:dyDescent="0.25">
      <c r="A47" s="41"/>
      <c r="B47" s="12"/>
      <c r="C47" s="48"/>
      <c r="D47" s="48">
        <v>38</v>
      </c>
      <c r="E47" s="49"/>
      <c r="F47" s="50"/>
      <c r="G47" s="50"/>
      <c r="H47" s="50"/>
      <c r="I47" s="50"/>
      <c r="J47" s="50"/>
      <c r="K47" s="50"/>
      <c r="L47" s="50"/>
      <c r="M47" s="50"/>
      <c r="N47" s="50"/>
      <c r="O47" s="50"/>
      <c r="P47" s="50"/>
      <c r="Q47" s="50"/>
      <c r="R47" s="50"/>
      <c r="S47" s="50"/>
      <c r="T47" s="50"/>
      <c r="U47" s="50"/>
      <c r="V47" s="50"/>
      <c r="W47" s="50"/>
      <c r="X47" s="50"/>
      <c r="Y47" s="50"/>
      <c r="Z47" s="43" t="str">
        <f t="shared" si="0"/>
        <v>Очікую</v>
      </c>
      <c r="AA47" s="22"/>
      <c r="AB47" s="40"/>
    </row>
    <row r="48" spans="1:28" s="11" customFormat="1" ht="15" customHeight="1" x14ac:dyDescent="0.25">
      <c r="A48" s="41"/>
      <c r="B48" s="12"/>
      <c r="C48" s="48"/>
      <c r="D48" s="48">
        <v>39</v>
      </c>
      <c r="E48" s="49"/>
      <c r="F48" s="50"/>
      <c r="G48" s="50"/>
      <c r="H48" s="50"/>
      <c r="I48" s="50"/>
      <c r="J48" s="50"/>
      <c r="K48" s="50"/>
      <c r="L48" s="50"/>
      <c r="M48" s="50"/>
      <c r="N48" s="50"/>
      <c r="O48" s="50"/>
      <c r="P48" s="50"/>
      <c r="Q48" s="50"/>
      <c r="R48" s="50"/>
      <c r="S48" s="50"/>
      <c r="T48" s="50"/>
      <c r="U48" s="50"/>
      <c r="V48" s="50"/>
      <c r="W48" s="50"/>
      <c r="X48" s="50"/>
      <c r="Y48" s="50"/>
      <c r="Z48" s="43" t="str">
        <f t="shared" si="0"/>
        <v>Очікую</v>
      </c>
      <c r="AA48" s="22"/>
      <c r="AB48" s="40"/>
    </row>
    <row r="49" spans="1:28" s="11" customFormat="1" ht="15" customHeight="1" x14ac:dyDescent="0.25">
      <c r="A49" s="41"/>
      <c r="B49" s="12"/>
      <c r="C49" s="48"/>
      <c r="D49" s="48">
        <v>40</v>
      </c>
      <c r="E49" s="49"/>
      <c r="F49" s="50"/>
      <c r="G49" s="50"/>
      <c r="H49" s="50"/>
      <c r="I49" s="50"/>
      <c r="J49" s="50"/>
      <c r="K49" s="50"/>
      <c r="L49" s="50"/>
      <c r="M49" s="50"/>
      <c r="N49" s="50"/>
      <c r="O49" s="50"/>
      <c r="P49" s="50"/>
      <c r="Q49" s="50"/>
      <c r="R49" s="50"/>
      <c r="S49" s="50"/>
      <c r="T49" s="50"/>
      <c r="U49" s="50"/>
      <c r="V49" s="50"/>
      <c r="W49" s="50"/>
      <c r="X49" s="50"/>
      <c r="Y49" s="50"/>
      <c r="Z49" s="43" t="str">
        <f t="shared" si="0"/>
        <v>Очікую</v>
      </c>
      <c r="AA49" s="22"/>
      <c r="AB49" s="40"/>
    </row>
    <row r="50" spans="1:28" s="11" customFormat="1" ht="15" customHeight="1" x14ac:dyDescent="0.25">
      <c r="A50" s="41"/>
      <c r="B50" s="12"/>
      <c r="C50" s="48"/>
      <c r="D50" s="48">
        <v>41</v>
      </c>
      <c r="E50" s="49"/>
      <c r="F50" s="50"/>
      <c r="G50" s="50"/>
      <c r="H50" s="50"/>
      <c r="I50" s="50"/>
      <c r="J50" s="50"/>
      <c r="K50" s="50"/>
      <c r="L50" s="50"/>
      <c r="M50" s="50"/>
      <c r="N50" s="50"/>
      <c r="O50" s="50"/>
      <c r="P50" s="50"/>
      <c r="Q50" s="50"/>
      <c r="R50" s="50"/>
      <c r="S50" s="50"/>
      <c r="T50" s="50"/>
      <c r="U50" s="50"/>
      <c r="V50" s="50"/>
      <c r="W50" s="50"/>
      <c r="X50" s="50"/>
      <c r="Y50" s="50"/>
      <c r="Z50" s="43" t="str">
        <f t="shared" si="0"/>
        <v>Очікую</v>
      </c>
      <c r="AA50" s="22"/>
      <c r="AB50" s="40"/>
    </row>
    <row r="51" spans="1:28" s="11" customFormat="1" ht="15" customHeight="1" x14ac:dyDescent="0.25">
      <c r="A51" s="41"/>
      <c r="B51" s="12"/>
      <c r="C51" s="48"/>
      <c r="D51" s="48">
        <v>42</v>
      </c>
      <c r="E51" s="49"/>
      <c r="F51" s="50"/>
      <c r="G51" s="50"/>
      <c r="H51" s="50"/>
      <c r="I51" s="50"/>
      <c r="J51" s="50"/>
      <c r="K51" s="50"/>
      <c r="L51" s="50"/>
      <c r="M51" s="50"/>
      <c r="N51" s="50"/>
      <c r="O51" s="50"/>
      <c r="P51" s="50"/>
      <c r="Q51" s="50"/>
      <c r="R51" s="50"/>
      <c r="S51" s="50"/>
      <c r="T51" s="50"/>
      <c r="U51" s="50"/>
      <c r="V51" s="50"/>
      <c r="W51" s="50"/>
      <c r="X51" s="50"/>
      <c r="Y51" s="50"/>
      <c r="Z51" s="43" t="str">
        <f t="shared" si="0"/>
        <v>Очікую</v>
      </c>
      <c r="AA51" s="22"/>
      <c r="AB51" s="40"/>
    </row>
    <row r="52" spans="1:28" s="11" customFormat="1" ht="15" customHeight="1" x14ac:dyDescent="0.25">
      <c r="A52" s="41"/>
      <c r="B52" s="12"/>
      <c r="C52" s="48"/>
      <c r="D52" s="48">
        <v>43</v>
      </c>
      <c r="E52" s="49"/>
      <c r="F52" s="50"/>
      <c r="G52" s="50"/>
      <c r="H52" s="50"/>
      <c r="I52" s="50"/>
      <c r="J52" s="50"/>
      <c r="K52" s="50"/>
      <c r="L52" s="50"/>
      <c r="M52" s="50"/>
      <c r="N52" s="50"/>
      <c r="O52" s="50"/>
      <c r="P52" s="50"/>
      <c r="Q52" s="50"/>
      <c r="R52" s="50"/>
      <c r="S52" s="50"/>
      <c r="T52" s="50"/>
      <c r="U52" s="50"/>
      <c r="V52" s="50"/>
      <c r="W52" s="50"/>
      <c r="X52" s="50"/>
      <c r="Y52" s="50"/>
      <c r="Z52" s="43" t="str">
        <f t="shared" si="0"/>
        <v>Очікую</v>
      </c>
      <c r="AA52" s="22"/>
      <c r="AB52" s="40"/>
    </row>
    <row r="53" spans="1:28" s="11" customFormat="1" ht="15" customHeight="1" x14ac:dyDescent="0.25">
      <c r="A53" s="41"/>
      <c r="B53" s="12"/>
      <c r="C53" s="48"/>
      <c r="D53" s="48">
        <v>44</v>
      </c>
      <c r="E53" s="49"/>
      <c r="F53" s="50"/>
      <c r="G53" s="50"/>
      <c r="H53" s="50"/>
      <c r="I53" s="50"/>
      <c r="J53" s="50"/>
      <c r="K53" s="50"/>
      <c r="L53" s="50"/>
      <c r="M53" s="50"/>
      <c r="N53" s="50"/>
      <c r="O53" s="50"/>
      <c r="P53" s="50"/>
      <c r="Q53" s="50"/>
      <c r="R53" s="50"/>
      <c r="S53" s="50"/>
      <c r="T53" s="50"/>
      <c r="U53" s="50"/>
      <c r="V53" s="50"/>
      <c r="W53" s="50"/>
      <c r="X53" s="50"/>
      <c r="Y53" s="50"/>
      <c r="Z53" s="43" t="str">
        <f t="shared" si="0"/>
        <v>Очікую</v>
      </c>
      <c r="AA53" s="22"/>
      <c r="AB53" s="40"/>
    </row>
    <row r="54" spans="1:28" s="11" customFormat="1" ht="15" customHeight="1" x14ac:dyDescent="0.25">
      <c r="A54" s="41"/>
      <c r="B54" s="12"/>
      <c r="C54" s="48"/>
      <c r="D54" s="48">
        <v>45</v>
      </c>
      <c r="E54" s="49"/>
      <c r="F54" s="50"/>
      <c r="G54" s="50"/>
      <c r="H54" s="50"/>
      <c r="I54" s="50"/>
      <c r="J54" s="50"/>
      <c r="K54" s="50"/>
      <c r="L54" s="50"/>
      <c r="M54" s="50"/>
      <c r="N54" s="50"/>
      <c r="O54" s="50"/>
      <c r="P54" s="50"/>
      <c r="Q54" s="50"/>
      <c r="R54" s="50"/>
      <c r="S54" s="50"/>
      <c r="T54" s="50"/>
      <c r="U54" s="50"/>
      <c r="V54" s="50"/>
      <c r="W54" s="50"/>
      <c r="X54" s="50"/>
      <c r="Y54" s="50"/>
      <c r="Z54" s="43" t="str">
        <f t="shared" si="0"/>
        <v>Очікую</v>
      </c>
      <c r="AA54" s="22"/>
      <c r="AB54" s="40"/>
    </row>
    <row r="55" spans="1:28" s="11" customFormat="1" ht="15" customHeight="1" x14ac:dyDescent="0.25">
      <c r="A55" s="41"/>
      <c r="B55" s="12"/>
      <c r="C55" s="48"/>
      <c r="D55" s="48">
        <v>46</v>
      </c>
      <c r="E55" s="49"/>
      <c r="F55" s="50"/>
      <c r="G55" s="50"/>
      <c r="H55" s="50"/>
      <c r="I55" s="50"/>
      <c r="J55" s="50"/>
      <c r="K55" s="50"/>
      <c r="L55" s="50"/>
      <c r="M55" s="50"/>
      <c r="N55" s="50"/>
      <c r="O55" s="50"/>
      <c r="P55" s="50"/>
      <c r="Q55" s="50"/>
      <c r="R55" s="50"/>
      <c r="S55" s="50"/>
      <c r="T55" s="50"/>
      <c r="U55" s="50"/>
      <c r="V55" s="50"/>
      <c r="W55" s="50"/>
      <c r="X55" s="50"/>
      <c r="Y55" s="50"/>
      <c r="Z55" s="43" t="str">
        <f t="shared" si="0"/>
        <v>Очікую</v>
      </c>
      <c r="AA55" s="22"/>
      <c r="AB55" s="40"/>
    </row>
    <row r="56" spans="1:28" s="11" customFormat="1" ht="15" customHeight="1" x14ac:dyDescent="0.25">
      <c r="A56" s="41"/>
      <c r="B56" s="12"/>
      <c r="C56" s="48"/>
      <c r="D56" s="48">
        <v>47</v>
      </c>
      <c r="E56" s="49"/>
      <c r="F56" s="50"/>
      <c r="G56" s="50"/>
      <c r="H56" s="50"/>
      <c r="I56" s="50"/>
      <c r="J56" s="50"/>
      <c r="K56" s="50"/>
      <c r="L56" s="50"/>
      <c r="M56" s="50"/>
      <c r="N56" s="50"/>
      <c r="O56" s="50"/>
      <c r="P56" s="50"/>
      <c r="Q56" s="50"/>
      <c r="R56" s="50"/>
      <c r="S56" s="50"/>
      <c r="T56" s="50"/>
      <c r="U56" s="50"/>
      <c r="V56" s="50"/>
      <c r="W56" s="50"/>
      <c r="X56" s="50"/>
      <c r="Y56" s="50"/>
      <c r="Z56" s="43" t="str">
        <f t="shared" si="0"/>
        <v>Очікую</v>
      </c>
      <c r="AA56" s="22"/>
      <c r="AB56" s="40"/>
    </row>
    <row r="57" spans="1:28" s="11" customFormat="1" ht="15" customHeight="1" x14ac:dyDescent="0.25">
      <c r="A57" s="41"/>
      <c r="B57" s="12"/>
      <c r="C57" s="48"/>
      <c r="D57" s="48">
        <v>48</v>
      </c>
      <c r="E57" s="49"/>
      <c r="F57" s="50"/>
      <c r="G57" s="50"/>
      <c r="H57" s="50"/>
      <c r="I57" s="50"/>
      <c r="J57" s="50"/>
      <c r="K57" s="50"/>
      <c r="L57" s="50"/>
      <c r="M57" s="50"/>
      <c r="N57" s="50"/>
      <c r="O57" s="50"/>
      <c r="P57" s="50"/>
      <c r="Q57" s="50"/>
      <c r="R57" s="50"/>
      <c r="S57" s="50"/>
      <c r="T57" s="50"/>
      <c r="U57" s="50"/>
      <c r="V57" s="50"/>
      <c r="W57" s="50"/>
      <c r="X57" s="50"/>
      <c r="Y57" s="50"/>
      <c r="Z57" s="43" t="str">
        <f t="shared" si="0"/>
        <v>Очікую</v>
      </c>
      <c r="AA57" s="22"/>
      <c r="AB57" s="40"/>
    </row>
    <row r="58" spans="1:28" s="11" customFormat="1" ht="15" customHeight="1" x14ac:dyDescent="0.25">
      <c r="A58" s="41"/>
      <c r="B58" s="12"/>
      <c r="C58" s="48"/>
      <c r="D58" s="48">
        <v>49</v>
      </c>
      <c r="E58" s="49"/>
      <c r="F58" s="50"/>
      <c r="G58" s="50"/>
      <c r="H58" s="50"/>
      <c r="I58" s="50"/>
      <c r="J58" s="50"/>
      <c r="K58" s="50"/>
      <c r="L58" s="50"/>
      <c r="M58" s="50"/>
      <c r="N58" s="50"/>
      <c r="O58" s="50"/>
      <c r="P58" s="50"/>
      <c r="Q58" s="50"/>
      <c r="R58" s="50"/>
      <c r="S58" s="50"/>
      <c r="T58" s="50"/>
      <c r="U58" s="50"/>
      <c r="V58" s="50"/>
      <c r="W58" s="50"/>
      <c r="X58" s="50"/>
      <c r="Y58" s="50"/>
      <c r="Z58" s="43" t="str">
        <f t="shared" si="0"/>
        <v>Очікую</v>
      </c>
      <c r="AA58" s="22"/>
      <c r="AB58" s="40"/>
    </row>
    <row r="59" spans="1:28" s="11" customFormat="1" ht="15" customHeight="1" x14ac:dyDescent="0.25">
      <c r="A59" s="41"/>
      <c r="B59" s="12"/>
      <c r="C59" s="48"/>
      <c r="D59" s="48">
        <v>50</v>
      </c>
      <c r="E59" s="49"/>
      <c r="F59" s="50"/>
      <c r="G59" s="50"/>
      <c r="H59" s="50"/>
      <c r="I59" s="50"/>
      <c r="J59" s="50"/>
      <c r="K59" s="50"/>
      <c r="L59" s="50"/>
      <c r="M59" s="50"/>
      <c r="N59" s="50"/>
      <c r="O59" s="50"/>
      <c r="P59" s="50"/>
      <c r="Q59" s="50"/>
      <c r="R59" s="50"/>
      <c r="S59" s="50"/>
      <c r="T59" s="50"/>
      <c r="U59" s="50"/>
      <c r="V59" s="50"/>
      <c r="W59" s="50"/>
      <c r="X59" s="50"/>
      <c r="Y59" s="50"/>
      <c r="Z59" s="43" t="str">
        <f t="shared" si="0"/>
        <v>Очікую</v>
      </c>
      <c r="AA59" s="22"/>
      <c r="AB59" s="40"/>
    </row>
    <row r="60" spans="1:28" s="11" customFormat="1" ht="15" customHeight="1" x14ac:dyDescent="0.25">
      <c r="A60" s="41"/>
      <c r="B60" s="12"/>
      <c r="C60" s="48"/>
      <c r="D60" s="48">
        <v>51</v>
      </c>
      <c r="E60" s="49"/>
      <c r="F60" s="50"/>
      <c r="G60" s="50"/>
      <c r="H60" s="50"/>
      <c r="I60" s="50"/>
      <c r="J60" s="50"/>
      <c r="K60" s="50"/>
      <c r="L60" s="50"/>
      <c r="M60" s="50"/>
      <c r="N60" s="50"/>
      <c r="O60" s="50"/>
      <c r="P60" s="50"/>
      <c r="Q60" s="50"/>
      <c r="R60" s="50"/>
      <c r="S60" s="50"/>
      <c r="T60" s="50"/>
      <c r="U60" s="50"/>
      <c r="V60" s="50"/>
      <c r="W60" s="50"/>
      <c r="X60" s="50"/>
      <c r="Y60" s="50"/>
      <c r="Z60" s="43" t="str">
        <f t="shared" si="0"/>
        <v>Очікую</v>
      </c>
      <c r="AA60" s="22"/>
      <c r="AB60" s="40"/>
    </row>
    <row r="61" spans="1:28" s="11" customFormat="1" ht="15" customHeight="1" x14ac:dyDescent="0.25">
      <c r="A61" s="41"/>
      <c r="B61" s="12"/>
      <c r="C61" s="48"/>
      <c r="D61" s="48">
        <v>52</v>
      </c>
      <c r="E61" s="49"/>
      <c r="F61" s="50"/>
      <c r="G61" s="50"/>
      <c r="H61" s="50"/>
      <c r="I61" s="50"/>
      <c r="J61" s="50"/>
      <c r="K61" s="50"/>
      <c r="L61" s="50"/>
      <c r="M61" s="50"/>
      <c r="N61" s="50"/>
      <c r="O61" s="50"/>
      <c r="P61" s="50"/>
      <c r="Q61" s="50"/>
      <c r="R61" s="50"/>
      <c r="S61" s="50"/>
      <c r="T61" s="50"/>
      <c r="U61" s="50"/>
      <c r="V61" s="50"/>
      <c r="W61" s="50"/>
      <c r="X61" s="50"/>
      <c r="Y61" s="50"/>
      <c r="Z61" s="43" t="str">
        <f t="shared" si="0"/>
        <v>Очікую</v>
      </c>
      <c r="AA61" s="22"/>
      <c r="AB61" s="40"/>
    </row>
    <row r="62" spans="1:28" s="11" customFormat="1" ht="15" customHeight="1" x14ac:dyDescent="0.25">
      <c r="A62" s="41"/>
      <c r="B62" s="12"/>
      <c r="C62" s="48"/>
      <c r="D62" s="48">
        <v>53</v>
      </c>
      <c r="E62" s="49"/>
      <c r="F62" s="50"/>
      <c r="G62" s="50"/>
      <c r="H62" s="50"/>
      <c r="I62" s="50"/>
      <c r="J62" s="50"/>
      <c r="K62" s="50"/>
      <c r="L62" s="50"/>
      <c r="M62" s="50"/>
      <c r="N62" s="50"/>
      <c r="O62" s="50"/>
      <c r="P62" s="50"/>
      <c r="Q62" s="50"/>
      <c r="R62" s="50"/>
      <c r="S62" s="50"/>
      <c r="T62" s="50"/>
      <c r="U62" s="50"/>
      <c r="V62" s="50"/>
      <c r="W62" s="50"/>
      <c r="X62" s="50"/>
      <c r="Y62" s="50"/>
      <c r="Z62" s="43" t="str">
        <f t="shared" si="0"/>
        <v>Очікую</v>
      </c>
      <c r="AA62" s="22"/>
      <c r="AB62" s="40"/>
    </row>
    <row r="63" spans="1:28" s="11" customFormat="1" ht="15" customHeight="1" x14ac:dyDescent="0.25">
      <c r="A63" s="41"/>
      <c r="B63" s="12"/>
      <c r="C63" s="48"/>
      <c r="D63" s="48">
        <v>54</v>
      </c>
      <c r="E63" s="49"/>
      <c r="F63" s="50"/>
      <c r="G63" s="50"/>
      <c r="H63" s="50"/>
      <c r="I63" s="50"/>
      <c r="J63" s="50"/>
      <c r="K63" s="50"/>
      <c r="L63" s="50"/>
      <c r="M63" s="50"/>
      <c r="N63" s="50"/>
      <c r="O63" s="50"/>
      <c r="P63" s="50"/>
      <c r="Q63" s="50"/>
      <c r="R63" s="50"/>
      <c r="S63" s="50"/>
      <c r="T63" s="50"/>
      <c r="U63" s="50"/>
      <c r="V63" s="50"/>
      <c r="W63" s="50"/>
      <c r="X63" s="50"/>
      <c r="Y63" s="50"/>
      <c r="Z63" s="43" t="str">
        <f t="shared" si="0"/>
        <v>Очікую</v>
      </c>
      <c r="AA63" s="22"/>
      <c r="AB63" s="40"/>
    </row>
    <row r="64" spans="1:28" s="11" customFormat="1" ht="15" customHeight="1" x14ac:dyDescent="0.25">
      <c r="A64" s="41"/>
      <c r="B64" s="12"/>
      <c r="C64" s="48"/>
      <c r="D64" s="48">
        <v>55</v>
      </c>
      <c r="E64" s="49"/>
      <c r="F64" s="50"/>
      <c r="G64" s="50"/>
      <c r="H64" s="50"/>
      <c r="I64" s="50"/>
      <c r="J64" s="50"/>
      <c r="K64" s="50"/>
      <c r="L64" s="50"/>
      <c r="M64" s="50"/>
      <c r="N64" s="50"/>
      <c r="O64" s="50"/>
      <c r="P64" s="50"/>
      <c r="Q64" s="50"/>
      <c r="R64" s="50"/>
      <c r="S64" s="50"/>
      <c r="T64" s="50"/>
      <c r="U64" s="50"/>
      <c r="V64" s="50"/>
      <c r="W64" s="50"/>
      <c r="X64" s="50"/>
      <c r="Y64" s="50"/>
      <c r="Z64" s="43" t="str">
        <f t="shared" si="0"/>
        <v>Очікую</v>
      </c>
      <c r="AA64" s="22"/>
      <c r="AB64" s="40"/>
    </row>
    <row r="65" spans="1:28" s="11" customFormat="1" ht="15" customHeight="1" x14ac:dyDescent="0.25">
      <c r="A65" s="41"/>
      <c r="B65" s="12"/>
      <c r="C65" s="48"/>
      <c r="D65" s="48">
        <v>56</v>
      </c>
      <c r="E65" s="49"/>
      <c r="F65" s="50"/>
      <c r="G65" s="50"/>
      <c r="H65" s="50"/>
      <c r="I65" s="50"/>
      <c r="J65" s="50"/>
      <c r="K65" s="50"/>
      <c r="L65" s="50"/>
      <c r="M65" s="50"/>
      <c r="N65" s="50"/>
      <c r="O65" s="50"/>
      <c r="P65" s="50"/>
      <c r="Q65" s="50"/>
      <c r="R65" s="50"/>
      <c r="S65" s="50"/>
      <c r="T65" s="50"/>
      <c r="U65" s="50"/>
      <c r="V65" s="50"/>
      <c r="W65" s="50"/>
      <c r="X65" s="50"/>
      <c r="Y65" s="50"/>
      <c r="Z65" s="43" t="str">
        <f t="shared" si="0"/>
        <v>Очікую</v>
      </c>
      <c r="AA65" s="22"/>
      <c r="AB65" s="40"/>
    </row>
    <row r="66" spans="1:28" s="11" customFormat="1" ht="15" customHeight="1" x14ac:dyDescent="0.25">
      <c r="A66" s="41"/>
      <c r="B66" s="12"/>
      <c r="C66" s="48"/>
      <c r="D66" s="48">
        <v>57</v>
      </c>
      <c r="E66" s="49"/>
      <c r="F66" s="50"/>
      <c r="G66" s="50"/>
      <c r="H66" s="50"/>
      <c r="I66" s="50"/>
      <c r="J66" s="50"/>
      <c r="K66" s="50"/>
      <c r="L66" s="50"/>
      <c r="M66" s="50"/>
      <c r="N66" s="50"/>
      <c r="O66" s="50"/>
      <c r="P66" s="50"/>
      <c r="Q66" s="50"/>
      <c r="R66" s="50"/>
      <c r="S66" s="50"/>
      <c r="T66" s="50"/>
      <c r="U66" s="50"/>
      <c r="V66" s="50"/>
      <c r="W66" s="50"/>
      <c r="X66" s="50"/>
      <c r="Y66" s="50"/>
      <c r="Z66" s="43" t="str">
        <f t="shared" si="0"/>
        <v>Очікую</v>
      </c>
      <c r="AA66" s="22"/>
      <c r="AB66" s="40"/>
    </row>
    <row r="67" spans="1:28" s="11" customFormat="1" ht="15" customHeight="1" x14ac:dyDescent="0.25">
      <c r="A67" s="41"/>
      <c r="B67" s="12"/>
      <c r="C67" s="48"/>
      <c r="D67" s="48">
        <v>58</v>
      </c>
      <c r="E67" s="49"/>
      <c r="F67" s="50"/>
      <c r="G67" s="50"/>
      <c r="H67" s="50"/>
      <c r="I67" s="50"/>
      <c r="J67" s="50"/>
      <c r="K67" s="50"/>
      <c r="L67" s="50"/>
      <c r="M67" s="50"/>
      <c r="N67" s="50"/>
      <c r="O67" s="50"/>
      <c r="P67" s="50"/>
      <c r="Q67" s="50"/>
      <c r="R67" s="50"/>
      <c r="S67" s="50"/>
      <c r="T67" s="50"/>
      <c r="U67" s="50"/>
      <c r="V67" s="50"/>
      <c r="W67" s="50"/>
      <c r="X67" s="50"/>
      <c r="Y67" s="50"/>
      <c r="Z67" s="43" t="str">
        <f t="shared" si="0"/>
        <v>Очікую</v>
      </c>
      <c r="AA67" s="22"/>
      <c r="AB67" s="40"/>
    </row>
    <row r="68" spans="1:28" s="11" customFormat="1" ht="15" customHeight="1" x14ac:dyDescent="0.25">
      <c r="A68" s="41"/>
      <c r="B68" s="12"/>
      <c r="C68" s="48"/>
      <c r="D68" s="48">
        <v>59</v>
      </c>
      <c r="E68" s="49"/>
      <c r="F68" s="50"/>
      <c r="G68" s="50"/>
      <c r="H68" s="50"/>
      <c r="I68" s="50"/>
      <c r="J68" s="50"/>
      <c r="K68" s="50"/>
      <c r="L68" s="50"/>
      <c r="M68" s="50"/>
      <c r="N68" s="50"/>
      <c r="O68" s="50"/>
      <c r="P68" s="50"/>
      <c r="Q68" s="50"/>
      <c r="R68" s="50"/>
      <c r="S68" s="50"/>
      <c r="T68" s="50"/>
      <c r="U68" s="50"/>
      <c r="V68" s="50"/>
      <c r="W68" s="50"/>
      <c r="X68" s="50"/>
      <c r="Y68" s="50"/>
      <c r="Z68" s="43" t="str">
        <f t="shared" si="0"/>
        <v>Очікую</v>
      </c>
      <c r="AA68" s="22"/>
      <c r="AB68" s="40"/>
    </row>
    <row r="69" spans="1:28" s="11" customFormat="1" ht="15" customHeight="1" x14ac:dyDescent="0.25">
      <c r="A69" s="41"/>
      <c r="B69" s="12"/>
      <c r="C69" s="48"/>
      <c r="D69" s="48">
        <v>60</v>
      </c>
      <c r="E69" s="49"/>
      <c r="F69" s="50"/>
      <c r="G69" s="50"/>
      <c r="H69" s="50"/>
      <c r="I69" s="50"/>
      <c r="J69" s="50"/>
      <c r="K69" s="50"/>
      <c r="L69" s="50"/>
      <c r="M69" s="50"/>
      <c r="N69" s="50"/>
      <c r="O69" s="50"/>
      <c r="P69" s="50"/>
      <c r="Q69" s="50"/>
      <c r="R69" s="50"/>
      <c r="S69" s="50"/>
      <c r="T69" s="50"/>
      <c r="U69" s="50"/>
      <c r="V69" s="50"/>
      <c r="W69" s="50"/>
      <c r="X69" s="50"/>
      <c r="Y69" s="50"/>
      <c r="Z69" s="43" t="str">
        <f t="shared" si="0"/>
        <v>Очікую</v>
      </c>
      <c r="AA69" s="22"/>
      <c r="AB69" s="40"/>
    </row>
    <row r="70" spans="1:28" s="11" customFormat="1" ht="15" customHeight="1" x14ac:dyDescent="0.25">
      <c r="A70" s="41"/>
      <c r="B70" s="12"/>
      <c r="C70" s="48"/>
      <c r="D70" s="48">
        <v>61</v>
      </c>
      <c r="E70" s="49"/>
      <c r="F70" s="50"/>
      <c r="G70" s="50"/>
      <c r="H70" s="50"/>
      <c r="I70" s="50"/>
      <c r="J70" s="50"/>
      <c r="K70" s="50"/>
      <c r="L70" s="50"/>
      <c r="M70" s="50"/>
      <c r="N70" s="50"/>
      <c r="O70" s="50"/>
      <c r="P70" s="50"/>
      <c r="Q70" s="50"/>
      <c r="R70" s="50"/>
      <c r="S70" s="50"/>
      <c r="T70" s="50"/>
      <c r="U70" s="50"/>
      <c r="V70" s="50"/>
      <c r="W70" s="50"/>
      <c r="X70" s="50"/>
      <c r="Y70" s="50"/>
      <c r="Z70" s="43" t="str">
        <f t="shared" si="0"/>
        <v>Очікую</v>
      </c>
      <c r="AA70" s="22"/>
      <c r="AB70" s="40"/>
    </row>
    <row r="71" spans="1:28" s="11" customFormat="1" ht="15" customHeight="1" x14ac:dyDescent="0.25">
      <c r="A71" s="41"/>
      <c r="B71" s="12"/>
      <c r="C71" s="48"/>
      <c r="D71" s="48">
        <v>62</v>
      </c>
      <c r="E71" s="49"/>
      <c r="F71" s="50"/>
      <c r="G71" s="50"/>
      <c r="H71" s="50"/>
      <c r="I71" s="50"/>
      <c r="J71" s="50"/>
      <c r="K71" s="50"/>
      <c r="L71" s="50"/>
      <c r="M71" s="50"/>
      <c r="N71" s="50"/>
      <c r="O71" s="50"/>
      <c r="P71" s="50"/>
      <c r="Q71" s="50"/>
      <c r="R71" s="50"/>
      <c r="S71" s="50"/>
      <c r="T71" s="50"/>
      <c r="U71" s="50"/>
      <c r="V71" s="50"/>
      <c r="W71" s="50"/>
      <c r="X71" s="50"/>
      <c r="Y71" s="50"/>
      <c r="Z71" s="43" t="str">
        <f t="shared" si="0"/>
        <v>Очікую</v>
      </c>
      <c r="AA71" s="22"/>
      <c r="AB71" s="40"/>
    </row>
    <row r="72" spans="1:28" s="11" customFormat="1" ht="15" customHeight="1" x14ac:dyDescent="0.25">
      <c r="A72" s="41"/>
      <c r="B72" s="12"/>
      <c r="C72" s="48"/>
      <c r="D72" s="48">
        <v>63</v>
      </c>
      <c r="E72" s="49"/>
      <c r="F72" s="50"/>
      <c r="G72" s="50"/>
      <c r="H72" s="50"/>
      <c r="I72" s="50"/>
      <c r="J72" s="50"/>
      <c r="K72" s="50"/>
      <c r="L72" s="50"/>
      <c r="M72" s="50"/>
      <c r="N72" s="50"/>
      <c r="O72" s="50"/>
      <c r="P72" s="50"/>
      <c r="Q72" s="50"/>
      <c r="R72" s="50"/>
      <c r="S72" s="50"/>
      <c r="T72" s="50"/>
      <c r="U72" s="50"/>
      <c r="V72" s="50"/>
      <c r="W72" s="50"/>
      <c r="X72" s="50"/>
      <c r="Y72" s="50"/>
      <c r="Z72" s="43" t="str">
        <f t="shared" si="0"/>
        <v>Очікую</v>
      </c>
      <c r="AA72" s="22"/>
      <c r="AB72" s="40"/>
    </row>
    <row r="73" spans="1:28" s="11" customFormat="1" ht="15" customHeight="1" x14ac:dyDescent="0.25">
      <c r="A73" s="41"/>
      <c r="B73" s="12"/>
      <c r="C73" s="48"/>
      <c r="D73" s="48">
        <v>64</v>
      </c>
      <c r="E73" s="49"/>
      <c r="F73" s="50"/>
      <c r="G73" s="50"/>
      <c r="H73" s="50"/>
      <c r="I73" s="50"/>
      <c r="J73" s="50"/>
      <c r="K73" s="50"/>
      <c r="L73" s="50"/>
      <c r="M73" s="50"/>
      <c r="N73" s="50"/>
      <c r="O73" s="50"/>
      <c r="P73" s="50"/>
      <c r="Q73" s="50"/>
      <c r="R73" s="50"/>
      <c r="S73" s="50"/>
      <c r="T73" s="50"/>
      <c r="U73" s="50"/>
      <c r="V73" s="50"/>
      <c r="W73" s="50"/>
      <c r="X73" s="50"/>
      <c r="Y73" s="50"/>
      <c r="Z73" s="43" t="str">
        <f t="shared" si="0"/>
        <v>Очікую</v>
      </c>
      <c r="AA73" s="22"/>
      <c r="AB73" s="40"/>
    </row>
    <row r="74" spans="1:28" s="11" customFormat="1" ht="15" customHeight="1" x14ac:dyDescent="0.25">
      <c r="A74" s="41"/>
      <c r="B74" s="12"/>
      <c r="C74" s="48"/>
      <c r="D74" s="48">
        <v>65</v>
      </c>
      <c r="E74" s="49"/>
      <c r="F74" s="50"/>
      <c r="G74" s="50"/>
      <c r="H74" s="50"/>
      <c r="I74" s="50"/>
      <c r="J74" s="50"/>
      <c r="K74" s="50"/>
      <c r="L74" s="50"/>
      <c r="M74" s="50"/>
      <c r="N74" s="50"/>
      <c r="O74" s="50"/>
      <c r="P74" s="50"/>
      <c r="Q74" s="50"/>
      <c r="R74" s="50"/>
      <c r="S74" s="50"/>
      <c r="T74" s="50"/>
      <c r="U74" s="50"/>
      <c r="V74" s="50"/>
      <c r="W74" s="50"/>
      <c r="X74" s="50"/>
      <c r="Y74" s="50"/>
      <c r="Z74" s="43" t="str">
        <f t="shared" si="0"/>
        <v>Очікую</v>
      </c>
      <c r="AA74" s="22"/>
      <c r="AB74" s="40"/>
    </row>
    <row r="75" spans="1:28" s="11" customFormat="1" ht="15" customHeight="1" x14ac:dyDescent="0.25">
      <c r="A75" s="41"/>
      <c r="B75" s="12"/>
      <c r="C75" s="48"/>
      <c r="D75" s="48">
        <v>66</v>
      </c>
      <c r="E75" s="49"/>
      <c r="F75" s="50"/>
      <c r="G75" s="50"/>
      <c r="H75" s="50"/>
      <c r="I75" s="50"/>
      <c r="J75" s="50"/>
      <c r="K75" s="50"/>
      <c r="L75" s="50"/>
      <c r="M75" s="50"/>
      <c r="N75" s="50"/>
      <c r="O75" s="50"/>
      <c r="P75" s="50"/>
      <c r="Q75" s="50"/>
      <c r="R75" s="50"/>
      <c r="S75" s="50"/>
      <c r="T75" s="50"/>
      <c r="U75" s="50"/>
      <c r="V75" s="50"/>
      <c r="W75" s="50"/>
      <c r="X75" s="50"/>
      <c r="Y75" s="50"/>
      <c r="Z75" s="43" t="str">
        <f t="shared" ref="Z75:Z109" si="1">IF(COUNTIF(F75:Y75,"=*")&gt;0,IF($C75="К","-"," - "),IF(COUNTIF(F75:Y75,"&lt;4")&gt;0,IF(C75="К","-"," - "),(IFERROR(AVERAGE(F75:Y75),"Очікую"))))</f>
        <v>Очікую</v>
      </c>
      <c r="AA75" s="22"/>
      <c r="AB75" s="40"/>
    </row>
    <row r="76" spans="1:28" s="11" customFormat="1" ht="15" customHeight="1" x14ac:dyDescent="0.25">
      <c r="A76" s="41"/>
      <c r="B76" s="12"/>
      <c r="C76" s="48"/>
      <c r="D76" s="48">
        <v>67</v>
      </c>
      <c r="E76" s="49"/>
      <c r="F76" s="50"/>
      <c r="G76" s="50"/>
      <c r="H76" s="50"/>
      <c r="I76" s="50"/>
      <c r="J76" s="50"/>
      <c r="K76" s="50"/>
      <c r="L76" s="50"/>
      <c r="M76" s="50"/>
      <c r="N76" s="50"/>
      <c r="O76" s="50"/>
      <c r="P76" s="50"/>
      <c r="Q76" s="50"/>
      <c r="R76" s="50"/>
      <c r="S76" s="50"/>
      <c r="T76" s="50"/>
      <c r="U76" s="50"/>
      <c r="V76" s="50"/>
      <c r="W76" s="50"/>
      <c r="X76" s="50"/>
      <c r="Y76" s="50"/>
      <c r="Z76" s="43" t="str">
        <f t="shared" si="1"/>
        <v>Очікую</v>
      </c>
      <c r="AA76" s="22"/>
      <c r="AB76" s="40"/>
    </row>
    <row r="77" spans="1:28" s="11" customFormat="1" ht="15" customHeight="1" x14ac:dyDescent="0.25">
      <c r="A77" s="41"/>
      <c r="B77" s="12"/>
      <c r="C77" s="48"/>
      <c r="D77" s="48">
        <v>68</v>
      </c>
      <c r="E77" s="49"/>
      <c r="F77" s="50"/>
      <c r="G77" s="50"/>
      <c r="H77" s="50"/>
      <c r="I77" s="50"/>
      <c r="J77" s="50"/>
      <c r="K77" s="50"/>
      <c r="L77" s="50"/>
      <c r="M77" s="50"/>
      <c r="N77" s="50"/>
      <c r="O77" s="50"/>
      <c r="P77" s="50"/>
      <c r="Q77" s="50"/>
      <c r="R77" s="50"/>
      <c r="S77" s="50"/>
      <c r="T77" s="50"/>
      <c r="U77" s="50"/>
      <c r="V77" s="50"/>
      <c r="W77" s="50"/>
      <c r="X77" s="50"/>
      <c r="Y77" s="50"/>
      <c r="Z77" s="43" t="str">
        <f t="shared" si="1"/>
        <v>Очікую</v>
      </c>
      <c r="AA77" s="22"/>
      <c r="AB77" s="40"/>
    </row>
    <row r="78" spans="1:28" s="11" customFormat="1" ht="15" customHeight="1" x14ac:dyDescent="0.25">
      <c r="A78" s="41"/>
      <c r="B78" s="12"/>
      <c r="C78" s="48"/>
      <c r="D78" s="48">
        <v>69</v>
      </c>
      <c r="E78" s="49"/>
      <c r="F78" s="50"/>
      <c r="G78" s="50"/>
      <c r="H78" s="50"/>
      <c r="I78" s="50"/>
      <c r="J78" s="50"/>
      <c r="K78" s="50"/>
      <c r="L78" s="50"/>
      <c r="M78" s="50"/>
      <c r="N78" s="50"/>
      <c r="O78" s="50"/>
      <c r="P78" s="50"/>
      <c r="Q78" s="50"/>
      <c r="R78" s="50"/>
      <c r="S78" s="50"/>
      <c r="T78" s="50"/>
      <c r="U78" s="50"/>
      <c r="V78" s="50"/>
      <c r="W78" s="50"/>
      <c r="X78" s="50"/>
      <c r="Y78" s="50"/>
      <c r="Z78" s="43" t="str">
        <f t="shared" si="1"/>
        <v>Очікую</v>
      </c>
      <c r="AA78" s="22"/>
      <c r="AB78" s="40"/>
    </row>
    <row r="79" spans="1:28" s="11" customFormat="1" ht="15" customHeight="1" x14ac:dyDescent="0.25">
      <c r="A79" s="41"/>
      <c r="B79" s="12"/>
      <c r="C79" s="48"/>
      <c r="D79" s="48">
        <v>70</v>
      </c>
      <c r="E79" s="49"/>
      <c r="F79" s="50"/>
      <c r="G79" s="50"/>
      <c r="H79" s="50"/>
      <c r="I79" s="50"/>
      <c r="J79" s="50"/>
      <c r="K79" s="50"/>
      <c r="L79" s="50"/>
      <c r="M79" s="50"/>
      <c r="N79" s="50"/>
      <c r="O79" s="50"/>
      <c r="P79" s="50"/>
      <c r="Q79" s="50"/>
      <c r="R79" s="50"/>
      <c r="S79" s="50"/>
      <c r="T79" s="50"/>
      <c r="U79" s="50"/>
      <c r="V79" s="50"/>
      <c r="W79" s="50"/>
      <c r="X79" s="50"/>
      <c r="Y79" s="50"/>
      <c r="Z79" s="43" t="str">
        <f t="shared" si="1"/>
        <v>Очікую</v>
      </c>
      <c r="AA79" s="22"/>
      <c r="AB79" s="40"/>
    </row>
    <row r="80" spans="1:28" s="11" customFormat="1" ht="15" customHeight="1" x14ac:dyDescent="0.25">
      <c r="A80" s="41"/>
      <c r="B80" s="12"/>
      <c r="C80" s="48"/>
      <c r="D80" s="48">
        <v>71</v>
      </c>
      <c r="E80" s="49"/>
      <c r="F80" s="50"/>
      <c r="G80" s="50"/>
      <c r="H80" s="50"/>
      <c r="I80" s="50"/>
      <c r="J80" s="50"/>
      <c r="K80" s="50"/>
      <c r="L80" s="50"/>
      <c r="M80" s="50"/>
      <c r="N80" s="50"/>
      <c r="O80" s="50"/>
      <c r="P80" s="50"/>
      <c r="Q80" s="50"/>
      <c r="R80" s="50"/>
      <c r="S80" s="50"/>
      <c r="T80" s="50"/>
      <c r="U80" s="50"/>
      <c r="V80" s="50"/>
      <c r="W80" s="50"/>
      <c r="X80" s="50"/>
      <c r="Y80" s="50"/>
      <c r="Z80" s="43" t="str">
        <f t="shared" si="1"/>
        <v>Очікую</v>
      </c>
      <c r="AA80" s="22"/>
      <c r="AB80" s="40"/>
    </row>
    <row r="81" spans="1:28" s="11" customFormat="1" ht="15" customHeight="1" x14ac:dyDescent="0.25">
      <c r="A81" s="41"/>
      <c r="B81" s="12"/>
      <c r="C81" s="48"/>
      <c r="D81" s="48">
        <v>72</v>
      </c>
      <c r="E81" s="49"/>
      <c r="F81" s="50"/>
      <c r="G81" s="50"/>
      <c r="H81" s="50"/>
      <c r="I81" s="50"/>
      <c r="J81" s="50"/>
      <c r="K81" s="50"/>
      <c r="L81" s="50"/>
      <c r="M81" s="50"/>
      <c r="N81" s="50"/>
      <c r="O81" s="50"/>
      <c r="P81" s="50"/>
      <c r="Q81" s="50"/>
      <c r="R81" s="50"/>
      <c r="S81" s="50"/>
      <c r="T81" s="50"/>
      <c r="U81" s="50"/>
      <c r="V81" s="50"/>
      <c r="W81" s="50"/>
      <c r="X81" s="50"/>
      <c r="Y81" s="50"/>
      <c r="Z81" s="43" t="str">
        <f t="shared" si="1"/>
        <v>Очікую</v>
      </c>
      <c r="AA81" s="22"/>
      <c r="AB81" s="40"/>
    </row>
    <row r="82" spans="1:28" s="11" customFormat="1" ht="15" customHeight="1" x14ac:dyDescent="0.25">
      <c r="A82" s="41"/>
      <c r="B82" s="12"/>
      <c r="C82" s="48"/>
      <c r="D82" s="48">
        <v>73</v>
      </c>
      <c r="E82" s="49"/>
      <c r="F82" s="50"/>
      <c r="G82" s="50"/>
      <c r="H82" s="50"/>
      <c r="I82" s="50"/>
      <c r="J82" s="50"/>
      <c r="K82" s="50"/>
      <c r="L82" s="50"/>
      <c r="M82" s="50"/>
      <c r="N82" s="50"/>
      <c r="O82" s="50"/>
      <c r="P82" s="50"/>
      <c r="Q82" s="50"/>
      <c r="R82" s="50"/>
      <c r="S82" s="50"/>
      <c r="T82" s="50"/>
      <c r="U82" s="50"/>
      <c r="V82" s="50"/>
      <c r="W82" s="50"/>
      <c r="X82" s="50"/>
      <c r="Y82" s="50"/>
      <c r="Z82" s="43" t="str">
        <f t="shared" si="1"/>
        <v>Очікую</v>
      </c>
      <c r="AA82" s="22"/>
      <c r="AB82" s="40"/>
    </row>
    <row r="83" spans="1:28" s="11" customFormat="1" ht="15" customHeight="1" x14ac:dyDescent="0.25">
      <c r="A83" s="41"/>
      <c r="B83" s="12"/>
      <c r="C83" s="48"/>
      <c r="D83" s="48">
        <v>74</v>
      </c>
      <c r="E83" s="49"/>
      <c r="F83" s="50"/>
      <c r="G83" s="50"/>
      <c r="H83" s="50"/>
      <c r="I83" s="50"/>
      <c r="J83" s="50"/>
      <c r="K83" s="50"/>
      <c r="L83" s="50"/>
      <c r="M83" s="50"/>
      <c r="N83" s="50"/>
      <c r="O83" s="50"/>
      <c r="P83" s="50"/>
      <c r="Q83" s="50"/>
      <c r="R83" s="50"/>
      <c r="S83" s="50"/>
      <c r="T83" s="50"/>
      <c r="U83" s="50"/>
      <c r="V83" s="50"/>
      <c r="W83" s="50"/>
      <c r="X83" s="50"/>
      <c r="Y83" s="50"/>
      <c r="Z83" s="43" t="str">
        <f t="shared" si="1"/>
        <v>Очікую</v>
      </c>
      <c r="AA83" s="22"/>
      <c r="AB83" s="40"/>
    </row>
    <row r="84" spans="1:28" s="11" customFormat="1" ht="15" customHeight="1" x14ac:dyDescent="0.25">
      <c r="A84" s="41"/>
      <c r="B84" s="12"/>
      <c r="C84" s="48"/>
      <c r="D84" s="48">
        <v>75</v>
      </c>
      <c r="E84" s="49"/>
      <c r="F84" s="50"/>
      <c r="G84" s="50"/>
      <c r="H84" s="50"/>
      <c r="I84" s="50"/>
      <c r="J84" s="50"/>
      <c r="K84" s="50"/>
      <c r="L84" s="50"/>
      <c r="M84" s="50"/>
      <c r="N84" s="50"/>
      <c r="O84" s="50"/>
      <c r="P84" s="50"/>
      <c r="Q84" s="50"/>
      <c r="R84" s="50"/>
      <c r="S84" s="50"/>
      <c r="T84" s="50"/>
      <c r="U84" s="50"/>
      <c r="V84" s="50"/>
      <c r="W84" s="50"/>
      <c r="X84" s="50"/>
      <c r="Y84" s="50"/>
      <c r="Z84" s="43" t="str">
        <f t="shared" si="1"/>
        <v>Очікую</v>
      </c>
      <c r="AA84" s="22"/>
      <c r="AB84" s="40"/>
    </row>
    <row r="85" spans="1:28" s="11" customFormat="1" ht="15" customHeight="1" x14ac:dyDescent="0.25">
      <c r="A85" s="41"/>
      <c r="B85" s="12"/>
      <c r="C85" s="48"/>
      <c r="D85" s="48">
        <v>76</v>
      </c>
      <c r="E85" s="49"/>
      <c r="F85" s="50"/>
      <c r="G85" s="50"/>
      <c r="H85" s="50"/>
      <c r="I85" s="50"/>
      <c r="J85" s="50"/>
      <c r="K85" s="50"/>
      <c r="L85" s="50"/>
      <c r="M85" s="50"/>
      <c r="N85" s="50"/>
      <c r="O85" s="50"/>
      <c r="P85" s="50"/>
      <c r="Q85" s="50"/>
      <c r="R85" s="50"/>
      <c r="S85" s="50"/>
      <c r="T85" s="50"/>
      <c r="U85" s="50"/>
      <c r="V85" s="50"/>
      <c r="W85" s="50"/>
      <c r="X85" s="50"/>
      <c r="Y85" s="50"/>
      <c r="Z85" s="43" t="str">
        <f t="shared" si="1"/>
        <v>Очікую</v>
      </c>
      <c r="AA85" s="22"/>
      <c r="AB85" s="40"/>
    </row>
    <row r="86" spans="1:28" s="11" customFormat="1" ht="15" customHeight="1" x14ac:dyDescent="0.25">
      <c r="A86" s="41"/>
      <c r="B86" s="12"/>
      <c r="C86" s="48"/>
      <c r="D86" s="48">
        <v>77</v>
      </c>
      <c r="E86" s="49"/>
      <c r="F86" s="50"/>
      <c r="G86" s="50"/>
      <c r="H86" s="50"/>
      <c r="I86" s="50"/>
      <c r="J86" s="50"/>
      <c r="K86" s="50"/>
      <c r="L86" s="50"/>
      <c r="M86" s="50"/>
      <c r="N86" s="50"/>
      <c r="O86" s="50"/>
      <c r="P86" s="50"/>
      <c r="Q86" s="50"/>
      <c r="R86" s="50"/>
      <c r="S86" s="50"/>
      <c r="T86" s="50"/>
      <c r="U86" s="50"/>
      <c r="V86" s="50"/>
      <c r="W86" s="50"/>
      <c r="X86" s="50"/>
      <c r="Y86" s="50"/>
      <c r="Z86" s="43" t="str">
        <f t="shared" si="1"/>
        <v>Очікую</v>
      </c>
      <c r="AA86" s="22"/>
      <c r="AB86" s="40"/>
    </row>
    <row r="87" spans="1:28" s="11" customFormat="1" ht="15" customHeight="1" x14ac:dyDescent="0.25">
      <c r="A87" s="41"/>
      <c r="B87" s="12"/>
      <c r="C87" s="48"/>
      <c r="D87" s="48">
        <v>78</v>
      </c>
      <c r="E87" s="49"/>
      <c r="F87" s="50"/>
      <c r="G87" s="50"/>
      <c r="H87" s="50"/>
      <c r="I87" s="50"/>
      <c r="J87" s="50"/>
      <c r="K87" s="50"/>
      <c r="L87" s="50"/>
      <c r="M87" s="50"/>
      <c r="N87" s="50"/>
      <c r="O87" s="50"/>
      <c r="P87" s="50"/>
      <c r="Q87" s="50"/>
      <c r="R87" s="50"/>
      <c r="S87" s="50"/>
      <c r="T87" s="50"/>
      <c r="U87" s="50"/>
      <c r="V87" s="50"/>
      <c r="W87" s="50"/>
      <c r="X87" s="50"/>
      <c r="Y87" s="50"/>
      <c r="Z87" s="43" t="str">
        <f t="shared" si="1"/>
        <v>Очікую</v>
      </c>
      <c r="AA87" s="22"/>
      <c r="AB87" s="40"/>
    </row>
    <row r="88" spans="1:28" s="11" customFormat="1" ht="15" customHeight="1" x14ac:dyDescent="0.25">
      <c r="A88" s="41"/>
      <c r="B88" s="12"/>
      <c r="C88" s="48"/>
      <c r="D88" s="48">
        <v>79</v>
      </c>
      <c r="E88" s="49"/>
      <c r="F88" s="50"/>
      <c r="G88" s="50"/>
      <c r="H88" s="50"/>
      <c r="I88" s="50"/>
      <c r="J88" s="50"/>
      <c r="K88" s="50"/>
      <c r="L88" s="50"/>
      <c r="M88" s="50"/>
      <c r="N88" s="50"/>
      <c r="O88" s="50"/>
      <c r="P88" s="50"/>
      <c r="Q88" s="50"/>
      <c r="R88" s="50"/>
      <c r="S88" s="50"/>
      <c r="T88" s="50"/>
      <c r="U88" s="50"/>
      <c r="V88" s="50"/>
      <c r="W88" s="50"/>
      <c r="X88" s="50"/>
      <c r="Y88" s="50"/>
      <c r="Z88" s="43" t="str">
        <f t="shared" si="1"/>
        <v>Очікую</v>
      </c>
      <c r="AA88" s="22"/>
      <c r="AB88" s="40"/>
    </row>
    <row r="89" spans="1:28" s="11" customFormat="1" ht="15" customHeight="1" x14ac:dyDescent="0.25">
      <c r="A89" s="41"/>
      <c r="B89" s="12"/>
      <c r="C89" s="48"/>
      <c r="D89" s="48">
        <v>80</v>
      </c>
      <c r="E89" s="49"/>
      <c r="F89" s="50"/>
      <c r="G89" s="50"/>
      <c r="H89" s="50"/>
      <c r="I89" s="50"/>
      <c r="J89" s="50"/>
      <c r="K89" s="50"/>
      <c r="L89" s="50"/>
      <c r="M89" s="50"/>
      <c r="N89" s="50"/>
      <c r="O89" s="50"/>
      <c r="P89" s="50"/>
      <c r="Q89" s="50"/>
      <c r="R89" s="50"/>
      <c r="S89" s="50"/>
      <c r="T89" s="50"/>
      <c r="U89" s="50"/>
      <c r="V89" s="50"/>
      <c r="W89" s="50"/>
      <c r="X89" s="50"/>
      <c r="Y89" s="50"/>
      <c r="Z89" s="43" t="str">
        <f t="shared" si="1"/>
        <v>Очікую</v>
      </c>
      <c r="AA89" s="22"/>
      <c r="AB89" s="40"/>
    </row>
    <row r="90" spans="1:28" s="11" customFormat="1" ht="15" customHeight="1" x14ac:dyDescent="0.25">
      <c r="A90" s="41"/>
      <c r="B90" s="12"/>
      <c r="C90" s="48"/>
      <c r="D90" s="48">
        <v>81</v>
      </c>
      <c r="E90" s="49"/>
      <c r="F90" s="50"/>
      <c r="G90" s="50"/>
      <c r="H90" s="50"/>
      <c r="I90" s="50"/>
      <c r="J90" s="50"/>
      <c r="K90" s="50"/>
      <c r="L90" s="50"/>
      <c r="M90" s="50"/>
      <c r="N90" s="50"/>
      <c r="O90" s="50"/>
      <c r="P90" s="50"/>
      <c r="Q90" s="50"/>
      <c r="R90" s="50"/>
      <c r="S90" s="50"/>
      <c r="T90" s="50"/>
      <c r="U90" s="50"/>
      <c r="V90" s="50"/>
      <c r="W90" s="50"/>
      <c r="X90" s="50"/>
      <c r="Y90" s="50"/>
      <c r="Z90" s="43" t="str">
        <f t="shared" si="1"/>
        <v>Очікую</v>
      </c>
      <c r="AA90" s="22"/>
      <c r="AB90" s="40"/>
    </row>
    <row r="91" spans="1:28" s="11" customFormat="1" ht="15" customHeight="1" x14ac:dyDescent="0.25">
      <c r="A91" s="41"/>
      <c r="B91" s="12"/>
      <c r="C91" s="48"/>
      <c r="D91" s="48">
        <v>82</v>
      </c>
      <c r="E91" s="49"/>
      <c r="F91" s="50"/>
      <c r="G91" s="50"/>
      <c r="H91" s="50"/>
      <c r="I91" s="50"/>
      <c r="J91" s="50"/>
      <c r="K91" s="50"/>
      <c r="L91" s="50"/>
      <c r="M91" s="50"/>
      <c r="N91" s="50"/>
      <c r="O91" s="50"/>
      <c r="P91" s="50"/>
      <c r="Q91" s="50"/>
      <c r="R91" s="50"/>
      <c r="S91" s="50"/>
      <c r="T91" s="50"/>
      <c r="U91" s="50"/>
      <c r="V91" s="50"/>
      <c r="W91" s="50"/>
      <c r="X91" s="50"/>
      <c r="Y91" s="50"/>
      <c r="Z91" s="43" t="str">
        <f t="shared" si="1"/>
        <v>Очікую</v>
      </c>
      <c r="AA91" s="22"/>
      <c r="AB91" s="40"/>
    </row>
    <row r="92" spans="1:28" s="11" customFormat="1" ht="15" customHeight="1" x14ac:dyDescent="0.25">
      <c r="A92" s="41"/>
      <c r="B92" s="12"/>
      <c r="C92" s="48"/>
      <c r="D92" s="48">
        <v>83</v>
      </c>
      <c r="E92" s="49"/>
      <c r="F92" s="50"/>
      <c r="G92" s="50"/>
      <c r="H92" s="50"/>
      <c r="I92" s="50"/>
      <c r="J92" s="50"/>
      <c r="K92" s="50"/>
      <c r="L92" s="50"/>
      <c r="M92" s="50"/>
      <c r="N92" s="50"/>
      <c r="O92" s="50"/>
      <c r="P92" s="50"/>
      <c r="Q92" s="50"/>
      <c r="R92" s="50"/>
      <c r="S92" s="50"/>
      <c r="T92" s="50"/>
      <c r="U92" s="50"/>
      <c r="V92" s="50"/>
      <c r="W92" s="50"/>
      <c r="X92" s="50"/>
      <c r="Y92" s="50"/>
      <c r="Z92" s="43" t="str">
        <f t="shared" si="1"/>
        <v>Очікую</v>
      </c>
      <c r="AA92" s="22"/>
      <c r="AB92" s="40"/>
    </row>
    <row r="93" spans="1:28" s="11" customFormat="1" ht="15" customHeight="1" x14ac:dyDescent="0.25">
      <c r="A93" s="41"/>
      <c r="B93" s="12"/>
      <c r="C93" s="48"/>
      <c r="D93" s="48">
        <v>84</v>
      </c>
      <c r="E93" s="49"/>
      <c r="F93" s="50"/>
      <c r="G93" s="50"/>
      <c r="H93" s="50"/>
      <c r="I93" s="50"/>
      <c r="J93" s="50"/>
      <c r="K93" s="50"/>
      <c r="L93" s="50"/>
      <c r="M93" s="50"/>
      <c r="N93" s="50"/>
      <c r="O93" s="50"/>
      <c r="P93" s="50"/>
      <c r="Q93" s="50"/>
      <c r="R93" s="50"/>
      <c r="S93" s="50"/>
      <c r="T93" s="50"/>
      <c r="U93" s="50"/>
      <c r="V93" s="50"/>
      <c r="W93" s="50"/>
      <c r="X93" s="50"/>
      <c r="Y93" s="50"/>
      <c r="Z93" s="43" t="str">
        <f t="shared" si="1"/>
        <v>Очікую</v>
      </c>
      <c r="AA93" s="22"/>
      <c r="AB93" s="40"/>
    </row>
    <row r="94" spans="1:28" s="11" customFormat="1" ht="15" customHeight="1" x14ac:dyDescent="0.25">
      <c r="A94" s="41"/>
      <c r="B94" s="12"/>
      <c r="C94" s="48"/>
      <c r="D94" s="48">
        <v>85</v>
      </c>
      <c r="E94" s="49"/>
      <c r="F94" s="50"/>
      <c r="G94" s="50"/>
      <c r="H94" s="50"/>
      <c r="I94" s="50"/>
      <c r="J94" s="50"/>
      <c r="K94" s="50"/>
      <c r="L94" s="50"/>
      <c r="M94" s="50"/>
      <c r="N94" s="50"/>
      <c r="O94" s="50"/>
      <c r="P94" s="50"/>
      <c r="Q94" s="50"/>
      <c r="R94" s="50"/>
      <c r="S94" s="50"/>
      <c r="T94" s="50"/>
      <c r="U94" s="50"/>
      <c r="V94" s="50"/>
      <c r="W94" s="50"/>
      <c r="X94" s="50"/>
      <c r="Y94" s="50"/>
      <c r="Z94" s="43" t="str">
        <f t="shared" si="1"/>
        <v>Очікую</v>
      </c>
      <c r="AA94" s="22"/>
      <c r="AB94" s="40"/>
    </row>
    <row r="95" spans="1:28" s="11" customFormat="1" ht="15" customHeight="1" x14ac:dyDescent="0.25">
      <c r="A95" s="41"/>
      <c r="B95" s="12"/>
      <c r="C95" s="48"/>
      <c r="D95" s="48">
        <v>86</v>
      </c>
      <c r="E95" s="49"/>
      <c r="F95" s="50"/>
      <c r="G95" s="50"/>
      <c r="H95" s="50"/>
      <c r="I95" s="50"/>
      <c r="J95" s="50"/>
      <c r="K95" s="50"/>
      <c r="L95" s="50"/>
      <c r="M95" s="50"/>
      <c r="N95" s="50"/>
      <c r="O95" s="50"/>
      <c r="P95" s="50"/>
      <c r="Q95" s="50"/>
      <c r="R95" s="50"/>
      <c r="S95" s="50"/>
      <c r="T95" s="50"/>
      <c r="U95" s="50"/>
      <c r="V95" s="50"/>
      <c r="W95" s="50"/>
      <c r="X95" s="50"/>
      <c r="Y95" s="50"/>
      <c r="Z95" s="43" t="str">
        <f t="shared" si="1"/>
        <v>Очікую</v>
      </c>
      <c r="AA95" s="22"/>
      <c r="AB95" s="40"/>
    </row>
    <row r="96" spans="1:28" s="11" customFormat="1" ht="15" customHeight="1" x14ac:dyDescent="0.25">
      <c r="A96" s="41"/>
      <c r="B96" s="12"/>
      <c r="C96" s="48"/>
      <c r="D96" s="48">
        <v>87</v>
      </c>
      <c r="E96" s="49"/>
      <c r="F96" s="50"/>
      <c r="G96" s="50"/>
      <c r="H96" s="50"/>
      <c r="I96" s="50"/>
      <c r="J96" s="50"/>
      <c r="K96" s="50"/>
      <c r="L96" s="50"/>
      <c r="M96" s="50"/>
      <c r="N96" s="50"/>
      <c r="O96" s="50"/>
      <c r="P96" s="50"/>
      <c r="Q96" s="50"/>
      <c r="R96" s="50"/>
      <c r="S96" s="50"/>
      <c r="T96" s="50"/>
      <c r="U96" s="50"/>
      <c r="V96" s="50"/>
      <c r="W96" s="50"/>
      <c r="X96" s="50"/>
      <c r="Y96" s="50"/>
      <c r="Z96" s="43" t="str">
        <f t="shared" si="1"/>
        <v>Очікую</v>
      </c>
      <c r="AA96" s="22"/>
      <c r="AB96" s="40"/>
    </row>
    <row r="97" spans="1:28" s="11" customFormat="1" ht="15" customHeight="1" x14ac:dyDescent="0.25">
      <c r="A97" s="41"/>
      <c r="B97" s="12"/>
      <c r="C97" s="48"/>
      <c r="D97" s="48">
        <v>88</v>
      </c>
      <c r="E97" s="49"/>
      <c r="F97" s="50"/>
      <c r="G97" s="50"/>
      <c r="H97" s="50"/>
      <c r="I97" s="50"/>
      <c r="J97" s="50"/>
      <c r="K97" s="50"/>
      <c r="L97" s="50"/>
      <c r="M97" s="50"/>
      <c r="N97" s="50"/>
      <c r="O97" s="50"/>
      <c r="P97" s="50"/>
      <c r="Q97" s="50"/>
      <c r="R97" s="50"/>
      <c r="S97" s="50"/>
      <c r="T97" s="50"/>
      <c r="U97" s="50"/>
      <c r="V97" s="50"/>
      <c r="W97" s="50"/>
      <c r="X97" s="50"/>
      <c r="Y97" s="50"/>
      <c r="Z97" s="43" t="str">
        <f t="shared" si="1"/>
        <v>Очікую</v>
      </c>
      <c r="AA97" s="22"/>
      <c r="AB97" s="40"/>
    </row>
    <row r="98" spans="1:28" s="11" customFormat="1" ht="15" customHeight="1" x14ac:dyDescent="0.25">
      <c r="A98" s="41"/>
      <c r="B98" s="12"/>
      <c r="C98" s="48"/>
      <c r="D98" s="48">
        <v>89</v>
      </c>
      <c r="E98" s="49"/>
      <c r="F98" s="50"/>
      <c r="G98" s="50"/>
      <c r="H98" s="50"/>
      <c r="I98" s="50"/>
      <c r="J98" s="50"/>
      <c r="K98" s="50"/>
      <c r="L98" s="50"/>
      <c r="M98" s="50"/>
      <c r="N98" s="50"/>
      <c r="O98" s="50"/>
      <c r="P98" s="50"/>
      <c r="Q98" s="50"/>
      <c r="R98" s="50"/>
      <c r="S98" s="50"/>
      <c r="T98" s="50"/>
      <c r="U98" s="50"/>
      <c r="V98" s="50"/>
      <c r="W98" s="50"/>
      <c r="X98" s="50"/>
      <c r="Y98" s="50"/>
      <c r="Z98" s="43" t="str">
        <f t="shared" si="1"/>
        <v>Очікую</v>
      </c>
      <c r="AA98" s="22"/>
      <c r="AB98" s="40"/>
    </row>
    <row r="99" spans="1:28" s="11" customFormat="1" ht="15" customHeight="1" x14ac:dyDescent="0.25">
      <c r="A99" s="41"/>
      <c r="B99" s="12"/>
      <c r="C99" s="48"/>
      <c r="D99" s="48">
        <v>90</v>
      </c>
      <c r="E99" s="49"/>
      <c r="F99" s="50"/>
      <c r="G99" s="50"/>
      <c r="H99" s="50"/>
      <c r="I99" s="50"/>
      <c r="J99" s="50"/>
      <c r="K99" s="50"/>
      <c r="L99" s="50"/>
      <c r="M99" s="50"/>
      <c r="N99" s="50"/>
      <c r="O99" s="50"/>
      <c r="P99" s="50"/>
      <c r="Q99" s="50"/>
      <c r="R99" s="50"/>
      <c r="S99" s="50"/>
      <c r="T99" s="50"/>
      <c r="U99" s="50"/>
      <c r="V99" s="50"/>
      <c r="W99" s="50"/>
      <c r="X99" s="50"/>
      <c r="Y99" s="50"/>
      <c r="Z99" s="43" t="str">
        <f t="shared" si="1"/>
        <v>Очікую</v>
      </c>
      <c r="AA99" s="22"/>
      <c r="AB99" s="40"/>
    </row>
    <row r="100" spans="1:28" s="11" customFormat="1" ht="15" customHeight="1" x14ac:dyDescent="0.25">
      <c r="A100" s="41"/>
      <c r="B100" s="12"/>
      <c r="C100" s="48"/>
      <c r="D100" s="48">
        <v>91</v>
      </c>
      <c r="E100" s="49"/>
      <c r="F100" s="50"/>
      <c r="G100" s="50"/>
      <c r="H100" s="50"/>
      <c r="I100" s="50"/>
      <c r="J100" s="50"/>
      <c r="K100" s="50"/>
      <c r="L100" s="50"/>
      <c r="M100" s="50"/>
      <c r="N100" s="50"/>
      <c r="O100" s="50"/>
      <c r="P100" s="50"/>
      <c r="Q100" s="50"/>
      <c r="R100" s="50"/>
      <c r="S100" s="50"/>
      <c r="T100" s="50"/>
      <c r="U100" s="50"/>
      <c r="V100" s="50"/>
      <c r="W100" s="50"/>
      <c r="X100" s="50"/>
      <c r="Y100" s="50"/>
      <c r="Z100" s="43" t="str">
        <f t="shared" si="1"/>
        <v>Очікую</v>
      </c>
      <c r="AA100" s="22"/>
      <c r="AB100" s="40"/>
    </row>
    <row r="101" spans="1:28" s="11" customFormat="1" ht="15" customHeight="1" x14ac:dyDescent="0.25">
      <c r="A101" s="41"/>
      <c r="B101" s="12"/>
      <c r="C101" s="48"/>
      <c r="D101" s="48">
        <v>92</v>
      </c>
      <c r="E101" s="49"/>
      <c r="F101" s="50"/>
      <c r="G101" s="50"/>
      <c r="H101" s="50"/>
      <c r="I101" s="50"/>
      <c r="J101" s="50"/>
      <c r="K101" s="50"/>
      <c r="L101" s="50"/>
      <c r="M101" s="50"/>
      <c r="N101" s="50"/>
      <c r="O101" s="50"/>
      <c r="P101" s="50"/>
      <c r="Q101" s="50"/>
      <c r="R101" s="50"/>
      <c r="S101" s="50"/>
      <c r="T101" s="50"/>
      <c r="U101" s="50"/>
      <c r="V101" s="50"/>
      <c r="W101" s="50"/>
      <c r="X101" s="50"/>
      <c r="Y101" s="50"/>
      <c r="Z101" s="43" t="str">
        <f t="shared" si="1"/>
        <v>Очікую</v>
      </c>
      <c r="AA101" s="22"/>
      <c r="AB101" s="40"/>
    </row>
    <row r="102" spans="1:28" s="11" customFormat="1" ht="15" customHeight="1" x14ac:dyDescent="0.25">
      <c r="A102" s="41"/>
      <c r="B102" s="12"/>
      <c r="C102" s="48"/>
      <c r="D102" s="48">
        <v>93</v>
      </c>
      <c r="E102" s="49"/>
      <c r="F102" s="50"/>
      <c r="G102" s="50"/>
      <c r="H102" s="50"/>
      <c r="I102" s="50"/>
      <c r="J102" s="50"/>
      <c r="K102" s="50"/>
      <c r="L102" s="50"/>
      <c r="M102" s="50"/>
      <c r="N102" s="50"/>
      <c r="O102" s="50"/>
      <c r="P102" s="50"/>
      <c r="Q102" s="50"/>
      <c r="R102" s="50"/>
      <c r="S102" s="50"/>
      <c r="T102" s="50"/>
      <c r="U102" s="50"/>
      <c r="V102" s="50"/>
      <c r="W102" s="50"/>
      <c r="X102" s="50"/>
      <c r="Y102" s="50"/>
      <c r="Z102" s="43" t="str">
        <f t="shared" si="1"/>
        <v>Очікую</v>
      </c>
      <c r="AA102" s="22"/>
      <c r="AB102" s="40"/>
    </row>
    <row r="103" spans="1:28" s="11" customFormat="1" ht="15" customHeight="1" x14ac:dyDescent="0.25">
      <c r="A103" s="41"/>
      <c r="B103" s="12"/>
      <c r="C103" s="48"/>
      <c r="D103" s="48">
        <v>94</v>
      </c>
      <c r="E103" s="49"/>
      <c r="F103" s="50"/>
      <c r="G103" s="50"/>
      <c r="H103" s="50"/>
      <c r="I103" s="50"/>
      <c r="J103" s="50"/>
      <c r="K103" s="50"/>
      <c r="L103" s="50"/>
      <c r="M103" s="50"/>
      <c r="N103" s="50"/>
      <c r="O103" s="50"/>
      <c r="P103" s="50"/>
      <c r="Q103" s="50"/>
      <c r="R103" s="50"/>
      <c r="S103" s="50"/>
      <c r="T103" s="50"/>
      <c r="U103" s="50"/>
      <c r="V103" s="50"/>
      <c r="W103" s="50"/>
      <c r="X103" s="50"/>
      <c r="Y103" s="50"/>
      <c r="Z103" s="43" t="str">
        <f t="shared" si="1"/>
        <v>Очікую</v>
      </c>
      <c r="AA103" s="22"/>
      <c r="AB103" s="40"/>
    </row>
    <row r="104" spans="1:28" s="11" customFormat="1" ht="15" customHeight="1" x14ac:dyDescent="0.25">
      <c r="A104" s="41"/>
      <c r="B104" s="12"/>
      <c r="C104" s="48"/>
      <c r="D104" s="48">
        <v>95</v>
      </c>
      <c r="E104" s="49"/>
      <c r="F104" s="50"/>
      <c r="G104" s="50"/>
      <c r="H104" s="50"/>
      <c r="I104" s="50"/>
      <c r="J104" s="50"/>
      <c r="K104" s="50"/>
      <c r="L104" s="50"/>
      <c r="M104" s="50"/>
      <c r="N104" s="50"/>
      <c r="O104" s="50"/>
      <c r="P104" s="50"/>
      <c r="Q104" s="50"/>
      <c r="R104" s="50"/>
      <c r="S104" s="50"/>
      <c r="T104" s="50"/>
      <c r="U104" s="50"/>
      <c r="V104" s="50"/>
      <c r="W104" s="50"/>
      <c r="X104" s="50"/>
      <c r="Y104" s="50"/>
      <c r="Z104" s="43" t="str">
        <f t="shared" si="1"/>
        <v>Очікую</v>
      </c>
      <c r="AA104" s="22"/>
      <c r="AB104" s="40"/>
    </row>
    <row r="105" spans="1:28" s="11" customFormat="1" ht="15" customHeight="1" x14ac:dyDescent="0.25">
      <c r="A105" s="41"/>
      <c r="B105" s="12"/>
      <c r="C105" s="48"/>
      <c r="D105" s="48">
        <v>96</v>
      </c>
      <c r="E105" s="49"/>
      <c r="F105" s="50"/>
      <c r="G105" s="50"/>
      <c r="H105" s="50"/>
      <c r="I105" s="50"/>
      <c r="J105" s="50"/>
      <c r="K105" s="50"/>
      <c r="L105" s="50"/>
      <c r="M105" s="50"/>
      <c r="N105" s="50"/>
      <c r="O105" s="50"/>
      <c r="P105" s="50"/>
      <c r="Q105" s="50"/>
      <c r="R105" s="50"/>
      <c r="S105" s="50"/>
      <c r="T105" s="50"/>
      <c r="U105" s="50"/>
      <c r="V105" s="50"/>
      <c r="W105" s="50"/>
      <c r="X105" s="50"/>
      <c r="Y105" s="50"/>
      <c r="Z105" s="43" t="str">
        <f t="shared" si="1"/>
        <v>Очікую</v>
      </c>
      <c r="AA105" s="22"/>
      <c r="AB105" s="40"/>
    </row>
    <row r="106" spans="1:28" s="11" customFormat="1" ht="15" customHeight="1" x14ac:dyDescent="0.25">
      <c r="A106" s="41"/>
      <c r="B106" s="12"/>
      <c r="C106" s="48"/>
      <c r="D106" s="48">
        <v>97</v>
      </c>
      <c r="E106" s="49"/>
      <c r="F106" s="50"/>
      <c r="G106" s="50"/>
      <c r="H106" s="50"/>
      <c r="I106" s="50"/>
      <c r="J106" s="50"/>
      <c r="K106" s="50"/>
      <c r="L106" s="50"/>
      <c r="M106" s="50"/>
      <c r="N106" s="50"/>
      <c r="O106" s="50"/>
      <c r="P106" s="50"/>
      <c r="Q106" s="50"/>
      <c r="R106" s="50"/>
      <c r="S106" s="50"/>
      <c r="T106" s="50"/>
      <c r="U106" s="50"/>
      <c r="V106" s="50"/>
      <c r="W106" s="50"/>
      <c r="X106" s="50"/>
      <c r="Y106" s="50"/>
      <c r="Z106" s="43" t="str">
        <f t="shared" si="1"/>
        <v>Очікую</v>
      </c>
      <c r="AA106" s="22"/>
      <c r="AB106" s="40"/>
    </row>
    <row r="107" spans="1:28" s="11" customFormat="1" ht="15" customHeight="1" x14ac:dyDescent="0.25">
      <c r="A107" s="41"/>
      <c r="B107" s="12"/>
      <c r="C107" s="48"/>
      <c r="D107" s="48">
        <v>98</v>
      </c>
      <c r="E107" s="49"/>
      <c r="F107" s="50"/>
      <c r="G107" s="50"/>
      <c r="H107" s="50"/>
      <c r="I107" s="50"/>
      <c r="J107" s="50"/>
      <c r="K107" s="50"/>
      <c r="L107" s="50"/>
      <c r="M107" s="50"/>
      <c r="N107" s="50"/>
      <c r="O107" s="50"/>
      <c r="P107" s="50"/>
      <c r="Q107" s="50"/>
      <c r="R107" s="50"/>
      <c r="S107" s="50"/>
      <c r="T107" s="50"/>
      <c r="U107" s="50"/>
      <c r="V107" s="50"/>
      <c r="W107" s="50"/>
      <c r="X107" s="50"/>
      <c r="Y107" s="50"/>
      <c r="Z107" s="43" t="str">
        <f t="shared" si="1"/>
        <v>Очікую</v>
      </c>
      <c r="AA107" s="22"/>
      <c r="AB107" s="40"/>
    </row>
    <row r="108" spans="1:28" s="11" customFormat="1" ht="15" customHeight="1" x14ac:dyDescent="0.25">
      <c r="A108" s="41"/>
      <c r="B108" s="12"/>
      <c r="C108" s="48"/>
      <c r="D108" s="48">
        <v>99</v>
      </c>
      <c r="E108" s="49"/>
      <c r="F108" s="50"/>
      <c r="G108" s="50"/>
      <c r="H108" s="50"/>
      <c r="I108" s="50"/>
      <c r="J108" s="50"/>
      <c r="K108" s="50"/>
      <c r="L108" s="50"/>
      <c r="M108" s="50"/>
      <c r="N108" s="50"/>
      <c r="O108" s="50"/>
      <c r="P108" s="50"/>
      <c r="Q108" s="50"/>
      <c r="R108" s="50"/>
      <c r="S108" s="50"/>
      <c r="T108" s="50"/>
      <c r="U108" s="50"/>
      <c r="V108" s="50"/>
      <c r="W108" s="50"/>
      <c r="X108" s="50"/>
      <c r="Y108" s="50"/>
      <c r="Z108" s="43" t="str">
        <f t="shared" si="1"/>
        <v>Очікую</v>
      </c>
      <c r="AA108" s="22"/>
      <c r="AB108" s="40"/>
    </row>
    <row r="109" spans="1:28" s="11" customFormat="1" ht="15" customHeight="1" x14ac:dyDescent="0.25">
      <c r="A109" s="41"/>
      <c r="B109" s="12"/>
      <c r="C109" s="48"/>
      <c r="D109" s="48">
        <v>100</v>
      </c>
      <c r="E109" s="49"/>
      <c r="F109" s="50"/>
      <c r="G109" s="50"/>
      <c r="H109" s="50"/>
      <c r="I109" s="50"/>
      <c r="J109" s="50"/>
      <c r="K109" s="50"/>
      <c r="L109" s="50"/>
      <c r="M109" s="50"/>
      <c r="N109" s="50"/>
      <c r="O109" s="50"/>
      <c r="P109" s="50"/>
      <c r="Q109" s="50"/>
      <c r="R109" s="50"/>
      <c r="S109" s="50"/>
      <c r="T109" s="50"/>
      <c r="U109" s="50"/>
      <c r="V109" s="50"/>
      <c r="W109" s="50"/>
      <c r="X109" s="50"/>
      <c r="Y109" s="50"/>
      <c r="Z109" s="43" t="str">
        <f t="shared" si="1"/>
        <v>Очікую</v>
      </c>
      <c r="AA109" s="22"/>
      <c r="AB109" s="40"/>
    </row>
    <row r="110" spans="1:28" ht="15" customHeight="1" x14ac:dyDescent="0.25">
      <c r="A110" s="41"/>
      <c r="B110" s="12"/>
      <c r="C110" s="6"/>
      <c r="D110" s="6"/>
      <c r="E110" s="7" t="s">
        <v>4</v>
      </c>
      <c r="F110" s="8" t="str">
        <f>IF(SUM(F10:F109)=0,IF(COUNTA(F10:F109)=0,"Очікую",0),SUM(F10:F109)/$D109)</f>
        <v>Очікую</v>
      </c>
      <c r="G110" s="8" t="str">
        <f t="shared" ref="G110:Y110" si="2">IF(SUM(G10:G109)=0,IF(COUNTA(G10:G109)=0,"Очікую",0),SUM(G10:G109)/$D109)</f>
        <v>Очікую</v>
      </c>
      <c r="H110" s="8" t="str">
        <f t="shared" si="2"/>
        <v>Очікую</v>
      </c>
      <c r="I110" s="8" t="str">
        <f t="shared" si="2"/>
        <v>Очікую</v>
      </c>
      <c r="J110" s="8" t="str">
        <f t="shared" si="2"/>
        <v>Очікую</v>
      </c>
      <c r="K110" s="8" t="str">
        <f t="shared" si="2"/>
        <v>Очікую</v>
      </c>
      <c r="L110" s="8" t="str">
        <f t="shared" si="2"/>
        <v>Очікую</v>
      </c>
      <c r="M110" s="8" t="str">
        <f t="shared" si="2"/>
        <v>Очікую</v>
      </c>
      <c r="N110" s="8" t="str">
        <f t="shared" si="2"/>
        <v>Очікую</v>
      </c>
      <c r="O110" s="8" t="str">
        <f t="shared" si="2"/>
        <v>Очікую</v>
      </c>
      <c r="P110" s="8" t="str">
        <f t="shared" si="2"/>
        <v>Очікую</v>
      </c>
      <c r="Q110" s="8" t="str">
        <f t="shared" si="2"/>
        <v>Очікую</v>
      </c>
      <c r="R110" s="8" t="str">
        <f t="shared" si="2"/>
        <v>Очікую</v>
      </c>
      <c r="S110" s="8" t="str">
        <f t="shared" si="2"/>
        <v>Очікую</v>
      </c>
      <c r="T110" s="8" t="str">
        <f t="shared" si="2"/>
        <v>Очікую</v>
      </c>
      <c r="U110" s="8" t="str">
        <f t="shared" si="2"/>
        <v>Очікую</v>
      </c>
      <c r="V110" s="8" t="str">
        <f t="shared" si="2"/>
        <v>Очікую</v>
      </c>
      <c r="W110" s="8" t="str">
        <f t="shared" si="2"/>
        <v>Очікую</v>
      </c>
      <c r="X110" s="8" t="str">
        <f t="shared" si="2"/>
        <v>Очікую</v>
      </c>
      <c r="Y110" s="8" t="str">
        <f t="shared" si="2"/>
        <v>Очікую</v>
      </c>
      <c r="Z110" s="9" t="str">
        <f>IFERROR(AVERAGE(F110:Y110),"Очікую")</f>
        <v>Очікую</v>
      </c>
      <c r="AA110" s="20"/>
      <c r="AB110" s="40"/>
    </row>
    <row r="111" spans="1:28" ht="15" customHeight="1" x14ac:dyDescent="0.25">
      <c r="A111" s="41"/>
      <c r="B111" s="12"/>
      <c r="C111" s="6"/>
      <c r="D111" s="6"/>
      <c r="E111" s="7" t="s">
        <v>5</v>
      </c>
      <c r="F111" s="44" t="str">
        <f>IF(SUM(F10:F109)=0,IF(COUNTA(F10:F109)=0,"Очікую",0),IF(COUNTIF(F10:F109,"&gt;=4")=0,0,COUNTIF(F10:F109,"&gt;=4")/$D109*100))</f>
        <v>Очікую</v>
      </c>
      <c r="G111" s="44" t="str">
        <f t="shared" ref="G111:Y111" si="3">IF(SUM(G10:G109)=0,IF(COUNTA(G10:G109)=0,"Очікую",0),IF(COUNTIF(G10:G109,"&gt;=4")=0,0,COUNTIF(G10:G109,"&gt;=4")/$D109*100))</f>
        <v>Очікую</v>
      </c>
      <c r="H111" s="44" t="str">
        <f t="shared" si="3"/>
        <v>Очікую</v>
      </c>
      <c r="I111" s="44" t="str">
        <f t="shared" si="3"/>
        <v>Очікую</v>
      </c>
      <c r="J111" s="44" t="str">
        <f t="shared" si="3"/>
        <v>Очікую</v>
      </c>
      <c r="K111" s="44" t="str">
        <f t="shared" si="3"/>
        <v>Очікую</v>
      </c>
      <c r="L111" s="44" t="str">
        <f t="shared" si="3"/>
        <v>Очікую</v>
      </c>
      <c r="M111" s="44" t="str">
        <f t="shared" si="3"/>
        <v>Очікую</v>
      </c>
      <c r="N111" s="44" t="str">
        <f t="shared" si="3"/>
        <v>Очікую</v>
      </c>
      <c r="O111" s="44" t="str">
        <f t="shared" si="3"/>
        <v>Очікую</v>
      </c>
      <c r="P111" s="44" t="str">
        <f t="shared" si="3"/>
        <v>Очікую</v>
      </c>
      <c r="Q111" s="44" t="str">
        <f t="shared" si="3"/>
        <v>Очікую</v>
      </c>
      <c r="R111" s="44" t="str">
        <f t="shared" si="3"/>
        <v>Очікую</v>
      </c>
      <c r="S111" s="44" t="str">
        <f t="shared" si="3"/>
        <v>Очікую</v>
      </c>
      <c r="T111" s="44" t="str">
        <f t="shared" si="3"/>
        <v>Очікую</v>
      </c>
      <c r="U111" s="44" t="str">
        <f t="shared" si="3"/>
        <v>Очікую</v>
      </c>
      <c r="V111" s="44" t="str">
        <f t="shared" si="3"/>
        <v>Очікую</v>
      </c>
      <c r="W111" s="44" t="str">
        <f t="shared" si="3"/>
        <v>Очікую</v>
      </c>
      <c r="X111" s="44" t="str">
        <f t="shared" si="3"/>
        <v>Очікую</v>
      </c>
      <c r="Y111" s="44" t="str">
        <f t="shared" si="3"/>
        <v>Очікую</v>
      </c>
      <c r="Z111" s="6"/>
      <c r="AA111" s="20"/>
      <c r="AB111" s="40"/>
    </row>
    <row r="112" spans="1:28" ht="15" customHeight="1" x14ac:dyDescent="0.25">
      <c r="A112" s="41"/>
      <c r="B112" s="12"/>
      <c r="C112" s="6"/>
      <c r="D112" s="6"/>
      <c r="E112" s="7" t="s">
        <v>6</v>
      </c>
      <c r="F112" s="44" t="str">
        <f>IF(SUM(F10:F109)=0,IF(COUNTA(F10:F109)=0,"Очікую",0),IF(COUNTIF(F10:F109,"&gt;=7")=0,0,COUNTIF(F10:F109,"&gt;=7")/$D109*100))</f>
        <v>Очікую</v>
      </c>
      <c r="G112" s="44" t="str">
        <f t="shared" ref="G112:Y112" si="4">IF(SUM(G10:G109)=0,IF(COUNTA(G10:G109)=0,"Очікую",0),IF(COUNTIF(G10:G109,"&gt;=7")=0,0,COUNTIF(G10:G109,"&gt;=7")/$D109*100))</f>
        <v>Очікую</v>
      </c>
      <c r="H112" s="44" t="str">
        <f t="shared" si="4"/>
        <v>Очікую</v>
      </c>
      <c r="I112" s="44" t="str">
        <f t="shared" si="4"/>
        <v>Очікую</v>
      </c>
      <c r="J112" s="44" t="str">
        <f t="shared" si="4"/>
        <v>Очікую</v>
      </c>
      <c r="K112" s="44" t="str">
        <f t="shared" si="4"/>
        <v>Очікую</v>
      </c>
      <c r="L112" s="44" t="str">
        <f t="shared" si="4"/>
        <v>Очікую</v>
      </c>
      <c r="M112" s="44" t="str">
        <f>IF(SUM(M10:M109)=0,IF(COUNTA(M10:M109)=0,"Очікую",0),IF(COUNTIF(M10:M109,"&gt;=7")=0,0,COUNTIF(M10:M109,"&gt;=7")/$D109*100))</f>
        <v>Очікую</v>
      </c>
      <c r="N112" s="44" t="str">
        <f t="shared" si="4"/>
        <v>Очікую</v>
      </c>
      <c r="O112" s="44" t="str">
        <f t="shared" si="4"/>
        <v>Очікую</v>
      </c>
      <c r="P112" s="44" t="str">
        <f t="shared" si="4"/>
        <v>Очікую</v>
      </c>
      <c r="Q112" s="44" t="str">
        <f t="shared" si="4"/>
        <v>Очікую</v>
      </c>
      <c r="R112" s="44" t="str">
        <f t="shared" si="4"/>
        <v>Очікую</v>
      </c>
      <c r="S112" s="44" t="str">
        <f t="shared" si="4"/>
        <v>Очікую</v>
      </c>
      <c r="T112" s="44" t="str">
        <f t="shared" si="4"/>
        <v>Очікую</v>
      </c>
      <c r="U112" s="44" t="str">
        <f t="shared" si="4"/>
        <v>Очікую</v>
      </c>
      <c r="V112" s="44" t="str">
        <f t="shared" si="4"/>
        <v>Очікую</v>
      </c>
      <c r="W112" s="44" t="str">
        <f t="shared" si="4"/>
        <v>Очікую</v>
      </c>
      <c r="X112" s="44" t="str">
        <f t="shared" si="4"/>
        <v>Очікую</v>
      </c>
      <c r="Y112" s="44" t="str">
        <f t="shared" si="4"/>
        <v>Очікую</v>
      </c>
      <c r="Z112" s="6"/>
      <c r="AA112" s="20"/>
      <c r="AB112" s="40"/>
    </row>
    <row r="113" spans="1:28" ht="15" customHeight="1" x14ac:dyDescent="0.25">
      <c r="A113" s="41"/>
      <c r="B113" s="12"/>
      <c r="C113" s="6"/>
      <c r="D113" s="6"/>
      <c r="E113" s="7" t="s">
        <v>7</v>
      </c>
      <c r="F113" s="8" t="str">
        <f>IFERROR(AVERAGE(F111:Y111),"Очікую")</f>
        <v>Очікую</v>
      </c>
      <c r="G113" s="6"/>
      <c r="H113" s="6"/>
      <c r="I113" s="6"/>
      <c r="J113" s="6"/>
      <c r="K113" s="6"/>
      <c r="L113" s="6"/>
      <c r="M113" s="6"/>
      <c r="N113" s="6"/>
      <c r="O113" s="6"/>
      <c r="P113" s="6"/>
      <c r="Q113" s="6"/>
      <c r="R113" s="6"/>
      <c r="S113" s="6"/>
      <c r="T113" s="6"/>
      <c r="U113" s="6"/>
      <c r="V113" s="6"/>
      <c r="W113" s="6"/>
      <c r="X113" s="6"/>
      <c r="Y113" s="6"/>
      <c r="Z113" s="6"/>
      <c r="AA113" s="20"/>
      <c r="AB113" s="40"/>
    </row>
    <row r="114" spans="1:28" ht="15" customHeight="1" x14ac:dyDescent="0.25">
      <c r="A114" s="41"/>
      <c r="B114" s="12"/>
      <c r="C114" s="6"/>
      <c r="D114" s="6"/>
      <c r="E114" s="7" t="s">
        <v>8</v>
      </c>
      <c r="F114" s="8" t="str">
        <f>IFERROR(AVERAGE(F112:Y112),"Очікую")</f>
        <v>Очікую</v>
      </c>
      <c r="G114" s="6"/>
      <c r="H114" s="6"/>
      <c r="I114" s="6"/>
      <c r="J114" s="6"/>
      <c r="K114" s="6"/>
      <c r="L114" s="6"/>
      <c r="M114" s="6"/>
      <c r="N114" s="6"/>
      <c r="O114" s="6"/>
      <c r="P114" s="6"/>
      <c r="Q114" s="6"/>
      <c r="R114" s="6"/>
      <c r="S114" s="6"/>
      <c r="T114" s="6"/>
      <c r="U114" s="6"/>
      <c r="V114" s="6"/>
      <c r="W114" s="6"/>
      <c r="X114" s="6"/>
      <c r="Y114" s="6"/>
      <c r="Z114" s="6"/>
      <c r="AA114" s="20"/>
      <c r="AB114" s="40"/>
    </row>
    <row r="115" spans="1:28" ht="15" customHeight="1" x14ac:dyDescent="0.25">
      <c r="A115" s="41"/>
      <c r="B115" s="12"/>
      <c r="C115" s="6"/>
      <c r="D115" s="6"/>
      <c r="E115" s="7" t="s">
        <v>9</v>
      </c>
      <c r="F115" s="5" t="str">
        <f>IF(COUNTIF(C10:C109,"=Б")=0,IF(COUNTIF(C10:C109,"=К")=0,"Очікую",0),COUNTIF(C10:C109,"=Б"))</f>
        <v>Очікую</v>
      </c>
      <c r="G115" s="6"/>
      <c r="H115" s="6"/>
      <c r="I115" s="6"/>
      <c r="J115" s="6"/>
      <c r="K115" s="6"/>
      <c r="L115" s="6"/>
      <c r="M115" s="6"/>
      <c r="N115" s="6"/>
      <c r="O115" s="6"/>
      <c r="P115" s="6"/>
      <c r="Q115" s="6"/>
      <c r="R115" s="6"/>
      <c r="S115" s="6"/>
      <c r="T115" s="6"/>
      <c r="U115" s="6"/>
      <c r="V115" s="6"/>
      <c r="W115" s="60"/>
      <c r="X115" s="60"/>
      <c r="Y115" s="60"/>
      <c r="Z115" s="60"/>
      <c r="AA115" s="20"/>
      <c r="AB115" s="40"/>
    </row>
    <row r="116" spans="1:28" ht="15" customHeight="1" x14ac:dyDescent="0.3">
      <c r="A116" s="41"/>
      <c r="B116" s="12"/>
      <c r="C116" s="6"/>
      <c r="D116" s="6"/>
      <c r="E116" s="7" t="s">
        <v>10</v>
      </c>
      <c r="F116" s="5" t="str">
        <f>IF(COUNTIF(C10:C109,"=К")=0,IF(COUNTIF(C10:C109,"=Б")=0,"Очікую",0),COUNTIF(C10:C109,"=К"))</f>
        <v>Очікую</v>
      </c>
      <c r="G116" s="6"/>
      <c r="H116" s="63" t="s">
        <v>11</v>
      </c>
      <c r="I116" s="6"/>
      <c r="J116" s="6"/>
      <c r="K116" s="6"/>
      <c r="L116" s="6"/>
      <c r="M116" s="6"/>
      <c r="N116" s="63"/>
      <c r="O116" s="63"/>
      <c r="P116" s="63"/>
      <c r="Q116" s="63"/>
      <c r="R116" s="6"/>
      <c r="S116" s="6"/>
      <c r="T116" s="6"/>
      <c r="U116" s="64"/>
      <c r="V116" s="62"/>
      <c r="W116" s="62"/>
      <c r="X116" s="62"/>
      <c r="Y116" s="62"/>
      <c r="Z116" s="62"/>
      <c r="AA116" s="20"/>
      <c r="AB116" s="40"/>
    </row>
    <row r="117" spans="1:28" ht="15" customHeight="1" x14ac:dyDescent="0.25">
      <c r="A117" s="41"/>
      <c r="B117" s="12"/>
      <c r="C117" s="6"/>
      <c r="D117" s="6"/>
      <c r="E117" s="7" t="s">
        <v>12</v>
      </c>
      <c r="F117" s="4"/>
      <c r="G117" s="6"/>
      <c r="H117" s="63"/>
      <c r="I117" s="6"/>
      <c r="J117" s="6"/>
      <c r="K117" s="6"/>
      <c r="L117" s="6"/>
      <c r="M117" s="6"/>
      <c r="N117" s="63"/>
      <c r="O117" s="63"/>
      <c r="P117" s="63"/>
      <c r="Q117" s="63"/>
      <c r="R117" s="6"/>
      <c r="S117" s="6"/>
      <c r="T117" s="6"/>
      <c r="U117" s="64"/>
      <c r="V117" s="60"/>
      <c r="W117" s="60"/>
      <c r="X117" s="60"/>
      <c r="Y117" s="60"/>
      <c r="Z117" s="60"/>
      <c r="AA117" s="20"/>
      <c r="AB117" s="40"/>
    </row>
    <row r="118" spans="1:28" ht="15" customHeight="1" x14ac:dyDescent="0.3">
      <c r="A118" s="41"/>
      <c r="B118" s="12"/>
      <c r="C118" s="6"/>
      <c r="D118" s="6"/>
      <c r="E118" s="7" t="s">
        <v>13</v>
      </c>
      <c r="F118" s="5" t="str">
        <f>IF(F115="Очікую","Очікую",IF(F115-COUNTIF(Z10:Z109," - ")&lt;ROUNDDOWN(F115*0.4,0),F115-COUNTIF(Z10:Z109," - "),ROUNDDOWN(F115*0.4,0)))</f>
        <v>Очікую</v>
      </c>
      <c r="G118" s="6"/>
      <c r="H118" s="64" t="s">
        <v>14</v>
      </c>
      <c r="I118" s="6"/>
      <c r="J118" s="6"/>
      <c r="K118" s="6"/>
      <c r="L118" s="6"/>
      <c r="M118" s="6"/>
      <c r="N118" s="64"/>
      <c r="O118" s="64"/>
      <c r="P118" s="64"/>
      <c r="Q118" s="64"/>
      <c r="R118" s="6"/>
      <c r="S118" s="6"/>
      <c r="T118" s="6"/>
      <c r="U118" s="64"/>
      <c r="V118" s="62"/>
      <c r="W118" s="62"/>
      <c r="X118" s="62"/>
      <c r="Y118" s="62"/>
      <c r="Z118" s="62"/>
      <c r="AA118" s="20"/>
      <c r="AB118" s="40"/>
    </row>
    <row r="119" spans="1:28" ht="12" customHeight="1" thickBot="1" x14ac:dyDescent="0.3">
      <c r="A119" s="41"/>
      <c r="B119" s="21"/>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5"/>
      <c r="AB119" s="40"/>
    </row>
    <row r="120" spans="1:28" ht="12" customHeight="1" x14ac:dyDescent="0.25">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c r="AA120" s="39"/>
      <c r="AB120" s="40"/>
    </row>
  </sheetData>
  <sheetProtection insertRows="0" deleteRows="0"/>
  <mergeCells count="10">
    <mergeCell ref="C8:C9"/>
    <mergeCell ref="D8:D9"/>
    <mergeCell ref="E8:E9"/>
    <mergeCell ref="F8:Y8"/>
    <mergeCell ref="Z8:Z9"/>
    <mergeCell ref="C3:Z3"/>
    <mergeCell ref="C4:Z4"/>
    <mergeCell ref="C5:Z5"/>
    <mergeCell ref="C6:Z6"/>
    <mergeCell ref="C7:Z7"/>
  </mergeCells>
  <printOptions horizontalCentered="1"/>
  <pageMargins left="0.19685039370078741" right="0.19685039370078741" top="0.19685039370078741" bottom="0.19685039370078741" header="0" footer="0"/>
  <pageSetup paperSize="9" scale="3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70C0"/>
    <pageSetUpPr fitToPage="1"/>
  </sheetPr>
  <dimension ref="A1:BP120"/>
  <sheetViews>
    <sheetView zoomScaleNormal="100" workbookViewId="0"/>
  </sheetViews>
  <sheetFormatPr defaultColWidth="0" defaultRowHeight="0" customHeight="1" zeroHeight="1" x14ac:dyDescent="0.25"/>
  <cols>
    <col min="1" max="2" width="2.7109375" style="1" customWidth="1"/>
    <col min="3" max="3" width="4.140625" style="1" customWidth="1"/>
    <col min="4" max="4" width="6.5703125" style="1" customWidth="1"/>
    <col min="5" max="5" width="40.42578125" style="1" customWidth="1"/>
    <col min="6" max="25" width="6.7109375" style="1" customWidth="1"/>
    <col min="26" max="26" width="11.28515625" style="1" customWidth="1"/>
    <col min="27" max="28" width="2.7109375" style="1" customWidth="1"/>
    <col min="29" max="34" width="14.42578125" style="1" hidden="1" customWidth="1"/>
    <col min="35" max="35" width="14.85546875" style="1" hidden="1" customWidth="1"/>
    <col min="36" max="49" width="3.7109375" style="1" hidden="1" customWidth="1"/>
    <col min="50" max="68" width="5.7109375" style="1" hidden="1" customWidth="1"/>
    <col min="69" max="16384" width="14.42578125" style="1" hidden="1"/>
  </cols>
  <sheetData>
    <row r="1" spans="1:28" ht="12" customHeight="1" thickBot="1" x14ac:dyDescent="0.3">
      <c r="A1" s="38" t="s">
        <v>18</v>
      </c>
      <c r="B1" s="39"/>
      <c r="C1" s="39"/>
      <c r="D1" s="39"/>
      <c r="E1" s="39"/>
      <c r="F1" s="39"/>
      <c r="G1" s="39"/>
      <c r="H1" s="39"/>
      <c r="I1" s="39"/>
      <c r="J1" s="39"/>
      <c r="K1" s="39"/>
      <c r="L1" s="39"/>
      <c r="M1" s="39"/>
      <c r="N1" s="39"/>
      <c r="O1" s="39"/>
      <c r="P1" s="39"/>
      <c r="Q1" s="39"/>
      <c r="R1" s="39"/>
      <c r="S1" s="39"/>
      <c r="T1" s="39"/>
      <c r="U1" s="39"/>
      <c r="V1" s="39"/>
      <c r="W1" s="39"/>
      <c r="X1" s="39"/>
      <c r="Y1" s="39"/>
      <c r="Z1" s="39"/>
      <c r="AA1" s="39"/>
      <c r="AB1" s="39"/>
    </row>
    <row r="2" spans="1:28" ht="12" customHeight="1" x14ac:dyDescent="0.25">
      <c r="A2" s="41"/>
      <c r="B2" s="17"/>
      <c r="C2" s="18"/>
      <c r="D2" s="18"/>
      <c r="E2" s="18"/>
      <c r="F2" s="18"/>
      <c r="G2" s="18"/>
      <c r="H2" s="18"/>
      <c r="I2" s="18"/>
      <c r="J2" s="18"/>
      <c r="K2" s="18"/>
      <c r="L2" s="18"/>
      <c r="M2" s="18"/>
      <c r="N2" s="18"/>
      <c r="O2" s="18"/>
      <c r="P2" s="18"/>
      <c r="Q2" s="18"/>
      <c r="R2" s="18"/>
      <c r="S2" s="18"/>
      <c r="T2" s="18"/>
      <c r="U2" s="18"/>
      <c r="V2" s="18"/>
      <c r="W2" s="18"/>
      <c r="X2" s="18"/>
      <c r="Y2" s="18"/>
      <c r="Z2" s="18"/>
      <c r="AA2" s="19"/>
      <c r="AB2" s="40"/>
    </row>
    <row r="3" spans="1:28" s="2" customFormat="1" ht="54.95" customHeight="1" x14ac:dyDescent="0.3">
      <c r="A3" s="41"/>
      <c r="B3" s="12"/>
      <c r="C3" s="70" t="s">
        <v>19</v>
      </c>
      <c r="D3" s="70"/>
      <c r="E3" s="70"/>
      <c r="F3" s="70"/>
      <c r="G3" s="70"/>
      <c r="H3" s="70"/>
      <c r="I3" s="70"/>
      <c r="J3" s="70"/>
      <c r="K3" s="70"/>
      <c r="L3" s="70"/>
      <c r="M3" s="70"/>
      <c r="N3" s="70"/>
      <c r="O3" s="70"/>
      <c r="P3" s="70"/>
      <c r="Q3" s="70"/>
      <c r="R3" s="70"/>
      <c r="S3" s="70"/>
      <c r="T3" s="70"/>
      <c r="U3" s="70"/>
      <c r="V3" s="70"/>
      <c r="W3" s="70"/>
      <c r="X3" s="70"/>
      <c r="Y3" s="70"/>
      <c r="Z3" s="70"/>
      <c r="AA3" s="20"/>
      <c r="AB3" s="40"/>
    </row>
    <row r="4" spans="1:28" s="3" customFormat="1" ht="15" customHeight="1" x14ac:dyDescent="0.25">
      <c r="A4" s="41"/>
      <c r="B4" s="12"/>
      <c r="C4" s="71" t="s">
        <v>16</v>
      </c>
      <c r="D4" s="71"/>
      <c r="E4" s="71"/>
      <c r="F4" s="71"/>
      <c r="G4" s="71"/>
      <c r="H4" s="71"/>
      <c r="I4" s="71"/>
      <c r="J4" s="71"/>
      <c r="K4" s="71"/>
      <c r="L4" s="71"/>
      <c r="M4" s="71"/>
      <c r="N4" s="71"/>
      <c r="O4" s="71"/>
      <c r="P4" s="71"/>
      <c r="Q4" s="71"/>
      <c r="R4" s="71"/>
      <c r="S4" s="71"/>
      <c r="T4" s="71"/>
      <c r="U4" s="71"/>
      <c r="V4" s="71"/>
      <c r="W4" s="71"/>
      <c r="X4" s="71"/>
      <c r="Y4" s="71"/>
      <c r="Z4" s="71"/>
      <c r="AA4" s="20"/>
      <c r="AB4" s="40"/>
    </row>
    <row r="5" spans="1:28" s="2" customFormat="1" ht="15" customHeight="1" x14ac:dyDescent="0.25">
      <c r="A5" s="41"/>
      <c r="B5" s="12"/>
      <c r="C5" s="72" t="s">
        <v>20</v>
      </c>
      <c r="D5" s="72"/>
      <c r="E5" s="72"/>
      <c r="F5" s="72"/>
      <c r="G5" s="72"/>
      <c r="H5" s="72"/>
      <c r="I5" s="72"/>
      <c r="J5" s="72"/>
      <c r="K5" s="72"/>
      <c r="L5" s="72"/>
      <c r="M5" s="72"/>
      <c r="N5" s="72"/>
      <c r="O5" s="72"/>
      <c r="P5" s="72"/>
      <c r="Q5" s="72"/>
      <c r="R5" s="72"/>
      <c r="S5" s="72"/>
      <c r="T5" s="72"/>
      <c r="U5" s="72"/>
      <c r="V5" s="72"/>
      <c r="W5" s="72"/>
      <c r="X5" s="72"/>
      <c r="Y5" s="72"/>
      <c r="Z5" s="72"/>
      <c r="AA5" s="20"/>
      <c r="AB5" s="40"/>
    </row>
    <row r="6" spans="1:28" s="2" customFormat="1" ht="15" customHeight="1" x14ac:dyDescent="0.25">
      <c r="A6" s="41"/>
      <c r="B6" s="12"/>
      <c r="C6" s="72" t="s">
        <v>22</v>
      </c>
      <c r="D6" s="72"/>
      <c r="E6" s="72"/>
      <c r="F6" s="72"/>
      <c r="G6" s="72"/>
      <c r="H6" s="72"/>
      <c r="I6" s="72"/>
      <c r="J6" s="72"/>
      <c r="K6" s="72"/>
      <c r="L6" s="72"/>
      <c r="M6" s="72"/>
      <c r="N6" s="72"/>
      <c r="O6" s="72"/>
      <c r="P6" s="72"/>
      <c r="Q6" s="72"/>
      <c r="R6" s="72"/>
      <c r="S6" s="72"/>
      <c r="T6" s="72"/>
      <c r="U6" s="72"/>
      <c r="V6" s="72"/>
      <c r="W6" s="72"/>
      <c r="X6" s="72"/>
      <c r="Y6" s="72"/>
      <c r="Z6" s="72"/>
      <c r="AA6" s="20"/>
      <c r="AB6" s="40"/>
    </row>
    <row r="7" spans="1:28" s="2" customFormat="1" ht="15" customHeight="1" x14ac:dyDescent="0.25">
      <c r="A7" s="41"/>
      <c r="B7" s="12"/>
      <c r="C7" s="73" t="s">
        <v>21</v>
      </c>
      <c r="D7" s="73"/>
      <c r="E7" s="73"/>
      <c r="F7" s="73"/>
      <c r="G7" s="73"/>
      <c r="H7" s="73"/>
      <c r="I7" s="73"/>
      <c r="J7" s="73"/>
      <c r="K7" s="73"/>
      <c r="L7" s="73"/>
      <c r="M7" s="73"/>
      <c r="N7" s="73"/>
      <c r="O7" s="73"/>
      <c r="P7" s="73"/>
      <c r="Q7" s="73"/>
      <c r="R7" s="73"/>
      <c r="S7" s="73"/>
      <c r="T7" s="73"/>
      <c r="U7" s="73"/>
      <c r="V7" s="73"/>
      <c r="W7" s="73"/>
      <c r="X7" s="73"/>
      <c r="Y7" s="73"/>
      <c r="Z7" s="73"/>
      <c r="AA7" s="20"/>
      <c r="AB7" s="40"/>
    </row>
    <row r="8" spans="1:28" ht="15" customHeight="1" x14ac:dyDescent="0.25">
      <c r="A8" s="41"/>
      <c r="B8" s="12"/>
      <c r="C8" s="74" t="s">
        <v>0</v>
      </c>
      <c r="D8" s="76" t="s">
        <v>1</v>
      </c>
      <c r="E8" s="76" t="s">
        <v>2</v>
      </c>
      <c r="F8" s="77" t="s">
        <v>17</v>
      </c>
      <c r="G8" s="78"/>
      <c r="H8" s="78"/>
      <c r="I8" s="78"/>
      <c r="J8" s="78"/>
      <c r="K8" s="78"/>
      <c r="L8" s="78"/>
      <c r="M8" s="78"/>
      <c r="N8" s="78"/>
      <c r="O8" s="78"/>
      <c r="P8" s="78"/>
      <c r="Q8" s="78"/>
      <c r="R8" s="78"/>
      <c r="S8" s="78"/>
      <c r="T8" s="78"/>
      <c r="U8" s="78"/>
      <c r="V8" s="78"/>
      <c r="W8" s="78"/>
      <c r="X8" s="78"/>
      <c r="Y8" s="79"/>
      <c r="Z8" s="80" t="s">
        <v>3</v>
      </c>
      <c r="AA8" s="20"/>
      <c r="AB8" s="40"/>
    </row>
    <row r="9" spans="1:28" ht="125.1" customHeight="1" x14ac:dyDescent="0.25">
      <c r="A9" s="41"/>
      <c r="B9" s="12"/>
      <c r="C9" s="75"/>
      <c r="D9" s="75"/>
      <c r="E9" s="75"/>
      <c r="F9" s="13">
        <v>1</v>
      </c>
      <c r="G9" s="13">
        <v>2</v>
      </c>
      <c r="H9" s="13">
        <v>3</v>
      </c>
      <c r="I9" s="13">
        <v>4</v>
      </c>
      <c r="J9" s="13">
        <v>5</v>
      </c>
      <c r="K9" s="13">
        <v>6</v>
      </c>
      <c r="L9" s="13">
        <v>7</v>
      </c>
      <c r="M9" s="13">
        <v>8</v>
      </c>
      <c r="N9" s="13">
        <v>9</v>
      </c>
      <c r="O9" s="13">
        <v>10</v>
      </c>
      <c r="P9" s="13">
        <v>11</v>
      </c>
      <c r="Q9" s="13">
        <v>12</v>
      </c>
      <c r="R9" s="13">
        <v>13</v>
      </c>
      <c r="S9" s="13">
        <v>14</v>
      </c>
      <c r="T9" s="13">
        <v>15</v>
      </c>
      <c r="U9" s="13">
        <v>16</v>
      </c>
      <c r="V9" s="13">
        <v>17</v>
      </c>
      <c r="W9" s="13">
        <v>18</v>
      </c>
      <c r="X9" s="13">
        <v>19</v>
      </c>
      <c r="Y9" s="13">
        <v>20</v>
      </c>
      <c r="Z9" s="81"/>
      <c r="AA9" s="20"/>
      <c r="AB9" s="40"/>
    </row>
    <row r="10" spans="1:28" s="11" customFormat="1" ht="15" customHeight="1" x14ac:dyDescent="0.25">
      <c r="A10" s="41"/>
      <c r="B10" s="12"/>
      <c r="C10" s="48"/>
      <c r="D10" s="48">
        <v>1</v>
      </c>
      <c r="E10" s="49"/>
      <c r="F10" s="50"/>
      <c r="G10" s="50"/>
      <c r="H10" s="50"/>
      <c r="I10" s="50"/>
      <c r="J10" s="50"/>
      <c r="K10" s="50"/>
      <c r="L10" s="50"/>
      <c r="M10" s="50"/>
      <c r="N10" s="50"/>
      <c r="O10" s="50"/>
      <c r="P10" s="50"/>
      <c r="Q10" s="50"/>
      <c r="R10" s="50"/>
      <c r="S10" s="50"/>
      <c r="T10" s="50"/>
      <c r="U10" s="50"/>
      <c r="V10" s="50"/>
      <c r="W10" s="50"/>
      <c r="X10" s="50"/>
      <c r="Y10" s="50"/>
      <c r="Z10" s="43" t="str">
        <f>IF(COUNTIF(F10:Y10,"=*")&gt;0,IF($C10="К","-"," - "),IF(COUNTIF(F10:Y10,"&lt;4")&gt;0,IF(C10="К","-"," - "),(IFERROR(AVERAGE(F10:Y10),"Очікую"))))</f>
        <v>Очікую</v>
      </c>
      <c r="AA10" s="22"/>
      <c r="AB10" s="40"/>
    </row>
    <row r="11" spans="1:28" s="11" customFormat="1" ht="15" customHeight="1" x14ac:dyDescent="0.25">
      <c r="A11" s="41"/>
      <c r="B11" s="12"/>
      <c r="C11" s="48"/>
      <c r="D11" s="48">
        <v>2</v>
      </c>
      <c r="E11" s="49"/>
      <c r="F11" s="50"/>
      <c r="G11" s="50"/>
      <c r="H11" s="50"/>
      <c r="I11" s="50"/>
      <c r="J11" s="50"/>
      <c r="K11" s="50"/>
      <c r="L11" s="50"/>
      <c r="M11" s="50"/>
      <c r="N11" s="50"/>
      <c r="O11" s="50"/>
      <c r="P11" s="50"/>
      <c r="Q11" s="50"/>
      <c r="R11" s="50"/>
      <c r="S11" s="50"/>
      <c r="T11" s="50"/>
      <c r="U11" s="50"/>
      <c r="V11" s="50"/>
      <c r="W11" s="50"/>
      <c r="X11" s="50"/>
      <c r="Y11" s="50"/>
      <c r="Z11" s="43" t="str">
        <f t="shared" ref="Z11:Z74" si="0">IF(COUNTIF(F11:Y11,"=*")&gt;0,IF($C11="К","-"," - "),IF(COUNTIF(F11:Y11,"&lt;4")&gt;0,IF(C11="К","-"," - "),(IFERROR(AVERAGE(F11:Y11),"Очікую"))))</f>
        <v>Очікую</v>
      </c>
      <c r="AA11" s="22"/>
      <c r="AB11" s="40"/>
    </row>
    <row r="12" spans="1:28" s="11" customFormat="1" ht="15" customHeight="1" x14ac:dyDescent="0.25">
      <c r="A12" s="41"/>
      <c r="B12" s="12"/>
      <c r="C12" s="48"/>
      <c r="D12" s="48">
        <v>3</v>
      </c>
      <c r="E12" s="49"/>
      <c r="F12" s="50"/>
      <c r="G12" s="50"/>
      <c r="H12" s="50"/>
      <c r="I12" s="50"/>
      <c r="J12" s="50"/>
      <c r="K12" s="50"/>
      <c r="L12" s="50"/>
      <c r="M12" s="50"/>
      <c r="N12" s="50"/>
      <c r="O12" s="50"/>
      <c r="P12" s="50"/>
      <c r="Q12" s="50"/>
      <c r="R12" s="50"/>
      <c r="S12" s="50"/>
      <c r="T12" s="50"/>
      <c r="U12" s="50"/>
      <c r="V12" s="50"/>
      <c r="W12" s="50"/>
      <c r="X12" s="50"/>
      <c r="Y12" s="50"/>
      <c r="Z12" s="43" t="str">
        <f t="shared" si="0"/>
        <v>Очікую</v>
      </c>
      <c r="AA12" s="22"/>
      <c r="AB12" s="40"/>
    </row>
    <row r="13" spans="1:28" s="11" customFormat="1" ht="15" customHeight="1" x14ac:dyDescent="0.25">
      <c r="A13" s="41"/>
      <c r="B13" s="12"/>
      <c r="C13" s="48"/>
      <c r="D13" s="48">
        <v>4</v>
      </c>
      <c r="E13" s="49"/>
      <c r="F13" s="50"/>
      <c r="G13" s="50"/>
      <c r="H13" s="50"/>
      <c r="I13" s="50"/>
      <c r="J13" s="50"/>
      <c r="K13" s="50"/>
      <c r="L13" s="50"/>
      <c r="M13" s="50"/>
      <c r="N13" s="50"/>
      <c r="O13" s="50"/>
      <c r="P13" s="50"/>
      <c r="Q13" s="50"/>
      <c r="R13" s="50"/>
      <c r="S13" s="50"/>
      <c r="T13" s="50"/>
      <c r="U13" s="50"/>
      <c r="V13" s="50"/>
      <c r="W13" s="50"/>
      <c r="X13" s="50"/>
      <c r="Y13" s="50"/>
      <c r="Z13" s="43" t="str">
        <f t="shared" si="0"/>
        <v>Очікую</v>
      </c>
      <c r="AA13" s="22"/>
      <c r="AB13" s="40"/>
    </row>
    <row r="14" spans="1:28" s="11" customFormat="1" ht="15" customHeight="1" x14ac:dyDescent="0.25">
      <c r="A14" s="41"/>
      <c r="B14" s="12"/>
      <c r="C14" s="48"/>
      <c r="D14" s="48">
        <v>5</v>
      </c>
      <c r="E14" s="49"/>
      <c r="F14" s="50"/>
      <c r="G14" s="50"/>
      <c r="H14" s="50"/>
      <c r="I14" s="50"/>
      <c r="J14" s="50"/>
      <c r="K14" s="50"/>
      <c r="L14" s="50"/>
      <c r="M14" s="50"/>
      <c r="N14" s="50"/>
      <c r="O14" s="50"/>
      <c r="P14" s="50"/>
      <c r="Q14" s="50"/>
      <c r="R14" s="50"/>
      <c r="S14" s="50"/>
      <c r="T14" s="50"/>
      <c r="U14" s="50"/>
      <c r="V14" s="50"/>
      <c r="W14" s="50"/>
      <c r="X14" s="50"/>
      <c r="Y14" s="50"/>
      <c r="Z14" s="43" t="str">
        <f t="shared" si="0"/>
        <v>Очікую</v>
      </c>
      <c r="AA14" s="22"/>
      <c r="AB14" s="40"/>
    </row>
    <row r="15" spans="1:28" s="11" customFormat="1" ht="15" customHeight="1" x14ac:dyDescent="0.25">
      <c r="A15" s="41"/>
      <c r="B15" s="12"/>
      <c r="C15" s="48"/>
      <c r="D15" s="48">
        <v>6</v>
      </c>
      <c r="E15" s="49"/>
      <c r="F15" s="50"/>
      <c r="G15" s="50"/>
      <c r="H15" s="50"/>
      <c r="I15" s="50"/>
      <c r="J15" s="50"/>
      <c r="K15" s="50"/>
      <c r="L15" s="50"/>
      <c r="M15" s="50"/>
      <c r="N15" s="50"/>
      <c r="O15" s="50"/>
      <c r="P15" s="50"/>
      <c r="Q15" s="50"/>
      <c r="R15" s="50"/>
      <c r="S15" s="50"/>
      <c r="T15" s="50"/>
      <c r="U15" s="50"/>
      <c r="V15" s="50"/>
      <c r="W15" s="50"/>
      <c r="X15" s="50"/>
      <c r="Y15" s="50"/>
      <c r="Z15" s="43" t="str">
        <f t="shared" si="0"/>
        <v>Очікую</v>
      </c>
      <c r="AA15" s="22"/>
      <c r="AB15" s="40"/>
    </row>
    <row r="16" spans="1:28" s="11" customFormat="1" ht="15" customHeight="1" x14ac:dyDescent="0.25">
      <c r="A16" s="41"/>
      <c r="B16" s="12"/>
      <c r="C16" s="48"/>
      <c r="D16" s="48">
        <v>7</v>
      </c>
      <c r="E16" s="49"/>
      <c r="F16" s="50"/>
      <c r="G16" s="50"/>
      <c r="H16" s="50"/>
      <c r="I16" s="50"/>
      <c r="J16" s="50"/>
      <c r="K16" s="50"/>
      <c r="L16" s="50"/>
      <c r="M16" s="50"/>
      <c r="N16" s="50"/>
      <c r="O16" s="50"/>
      <c r="P16" s="50"/>
      <c r="Q16" s="50"/>
      <c r="R16" s="50"/>
      <c r="S16" s="50"/>
      <c r="T16" s="50"/>
      <c r="U16" s="50"/>
      <c r="V16" s="50"/>
      <c r="W16" s="50"/>
      <c r="X16" s="50"/>
      <c r="Y16" s="50"/>
      <c r="Z16" s="43" t="str">
        <f t="shared" si="0"/>
        <v>Очікую</v>
      </c>
      <c r="AA16" s="22"/>
      <c r="AB16" s="40"/>
    </row>
    <row r="17" spans="1:28" s="11" customFormat="1" ht="15" customHeight="1" x14ac:dyDescent="0.25">
      <c r="A17" s="41"/>
      <c r="B17" s="12"/>
      <c r="C17" s="48"/>
      <c r="D17" s="48">
        <v>8</v>
      </c>
      <c r="E17" s="49"/>
      <c r="F17" s="50"/>
      <c r="G17" s="50"/>
      <c r="H17" s="50"/>
      <c r="I17" s="50"/>
      <c r="J17" s="50"/>
      <c r="K17" s="50"/>
      <c r="L17" s="50"/>
      <c r="M17" s="50"/>
      <c r="N17" s="50"/>
      <c r="O17" s="50"/>
      <c r="P17" s="50"/>
      <c r="Q17" s="50"/>
      <c r="R17" s="50"/>
      <c r="S17" s="50"/>
      <c r="T17" s="50"/>
      <c r="U17" s="50"/>
      <c r="V17" s="50"/>
      <c r="W17" s="50"/>
      <c r="X17" s="50"/>
      <c r="Y17" s="50"/>
      <c r="Z17" s="43" t="str">
        <f t="shared" si="0"/>
        <v>Очікую</v>
      </c>
      <c r="AA17" s="22"/>
      <c r="AB17" s="40"/>
    </row>
    <row r="18" spans="1:28" s="11" customFormat="1" ht="15" customHeight="1" x14ac:dyDescent="0.25">
      <c r="A18" s="41"/>
      <c r="B18" s="12"/>
      <c r="C18" s="48"/>
      <c r="D18" s="48">
        <v>9</v>
      </c>
      <c r="E18" s="49"/>
      <c r="F18" s="50"/>
      <c r="G18" s="50"/>
      <c r="H18" s="50"/>
      <c r="I18" s="50"/>
      <c r="J18" s="50"/>
      <c r="K18" s="50"/>
      <c r="L18" s="50"/>
      <c r="M18" s="50"/>
      <c r="N18" s="50"/>
      <c r="O18" s="50"/>
      <c r="P18" s="50"/>
      <c r="Q18" s="50"/>
      <c r="R18" s="50"/>
      <c r="S18" s="50"/>
      <c r="T18" s="50"/>
      <c r="U18" s="50"/>
      <c r="V18" s="50"/>
      <c r="W18" s="50"/>
      <c r="X18" s="50"/>
      <c r="Y18" s="50"/>
      <c r="Z18" s="43" t="str">
        <f t="shared" si="0"/>
        <v>Очікую</v>
      </c>
      <c r="AA18" s="22"/>
      <c r="AB18" s="40"/>
    </row>
    <row r="19" spans="1:28" s="11" customFormat="1" ht="15" customHeight="1" x14ac:dyDescent="0.25">
      <c r="A19" s="41"/>
      <c r="B19" s="12"/>
      <c r="C19" s="48"/>
      <c r="D19" s="48">
        <v>10</v>
      </c>
      <c r="E19" s="49"/>
      <c r="F19" s="50"/>
      <c r="G19" s="50"/>
      <c r="H19" s="50"/>
      <c r="I19" s="50"/>
      <c r="J19" s="50"/>
      <c r="K19" s="50"/>
      <c r="L19" s="50"/>
      <c r="M19" s="50"/>
      <c r="N19" s="50"/>
      <c r="O19" s="50"/>
      <c r="P19" s="50"/>
      <c r="Q19" s="50"/>
      <c r="R19" s="50"/>
      <c r="S19" s="50"/>
      <c r="T19" s="50"/>
      <c r="U19" s="50"/>
      <c r="V19" s="50"/>
      <c r="W19" s="50"/>
      <c r="X19" s="50"/>
      <c r="Y19" s="50"/>
      <c r="Z19" s="43" t="str">
        <f t="shared" si="0"/>
        <v>Очікую</v>
      </c>
      <c r="AA19" s="22"/>
      <c r="AB19" s="40"/>
    </row>
    <row r="20" spans="1:28" s="11" customFormat="1" ht="15" customHeight="1" x14ac:dyDescent="0.25">
      <c r="A20" s="41"/>
      <c r="B20" s="12"/>
      <c r="C20" s="48"/>
      <c r="D20" s="48">
        <v>11</v>
      </c>
      <c r="E20" s="49"/>
      <c r="F20" s="50"/>
      <c r="G20" s="50"/>
      <c r="H20" s="50"/>
      <c r="I20" s="50"/>
      <c r="J20" s="50"/>
      <c r="K20" s="50"/>
      <c r="L20" s="50"/>
      <c r="M20" s="50"/>
      <c r="N20" s="50"/>
      <c r="O20" s="50"/>
      <c r="P20" s="50"/>
      <c r="Q20" s="50"/>
      <c r="R20" s="50"/>
      <c r="S20" s="50"/>
      <c r="T20" s="50"/>
      <c r="U20" s="50"/>
      <c r="V20" s="50"/>
      <c r="W20" s="50"/>
      <c r="X20" s="50"/>
      <c r="Y20" s="50"/>
      <c r="Z20" s="43" t="str">
        <f t="shared" si="0"/>
        <v>Очікую</v>
      </c>
      <c r="AA20" s="22"/>
      <c r="AB20" s="40"/>
    </row>
    <row r="21" spans="1:28" s="11" customFormat="1" ht="15" customHeight="1" x14ac:dyDescent="0.25">
      <c r="A21" s="41"/>
      <c r="B21" s="12"/>
      <c r="C21" s="48"/>
      <c r="D21" s="48">
        <v>12</v>
      </c>
      <c r="E21" s="49"/>
      <c r="F21" s="50"/>
      <c r="G21" s="50"/>
      <c r="H21" s="50"/>
      <c r="I21" s="50"/>
      <c r="J21" s="50"/>
      <c r="K21" s="50"/>
      <c r="L21" s="50"/>
      <c r="M21" s="50"/>
      <c r="N21" s="50"/>
      <c r="O21" s="50"/>
      <c r="P21" s="50"/>
      <c r="Q21" s="50"/>
      <c r="R21" s="50"/>
      <c r="S21" s="50"/>
      <c r="T21" s="50"/>
      <c r="U21" s="50"/>
      <c r="V21" s="50"/>
      <c r="W21" s="50"/>
      <c r="X21" s="50"/>
      <c r="Y21" s="50"/>
      <c r="Z21" s="43" t="str">
        <f t="shared" si="0"/>
        <v>Очікую</v>
      </c>
      <c r="AA21" s="22"/>
      <c r="AB21" s="40"/>
    </row>
    <row r="22" spans="1:28" s="11" customFormat="1" ht="15" customHeight="1" x14ac:dyDescent="0.25">
      <c r="A22" s="41"/>
      <c r="B22" s="12"/>
      <c r="C22" s="48"/>
      <c r="D22" s="48">
        <v>13</v>
      </c>
      <c r="E22" s="49"/>
      <c r="F22" s="50"/>
      <c r="G22" s="50"/>
      <c r="H22" s="50"/>
      <c r="I22" s="50"/>
      <c r="J22" s="50"/>
      <c r="K22" s="50"/>
      <c r="L22" s="50"/>
      <c r="M22" s="50"/>
      <c r="N22" s="50"/>
      <c r="O22" s="50"/>
      <c r="P22" s="50"/>
      <c r="Q22" s="50"/>
      <c r="R22" s="50"/>
      <c r="S22" s="50"/>
      <c r="T22" s="50"/>
      <c r="U22" s="50"/>
      <c r="V22" s="50"/>
      <c r="W22" s="50"/>
      <c r="X22" s="50"/>
      <c r="Y22" s="50"/>
      <c r="Z22" s="43" t="str">
        <f t="shared" si="0"/>
        <v>Очікую</v>
      </c>
      <c r="AA22" s="22"/>
      <c r="AB22" s="40"/>
    </row>
    <row r="23" spans="1:28" s="11" customFormat="1" ht="15" customHeight="1" x14ac:dyDescent="0.25">
      <c r="A23" s="41"/>
      <c r="B23" s="12"/>
      <c r="C23" s="48"/>
      <c r="D23" s="48">
        <v>14</v>
      </c>
      <c r="E23" s="49"/>
      <c r="F23" s="50"/>
      <c r="G23" s="50"/>
      <c r="H23" s="50"/>
      <c r="I23" s="50"/>
      <c r="J23" s="50"/>
      <c r="K23" s="50"/>
      <c r="L23" s="50"/>
      <c r="M23" s="50"/>
      <c r="N23" s="50"/>
      <c r="O23" s="50"/>
      <c r="P23" s="50"/>
      <c r="Q23" s="50"/>
      <c r="R23" s="50"/>
      <c r="S23" s="50"/>
      <c r="T23" s="50"/>
      <c r="U23" s="50"/>
      <c r="V23" s="50"/>
      <c r="W23" s="50"/>
      <c r="X23" s="50"/>
      <c r="Y23" s="50"/>
      <c r="Z23" s="43" t="str">
        <f t="shared" si="0"/>
        <v>Очікую</v>
      </c>
      <c r="AA23" s="22"/>
      <c r="AB23" s="40"/>
    </row>
    <row r="24" spans="1:28" s="11" customFormat="1" ht="15" customHeight="1" x14ac:dyDescent="0.25">
      <c r="A24" s="41"/>
      <c r="B24" s="12"/>
      <c r="C24" s="48"/>
      <c r="D24" s="48">
        <v>15</v>
      </c>
      <c r="E24" s="49"/>
      <c r="F24" s="50"/>
      <c r="G24" s="50"/>
      <c r="H24" s="50"/>
      <c r="I24" s="50"/>
      <c r="J24" s="50"/>
      <c r="K24" s="50"/>
      <c r="L24" s="50"/>
      <c r="M24" s="50"/>
      <c r="N24" s="50"/>
      <c r="O24" s="50"/>
      <c r="P24" s="50"/>
      <c r="Q24" s="50"/>
      <c r="R24" s="50"/>
      <c r="S24" s="50"/>
      <c r="T24" s="50"/>
      <c r="U24" s="50"/>
      <c r="V24" s="50"/>
      <c r="W24" s="50"/>
      <c r="X24" s="50"/>
      <c r="Y24" s="50"/>
      <c r="Z24" s="43" t="str">
        <f t="shared" si="0"/>
        <v>Очікую</v>
      </c>
      <c r="AA24" s="22"/>
      <c r="AB24" s="40"/>
    </row>
    <row r="25" spans="1:28" s="11" customFormat="1" ht="15" customHeight="1" x14ac:dyDescent="0.25">
      <c r="A25" s="41"/>
      <c r="B25" s="12"/>
      <c r="C25" s="48"/>
      <c r="D25" s="48">
        <v>16</v>
      </c>
      <c r="E25" s="49"/>
      <c r="F25" s="50"/>
      <c r="G25" s="50"/>
      <c r="H25" s="50"/>
      <c r="I25" s="50"/>
      <c r="J25" s="50"/>
      <c r="K25" s="50"/>
      <c r="L25" s="50"/>
      <c r="M25" s="50"/>
      <c r="N25" s="50"/>
      <c r="O25" s="50"/>
      <c r="P25" s="50"/>
      <c r="Q25" s="50"/>
      <c r="R25" s="50"/>
      <c r="S25" s="50"/>
      <c r="T25" s="50"/>
      <c r="U25" s="50"/>
      <c r="V25" s="50"/>
      <c r="W25" s="50"/>
      <c r="X25" s="50"/>
      <c r="Y25" s="50"/>
      <c r="Z25" s="43" t="str">
        <f t="shared" si="0"/>
        <v>Очікую</v>
      </c>
      <c r="AA25" s="22"/>
      <c r="AB25" s="40"/>
    </row>
    <row r="26" spans="1:28" s="11" customFormat="1" ht="15" customHeight="1" x14ac:dyDescent="0.25">
      <c r="A26" s="41"/>
      <c r="B26" s="12"/>
      <c r="C26" s="48"/>
      <c r="D26" s="48">
        <v>17</v>
      </c>
      <c r="E26" s="49"/>
      <c r="F26" s="50"/>
      <c r="G26" s="50"/>
      <c r="H26" s="50"/>
      <c r="I26" s="50"/>
      <c r="J26" s="50"/>
      <c r="K26" s="50"/>
      <c r="L26" s="50"/>
      <c r="M26" s="50"/>
      <c r="N26" s="50"/>
      <c r="O26" s="50"/>
      <c r="P26" s="50"/>
      <c r="Q26" s="50"/>
      <c r="R26" s="50"/>
      <c r="S26" s="50"/>
      <c r="T26" s="50"/>
      <c r="U26" s="50"/>
      <c r="V26" s="50"/>
      <c r="W26" s="50"/>
      <c r="X26" s="50"/>
      <c r="Y26" s="50"/>
      <c r="Z26" s="43" t="str">
        <f t="shared" si="0"/>
        <v>Очікую</v>
      </c>
      <c r="AA26" s="22"/>
      <c r="AB26" s="40"/>
    </row>
    <row r="27" spans="1:28" s="11" customFormat="1" ht="15" customHeight="1" x14ac:dyDescent="0.25">
      <c r="A27" s="41"/>
      <c r="B27" s="12"/>
      <c r="C27" s="48"/>
      <c r="D27" s="48">
        <v>18</v>
      </c>
      <c r="E27" s="49"/>
      <c r="F27" s="50"/>
      <c r="G27" s="50"/>
      <c r="H27" s="50"/>
      <c r="I27" s="50"/>
      <c r="J27" s="50"/>
      <c r="K27" s="50"/>
      <c r="L27" s="50"/>
      <c r="M27" s="50"/>
      <c r="N27" s="50"/>
      <c r="O27" s="50"/>
      <c r="P27" s="50"/>
      <c r="Q27" s="50"/>
      <c r="R27" s="50"/>
      <c r="S27" s="50"/>
      <c r="T27" s="50"/>
      <c r="U27" s="50"/>
      <c r="V27" s="50"/>
      <c r="W27" s="50"/>
      <c r="X27" s="50"/>
      <c r="Y27" s="50"/>
      <c r="Z27" s="43" t="str">
        <f t="shared" si="0"/>
        <v>Очікую</v>
      </c>
      <c r="AA27" s="22"/>
      <c r="AB27" s="40"/>
    </row>
    <row r="28" spans="1:28" s="11" customFormat="1" ht="15" customHeight="1" x14ac:dyDescent="0.25">
      <c r="A28" s="41"/>
      <c r="B28" s="12"/>
      <c r="C28" s="48"/>
      <c r="D28" s="48">
        <v>19</v>
      </c>
      <c r="E28" s="49"/>
      <c r="F28" s="50"/>
      <c r="G28" s="50"/>
      <c r="H28" s="50"/>
      <c r="I28" s="50"/>
      <c r="J28" s="50"/>
      <c r="K28" s="50"/>
      <c r="L28" s="50"/>
      <c r="M28" s="50"/>
      <c r="N28" s="50"/>
      <c r="O28" s="50"/>
      <c r="P28" s="50"/>
      <c r="Q28" s="50"/>
      <c r="R28" s="50"/>
      <c r="S28" s="50"/>
      <c r="T28" s="50"/>
      <c r="U28" s="50"/>
      <c r="V28" s="50"/>
      <c r="W28" s="50"/>
      <c r="X28" s="50"/>
      <c r="Y28" s="50"/>
      <c r="Z28" s="43" t="str">
        <f t="shared" si="0"/>
        <v>Очікую</v>
      </c>
      <c r="AA28" s="22"/>
      <c r="AB28" s="40"/>
    </row>
    <row r="29" spans="1:28" s="11" customFormat="1" ht="15" customHeight="1" x14ac:dyDescent="0.25">
      <c r="A29" s="41"/>
      <c r="B29" s="12"/>
      <c r="C29" s="48"/>
      <c r="D29" s="48">
        <v>20</v>
      </c>
      <c r="E29" s="49"/>
      <c r="F29" s="50"/>
      <c r="G29" s="50"/>
      <c r="H29" s="50"/>
      <c r="I29" s="50"/>
      <c r="J29" s="50"/>
      <c r="K29" s="50"/>
      <c r="L29" s="50"/>
      <c r="M29" s="50"/>
      <c r="N29" s="50"/>
      <c r="O29" s="50"/>
      <c r="P29" s="50"/>
      <c r="Q29" s="50"/>
      <c r="R29" s="50"/>
      <c r="S29" s="50"/>
      <c r="T29" s="50"/>
      <c r="U29" s="50"/>
      <c r="V29" s="50"/>
      <c r="W29" s="50"/>
      <c r="X29" s="50"/>
      <c r="Y29" s="50"/>
      <c r="Z29" s="43" t="str">
        <f t="shared" si="0"/>
        <v>Очікую</v>
      </c>
      <c r="AA29" s="22"/>
      <c r="AB29" s="40"/>
    </row>
    <row r="30" spans="1:28" s="11" customFormat="1" ht="15" customHeight="1" x14ac:dyDescent="0.25">
      <c r="A30" s="41"/>
      <c r="B30" s="12"/>
      <c r="C30" s="48"/>
      <c r="D30" s="48">
        <v>21</v>
      </c>
      <c r="E30" s="49"/>
      <c r="F30" s="50"/>
      <c r="G30" s="50"/>
      <c r="H30" s="50"/>
      <c r="I30" s="50"/>
      <c r="J30" s="50"/>
      <c r="K30" s="50"/>
      <c r="L30" s="50"/>
      <c r="M30" s="50"/>
      <c r="N30" s="50"/>
      <c r="O30" s="50"/>
      <c r="P30" s="50"/>
      <c r="Q30" s="50"/>
      <c r="R30" s="50"/>
      <c r="S30" s="50"/>
      <c r="T30" s="50"/>
      <c r="U30" s="50"/>
      <c r="V30" s="50"/>
      <c r="W30" s="50"/>
      <c r="X30" s="50"/>
      <c r="Y30" s="50"/>
      <c r="Z30" s="43" t="str">
        <f t="shared" si="0"/>
        <v>Очікую</v>
      </c>
      <c r="AA30" s="22"/>
      <c r="AB30" s="40"/>
    </row>
    <row r="31" spans="1:28" s="11" customFormat="1" ht="15" customHeight="1" x14ac:dyDescent="0.25">
      <c r="A31" s="41"/>
      <c r="B31" s="12"/>
      <c r="C31" s="48"/>
      <c r="D31" s="48">
        <v>22</v>
      </c>
      <c r="E31" s="49"/>
      <c r="F31" s="50"/>
      <c r="G31" s="50"/>
      <c r="H31" s="50"/>
      <c r="I31" s="50"/>
      <c r="J31" s="50"/>
      <c r="K31" s="50"/>
      <c r="L31" s="50"/>
      <c r="M31" s="50"/>
      <c r="N31" s="50"/>
      <c r="O31" s="50"/>
      <c r="P31" s="50"/>
      <c r="Q31" s="50"/>
      <c r="R31" s="50"/>
      <c r="S31" s="50"/>
      <c r="T31" s="50"/>
      <c r="U31" s="50"/>
      <c r="V31" s="50"/>
      <c r="W31" s="50"/>
      <c r="X31" s="50"/>
      <c r="Y31" s="50"/>
      <c r="Z31" s="43" t="str">
        <f t="shared" si="0"/>
        <v>Очікую</v>
      </c>
      <c r="AA31" s="22"/>
      <c r="AB31" s="40"/>
    </row>
    <row r="32" spans="1:28" s="11" customFormat="1" ht="15" customHeight="1" x14ac:dyDescent="0.25">
      <c r="A32" s="41"/>
      <c r="B32" s="12"/>
      <c r="C32" s="48"/>
      <c r="D32" s="48">
        <v>23</v>
      </c>
      <c r="E32" s="49"/>
      <c r="F32" s="50"/>
      <c r="G32" s="50"/>
      <c r="H32" s="50"/>
      <c r="I32" s="50"/>
      <c r="J32" s="50"/>
      <c r="K32" s="50"/>
      <c r="L32" s="50"/>
      <c r="M32" s="50"/>
      <c r="N32" s="50"/>
      <c r="O32" s="50"/>
      <c r="P32" s="50"/>
      <c r="Q32" s="50"/>
      <c r="R32" s="50"/>
      <c r="S32" s="50"/>
      <c r="T32" s="50"/>
      <c r="U32" s="50"/>
      <c r="V32" s="50"/>
      <c r="W32" s="50"/>
      <c r="X32" s="50"/>
      <c r="Y32" s="50"/>
      <c r="Z32" s="43" t="str">
        <f t="shared" si="0"/>
        <v>Очікую</v>
      </c>
      <c r="AA32" s="22"/>
      <c r="AB32" s="40"/>
    </row>
    <row r="33" spans="1:28" s="11" customFormat="1" ht="15" customHeight="1" x14ac:dyDescent="0.25">
      <c r="A33" s="41"/>
      <c r="B33" s="12"/>
      <c r="C33" s="48"/>
      <c r="D33" s="48">
        <v>24</v>
      </c>
      <c r="E33" s="49"/>
      <c r="F33" s="50"/>
      <c r="G33" s="50"/>
      <c r="H33" s="50"/>
      <c r="I33" s="50"/>
      <c r="J33" s="50"/>
      <c r="K33" s="50"/>
      <c r="L33" s="50"/>
      <c r="M33" s="50"/>
      <c r="N33" s="50"/>
      <c r="O33" s="50"/>
      <c r="P33" s="50"/>
      <c r="Q33" s="50"/>
      <c r="R33" s="50"/>
      <c r="S33" s="50"/>
      <c r="T33" s="50"/>
      <c r="U33" s="50"/>
      <c r="V33" s="50"/>
      <c r="W33" s="50"/>
      <c r="X33" s="50"/>
      <c r="Y33" s="50"/>
      <c r="Z33" s="43" t="str">
        <f t="shared" si="0"/>
        <v>Очікую</v>
      </c>
      <c r="AA33" s="22"/>
      <c r="AB33" s="40"/>
    </row>
    <row r="34" spans="1:28" s="11" customFormat="1" ht="15" customHeight="1" x14ac:dyDescent="0.25">
      <c r="A34" s="41"/>
      <c r="B34" s="12"/>
      <c r="C34" s="48"/>
      <c r="D34" s="48">
        <v>25</v>
      </c>
      <c r="E34" s="49"/>
      <c r="F34" s="50"/>
      <c r="G34" s="50"/>
      <c r="H34" s="50"/>
      <c r="I34" s="50"/>
      <c r="J34" s="50"/>
      <c r="K34" s="50"/>
      <c r="L34" s="50"/>
      <c r="M34" s="50"/>
      <c r="N34" s="50"/>
      <c r="O34" s="50"/>
      <c r="P34" s="50"/>
      <c r="Q34" s="50"/>
      <c r="R34" s="50"/>
      <c r="S34" s="50"/>
      <c r="T34" s="50"/>
      <c r="U34" s="50"/>
      <c r="V34" s="50"/>
      <c r="W34" s="50"/>
      <c r="X34" s="50"/>
      <c r="Y34" s="50"/>
      <c r="Z34" s="43" t="str">
        <f t="shared" si="0"/>
        <v>Очікую</v>
      </c>
      <c r="AA34" s="22"/>
      <c r="AB34" s="40"/>
    </row>
    <row r="35" spans="1:28" s="11" customFormat="1" ht="15" customHeight="1" x14ac:dyDescent="0.25">
      <c r="A35" s="41"/>
      <c r="B35" s="12"/>
      <c r="C35" s="48"/>
      <c r="D35" s="48">
        <v>26</v>
      </c>
      <c r="E35" s="49"/>
      <c r="F35" s="50"/>
      <c r="G35" s="50"/>
      <c r="H35" s="50"/>
      <c r="I35" s="50"/>
      <c r="J35" s="50"/>
      <c r="K35" s="50"/>
      <c r="L35" s="50"/>
      <c r="M35" s="50"/>
      <c r="N35" s="50"/>
      <c r="O35" s="50"/>
      <c r="P35" s="50"/>
      <c r="Q35" s="50"/>
      <c r="R35" s="50"/>
      <c r="S35" s="50"/>
      <c r="T35" s="50"/>
      <c r="U35" s="50"/>
      <c r="V35" s="50"/>
      <c r="W35" s="50"/>
      <c r="X35" s="50"/>
      <c r="Y35" s="50"/>
      <c r="Z35" s="43" t="str">
        <f t="shared" si="0"/>
        <v>Очікую</v>
      </c>
      <c r="AA35" s="22"/>
      <c r="AB35" s="40"/>
    </row>
    <row r="36" spans="1:28" s="11" customFormat="1" ht="15" customHeight="1" x14ac:dyDescent="0.25">
      <c r="A36" s="41"/>
      <c r="B36" s="12"/>
      <c r="C36" s="48"/>
      <c r="D36" s="48">
        <v>27</v>
      </c>
      <c r="E36" s="49"/>
      <c r="F36" s="50"/>
      <c r="G36" s="50"/>
      <c r="H36" s="50"/>
      <c r="I36" s="50"/>
      <c r="J36" s="50"/>
      <c r="K36" s="50"/>
      <c r="L36" s="50"/>
      <c r="M36" s="50"/>
      <c r="N36" s="50"/>
      <c r="O36" s="50"/>
      <c r="P36" s="50"/>
      <c r="Q36" s="50"/>
      <c r="R36" s="50"/>
      <c r="S36" s="50"/>
      <c r="T36" s="50"/>
      <c r="U36" s="50"/>
      <c r="V36" s="50"/>
      <c r="W36" s="50"/>
      <c r="X36" s="50"/>
      <c r="Y36" s="50"/>
      <c r="Z36" s="43" t="str">
        <f t="shared" si="0"/>
        <v>Очікую</v>
      </c>
      <c r="AA36" s="22"/>
      <c r="AB36" s="40"/>
    </row>
    <row r="37" spans="1:28" s="11" customFormat="1" ht="15" customHeight="1" x14ac:dyDescent="0.25">
      <c r="A37" s="41"/>
      <c r="B37" s="12"/>
      <c r="C37" s="48"/>
      <c r="D37" s="48">
        <v>28</v>
      </c>
      <c r="E37" s="49"/>
      <c r="F37" s="50"/>
      <c r="G37" s="50"/>
      <c r="H37" s="50"/>
      <c r="I37" s="50"/>
      <c r="J37" s="50"/>
      <c r="K37" s="50"/>
      <c r="L37" s="50"/>
      <c r="M37" s="50"/>
      <c r="N37" s="50"/>
      <c r="O37" s="50"/>
      <c r="P37" s="50"/>
      <c r="Q37" s="50"/>
      <c r="R37" s="50"/>
      <c r="S37" s="50"/>
      <c r="T37" s="50"/>
      <c r="U37" s="50"/>
      <c r="V37" s="50"/>
      <c r="W37" s="50"/>
      <c r="X37" s="50"/>
      <c r="Y37" s="50"/>
      <c r="Z37" s="43" t="str">
        <f t="shared" si="0"/>
        <v>Очікую</v>
      </c>
      <c r="AA37" s="22"/>
      <c r="AB37" s="40"/>
    </row>
    <row r="38" spans="1:28" s="11" customFormat="1" ht="15" customHeight="1" x14ac:dyDescent="0.25">
      <c r="A38" s="41"/>
      <c r="B38" s="12"/>
      <c r="C38" s="48"/>
      <c r="D38" s="48">
        <v>29</v>
      </c>
      <c r="E38" s="49"/>
      <c r="F38" s="50"/>
      <c r="G38" s="50"/>
      <c r="H38" s="50"/>
      <c r="I38" s="50"/>
      <c r="J38" s="50"/>
      <c r="K38" s="50"/>
      <c r="L38" s="50"/>
      <c r="M38" s="50"/>
      <c r="N38" s="50"/>
      <c r="O38" s="50"/>
      <c r="P38" s="50"/>
      <c r="Q38" s="50"/>
      <c r="R38" s="50"/>
      <c r="S38" s="50"/>
      <c r="T38" s="50"/>
      <c r="U38" s="50"/>
      <c r="V38" s="50"/>
      <c r="W38" s="50"/>
      <c r="X38" s="50"/>
      <c r="Y38" s="50"/>
      <c r="Z38" s="43" t="str">
        <f t="shared" si="0"/>
        <v>Очікую</v>
      </c>
      <c r="AA38" s="22"/>
      <c r="AB38" s="40"/>
    </row>
    <row r="39" spans="1:28" s="11" customFormat="1" ht="15" customHeight="1" x14ac:dyDescent="0.25">
      <c r="A39" s="41"/>
      <c r="B39" s="12"/>
      <c r="C39" s="48"/>
      <c r="D39" s="48">
        <v>30</v>
      </c>
      <c r="E39" s="49"/>
      <c r="F39" s="50"/>
      <c r="G39" s="50"/>
      <c r="H39" s="50"/>
      <c r="I39" s="50"/>
      <c r="J39" s="50"/>
      <c r="K39" s="50"/>
      <c r="L39" s="50"/>
      <c r="M39" s="50"/>
      <c r="N39" s="50"/>
      <c r="O39" s="50"/>
      <c r="P39" s="50"/>
      <c r="Q39" s="50"/>
      <c r="R39" s="50"/>
      <c r="S39" s="50"/>
      <c r="T39" s="50"/>
      <c r="U39" s="50"/>
      <c r="V39" s="50"/>
      <c r="W39" s="50"/>
      <c r="X39" s="50"/>
      <c r="Y39" s="50"/>
      <c r="Z39" s="43" t="str">
        <f t="shared" si="0"/>
        <v>Очікую</v>
      </c>
      <c r="AA39" s="22"/>
      <c r="AB39" s="40"/>
    </row>
    <row r="40" spans="1:28" s="11" customFormat="1" ht="15" customHeight="1" x14ac:dyDescent="0.25">
      <c r="A40" s="41"/>
      <c r="B40" s="12"/>
      <c r="C40" s="48"/>
      <c r="D40" s="48">
        <v>31</v>
      </c>
      <c r="E40" s="49"/>
      <c r="F40" s="50"/>
      <c r="G40" s="50"/>
      <c r="H40" s="50"/>
      <c r="I40" s="50"/>
      <c r="J40" s="50"/>
      <c r="K40" s="50"/>
      <c r="L40" s="50"/>
      <c r="M40" s="50"/>
      <c r="N40" s="50"/>
      <c r="O40" s="50"/>
      <c r="P40" s="50"/>
      <c r="Q40" s="50"/>
      <c r="R40" s="50"/>
      <c r="S40" s="50"/>
      <c r="T40" s="50"/>
      <c r="U40" s="50"/>
      <c r="V40" s="50"/>
      <c r="W40" s="50"/>
      <c r="X40" s="50"/>
      <c r="Y40" s="50"/>
      <c r="Z40" s="43" t="str">
        <f t="shared" si="0"/>
        <v>Очікую</v>
      </c>
      <c r="AA40" s="22"/>
      <c r="AB40" s="40"/>
    </row>
    <row r="41" spans="1:28" s="11" customFormat="1" ht="15" customHeight="1" x14ac:dyDescent="0.25">
      <c r="A41" s="41"/>
      <c r="B41" s="12"/>
      <c r="C41" s="48"/>
      <c r="D41" s="48">
        <v>32</v>
      </c>
      <c r="E41" s="49"/>
      <c r="F41" s="50"/>
      <c r="G41" s="50"/>
      <c r="H41" s="50"/>
      <c r="I41" s="50"/>
      <c r="J41" s="50"/>
      <c r="K41" s="50"/>
      <c r="L41" s="50"/>
      <c r="M41" s="50"/>
      <c r="N41" s="50"/>
      <c r="O41" s="50"/>
      <c r="P41" s="50"/>
      <c r="Q41" s="50"/>
      <c r="R41" s="50"/>
      <c r="S41" s="50"/>
      <c r="T41" s="50"/>
      <c r="U41" s="50"/>
      <c r="V41" s="50"/>
      <c r="W41" s="50"/>
      <c r="X41" s="50"/>
      <c r="Y41" s="50"/>
      <c r="Z41" s="43" t="str">
        <f t="shared" si="0"/>
        <v>Очікую</v>
      </c>
      <c r="AA41" s="22"/>
      <c r="AB41" s="40"/>
    </row>
    <row r="42" spans="1:28" s="11" customFormat="1" ht="15" customHeight="1" x14ac:dyDescent="0.25">
      <c r="A42" s="41"/>
      <c r="B42" s="12"/>
      <c r="C42" s="48"/>
      <c r="D42" s="48">
        <v>33</v>
      </c>
      <c r="E42" s="49"/>
      <c r="F42" s="50"/>
      <c r="G42" s="50"/>
      <c r="H42" s="50"/>
      <c r="I42" s="50"/>
      <c r="J42" s="50"/>
      <c r="K42" s="50"/>
      <c r="L42" s="50"/>
      <c r="M42" s="50"/>
      <c r="N42" s="50"/>
      <c r="O42" s="50"/>
      <c r="P42" s="50"/>
      <c r="Q42" s="50"/>
      <c r="R42" s="50"/>
      <c r="S42" s="50"/>
      <c r="T42" s="50"/>
      <c r="U42" s="50"/>
      <c r="V42" s="50"/>
      <c r="W42" s="50"/>
      <c r="X42" s="50"/>
      <c r="Y42" s="50"/>
      <c r="Z42" s="43" t="str">
        <f t="shared" si="0"/>
        <v>Очікую</v>
      </c>
      <c r="AA42" s="22"/>
      <c r="AB42" s="40"/>
    </row>
    <row r="43" spans="1:28" s="11" customFormat="1" ht="15" customHeight="1" x14ac:dyDescent="0.25">
      <c r="A43" s="41"/>
      <c r="B43" s="12"/>
      <c r="C43" s="48"/>
      <c r="D43" s="48">
        <v>34</v>
      </c>
      <c r="E43" s="49"/>
      <c r="F43" s="50"/>
      <c r="G43" s="50"/>
      <c r="H43" s="50"/>
      <c r="I43" s="50"/>
      <c r="J43" s="50"/>
      <c r="K43" s="50"/>
      <c r="L43" s="50"/>
      <c r="M43" s="50"/>
      <c r="N43" s="50"/>
      <c r="O43" s="50"/>
      <c r="P43" s="50"/>
      <c r="Q43" s="50"/>
      <c r="R43" s="50"/>
      <c r="S43" s="50"/>
      <c r="T43" s="50"/>
      <c r="U43" s="50"/>
      <c r="V43" s="50"/>
      <c r="W43" s="50"/>
      <c r="X43" s="50"/>
      <c r="Y43" s="50"/>
      <c r="Z43" s="43" t="str">
        <f t="shared" si="0"/>
        <v>Очікую</v>
      </c>
      <c r="AA43" s="22"/>
      <c r="AB43" s="40"/>
    </row>
    <row r="44" spans="1:28" s="11" customFormat="1" ht="15" customHeight="1" x14ac:dyDescent="0.25">
      <c r="A44" s="41"/>
      <c r="B44" s="12"/>
      <c r="C44" s="48"/>
      <c r="D44" s="48">
        <v>35</v>
      </c>
      <c r="E44" s="49"/>
      <c r="F44" s="50"/>
      <c r="G44" s="50"/>
      <c r="H44" s="50"/>
      <c r="I44" s="50"/>
      <c r="J44" s="50"/>
      <c r="K44" s="50"/>
      <c r="L44" s="50"/>
      <c r="M44" s="50"/>
      <c r="N44" s="50"/>
      <c r="O44" s="50"/>
      <c r="P44" s="50"/>
      <c r="Q44" s="50"/>
      <c r="R44" s="50"/>
      <c r="S44" s="50"/>
      <c r="T44" s="50"/>
      <c r="U44" s="50"/>
      <c r="V44" s="50"/>
      <c r="W44" s="50"/>
      <c r="X44" s="50"/>
      <c r="Y44" s="50"/>
      <c r="Z44" s="43" t="str">
        <f t="shared" si="0"/>
        <v>Очікую</v>
      </c>
      <c r="AA44" s="22"/>
      <c r="AB44" s="40"/>
    </row>
    <row r="45" spans="1:28" s="11" customFormat="1" ht="15" customHeight="1" x14ac:dyDescent="0.25">
      <c r="A45" s="41"/>
      <c r="B45" s="12"/>
      <c r="C45" s="48"/>
      <c r="D45" s="48">
        <v>36</v>
      </c>
      <c r="E45" s="49"/>
      <c r="F45" s="50"/>
      <c r="G45" s="50"/>
      <c r="H45" s="50"/>
      <c r="I45" s="50"/>
      <c r="J45" s="50"/>
      <c r="K45" s="50"/>
      <c r="L45" s="50"/>
      <c r="M45" s="50"/>
      <c r="N45" s="50"/>
      <c r="O45" s="50"/>
      <c r="P45" s="50"/>
      <c r="Q45" s="50"/>
      <c r="R45" s="50"/>
      <c r="S45" s="50"/>
      <c r="T45" s="50"/>
      <c r="U45" s="50"/>
      <c r="V45" s="50"/>
      <c r="W45" s="50"/>
      <c r="X45" s="50"/>
      <c r="Y45" s="50"/>
      <c r="Z45" s="43" t="str">
        <f t="shared" si="0"/>
        <v>Очікую</v>
      </c>
      <c r="AA45" s="22"/>
      <c r="AB45" s="40"/>
    </row>
    <row r="46" spans="1:28" s="11" customFormat="1" ht="15" customHeight="1" x14ac:dyDescent="0.25">
      <c r="A46" s="41"/>
      <c r="B46" s="12"/>
      <c r="C46" s="48"/>
      <c r="D46" s="48">
        <v>37</v>
      </c>
      <c r="E46" s="49"/>
      <c r="F46" s="50"/>
      <c r="G46" s="50"/>
      <c r="H46" s="50"/>
      <c r="I46" s="50"/>
      <c r="J46" s="50"/>
      <c r="K46" s="50"/>
      <c r="L46" s="50"/>
      <c r="M46" s="50"/>
      <c r="N46" s="50"/>
      <c r="O46" s="50"/>
      <c r="P46" s="50"/>
      <c r="Q46" s="50"/>
      <c r="R46" s="50"/>
      <c r="S46" s="50"/>
      <c r="T46" s="50"/>
      <c r="U46" s="50"/>
      <c r="V46" s="50"/>
      <c r="W46" s="50"/>
      <c r="X46" s="50"/>
      <c r="Y46" s="50"/>
      <c r="Z46" s="43" t="str">
        <f t="shared" si="0"/>
        <v>Очікую</v>
      </c>
      <c r="AA46" s="22"/>
      <c r="AB46" s="40"/>
    </row>
    <row r="47" spans="1:28" s="11" customFormat="1" ht="15" customHeight="1" x14ac:dyDescent="0.25">
      <c r="A47" s="41"/>
      <c r="B47" s="12"/>
      <c r="C47" s="48"/>
      <c r="D47" s="48">
        <v>38</v>
      </c>
      <c r="E47" s="49"/>
      <c r="F47" s="50"/>
      <c r="G47" s="50"/>
      <c r="H47" s="50"/>
      <c r="I47" s="50"/>
      <c r="J47" s="50"/>
      <c r="K47" s="50"/>
      <c r="L47" s="50"/>
      <c r="M47" s="50"/>
      <c r="N47" s="50"/>
      <c r="O47" s="50"/>
      <c r="P47" s="50"/>
      <c r="Q47" s="50"/>
      <c r="R47" s="50"/>
      <c r="S47" s="50"/>
      <c r="T47" s="50"/>
      <c r="U47" s="50"/>
      <c r="V47" s="50"/>
      <c r="W47" s="50"/>
      <c r="X47" s="50"/>
      <c r="Y47" s="50"/>
      <c r="Z47" s="43" t="str">
        <f t="shared" si="0"/>
        <v>Очікую</v>
      </c>
      <c r="AA47" s="22"/>
      <c r="AB47" s="40"/>
    </row>
    <row r="48" spans="1:28" s="11" customFormat="1" ht="15" customHeight="1" x14ac:dyDescent="0.25">
      <c r="A48" s="41"/>
      <c r="B48" s="12"/>
      <c r="C48" s="48"/>
      <c r="D48" s="48">
        <v>39</v>
      </c>
      <c r="E48" s="49"/>
      <c r="F48" s="50"/>
      <c r="G48" s="50"/>
      <c r="H48" s="50"/>
      <c r="I48" s="50"/>
      <c r="J48" s="50"/>
      <c r="K48" s="50"/>
      <c r="L48" s="50"/>
      <c r="M48" s="50"/>
      <c r="N48" s="50"/>
      <c r="O48" s="50"/>
      <c r="P48" s="50"/>
      <c r="Q48" s="50"/>
      <c r="R48" s="50"/>
      <c r="S48" s="50"/>
      <c r="T48" s="50"/>
      <c r="U48" s="50"/>
      <c r="V48" s="50"/>
      <c r="W48" s="50"/>
      <c r="X48" s="50"/>
      <c r="Y48" s="50"/>
      <c r="Z48" s="43" t="str">
        <f t="shared" si="0"/>
        <v>Очікую</v>
      </c>
      <c r="AA48" s="22"/>
      <c r="AB48" s="40"/>
    </row>
    <row r="49" spans="1:28" s="11" customFormat="1" ht="15" customHeight="1" x14ac:dyDescent="0.25">
      <c r="A49" s="41"/>
      <c r="B49" s="12"/>
      <c r="C49" s="48"/>
      <c r="D49" s="48">
        <v>40</v>
      </c>
      <c r="E49" s="49"/>
      <c r="F49" s="50"/>
      <c r="G49" s="50"/>
      <c r="H49" s="50"/>
      <c r="I49" s="50"/>
      <c r="J49" s="50"/>
      <c r="K49" s="50"/>
      <c r="L49" s="50"/>
      <c r="M49" s="50"/>
      <c r="N49" s="50"/>
      <c r="O49" s="50"/>
      <c r="P49" s="50"/>
      <c r="Q49" s="50"/>
      <c r="R49" s="50"/>
      <c r="S49" s="50"/>
      <c r="T49" s="50"/>
      <c r="U49" s="50"/>
      <c r="V49" s="50"/>
      <c r="W49" s="50"/>
      <c r="X49" s="50"/>
      <c r="Y49" s="50"/>
      <c r="Z49" s="43" t="str">
        <f t="shared" si="0"/>
        <v>Очікую</v>
      </c>
      <c r="AA49" s="22"/>
      <c r="AB49" s="40"/>
    </row>
    <row r="50" spans="1:28" s="11" customFormat="1" ht="15" customHeight="1" x14ac:dyDescent="0.25">
      <c r="A50" s="41"/>
      <c r="B50" s="12"/>
      <c r="C50" s="48"/>
      <c r="D50" s="48">
        <v>41</v>
      </c>
      <c r="E50" s="49"/>
      <c r="F50" s="50"/>
      <c r="G50" s="50"/>
      <c r="H50" s="50"/>
      <c r="I50" s="50"/>
      <c r="J50" s="50"/>
      <c r="K50" s="50"/>
      <c r="L50" s="50"/>
      <c r="M50" s="50"/>
      <c r="N50" s="50"/>
      <c r="O50" s="50"/>
      <c r="P50" s="50"/>
      <c r="Q50" s="50"/>
      <c r="R50" s="50"/>
      <c r="S50" s="50"/>
      <c r="T50" s="50"/>
      <c r="U50" s="50"/>
      <c r="V50" s="50"/>
      <c r="W50" s="50"/>
      <c r="X50" s="50"/>
      <c r="Y50" s="50"/>
      <c r="Z50" s="43" t="str">
        <f t="shared" si="0"/>
        <v>Очікую</v>
      </c>
      <c r="AA50" s="22"/>
      <c r="AB50" s="40"/>
    </row>
    <row r="51" spans="1:28" s="11" customFormat="1" ht="15" customHeight="1" x14ac:dyDescent="0.25">
      <c r="A51" s="41"/>
      <c r="B51" s="12"/>
      <c r="C51" s="48"/>
      <c r="D51" s="48">
        <v>42</v>
      </c>
      <c r="E51" s="49"/>
      <c r="F51" s="50"/>
      <c r="G51" s="50"/>
      <c r="H51" s="50"/>
      <c r="I51" s="50"/>
      <c r="J51" s="50"/>
      <c r="K51" s="50"/>
      <c r="L51" s="50"/>
      <c r="M51" s="50"/>
      <c r="N51" s="50"/>
      <c r="O51" s="50"/>
      <c r="P51" s="50"/>
      <c r="Q51" s="50"/>
      <c r="R51" s="50"/>
      <c r="S51" s="50"/>
      <c r="T51" s="50"/>
      <c r="U51" s="50"/>
      <c r="V51" s="50"/>
      <c r="W51" s="50"/>
      <c r="X51" s="50"/>
      <c r="Y51" s="50"/>
      <c r="Z51" s="43" t="str">
        <f t="shared" si="0"/>
        <v>Очікую</v>
      </c>
      <c r="AA51" s="22"/>
      <c r="AB51" s="40"/>
    </row>
    <row r="52" spans="1:28" s="11" customFormat="1" ht="15" customHeight="1" x14ac:dyDescent="0.25">
      <c r="A52" s="41"/>
      <c r="B52" s="12"/>
      <c r="C52" s="48"/>
      <c r="D52" s="48">
        <v>43</v>
      </c>
      <c r="E52" s="49"/>
      <c r="F52" s="50"/>
      <c r="G52" s="50"/>
      <c r="H52" s="50"/>
      <c r="I52" s="50"/>
      <c r="J52" s="50"/>
      <c r="K52" s="50"/>
      <c r="L52" s="50"/>
      <c r="M52" s="50"/>
      <c r="N52" s="50"/>
      <c r="O52" s="50"/>
      <c r="P52" s="50"/>
      <c r="Q52" s="50"/>
      <c r="R52" s="50"/>
      <c r="S52" s="50"/>
      <c r="T52" s="50"/>
      <c r="U52" s="50"/>
      <c r="V52" s="50"/>
      <c r="W52" s="50"/>
      <c r="X52" s="50"/>
      <c r="Y52" s="50"/>
      <c r="Z52" s="43" t="str">
        <f t="shared" si="0"/>
        <v>Очікую</v>
      </c>
      <c r="AA52" s="22"/>
      <c r="AB52" s="40"/>
    </row>
    <row r="53" spans="1:28" s="11" customFormat="1" ht="15" customHeight="1" x14ac:dyDescent="0.25">
      <c r="A53" s="41"/>
      <c r="B53" s="12"/>
      <c r="C53" s="48"/>
      <c r="D53" s="48">
        <v>44</v>
      </c>
      <c r="E53" s="49"/>
      <c r="F53" s="50"/>
      <c r="G53" s="50"/>
      <c r="H53" s="50"/>
      <c r="I53" s="50"/>
      <c r="J53" s="50"/>
      <c r="K53" s="50"/>
      <c r="L53" s="50"/>
      <c r="M53" s="50"/>
      <c r="N53" s="50"/>
      <c r="O53" s="50"/>
      <c r="P53" s="50"/>
      <c r="Q53" s="50"/>
      <c r="R53" s="50"/>
      <c r="S53" s="50"/>
      <c r="T53" s="50"/>
      <c r="U53" s="50"/>
      <c r="V53" s="50"/>
      <c r="W53" s="50"/>
      <c r="X53" s="50"/>
      <c r="Y53" s="50"/>
      <c r="Z53" s="43" t="str">
        <f t="shared" si="0"/>
        <v>Очікую</v>
      </c>
      <c r="AA53" s="22"/>
      <c r="AB53" s="40"/>
    </row>
    <row r="54" spans="1:28" s="11" customFormat="1" ht="15" customHeight="1" x14ac:dyDescent="0.25">
      <c r="A54" s="41"/>
      <c r="B54" s="12"/>
      <c r="C54" s="48"/>
      <c r="D54" s="48">
        <v>45</v>
      </c>
      <c r="E54" s="49"/>
      <c r="F54" s="50"/>
      <c r="G54" s="50"/>
      <c r="H54" s="50"/>
      <c r="I54" s="50"/>
      <c r="J54" s="50"/>
      <c r="K54" s="50"/>
      <c r="L54" s="50"/>
      <c r="M54" s="50"/>
      <c r="N54" s="50"/>
      <c r="O54" s="50"/>
      <c r="P54" s="50"/>
      <c r="Q54" s="50"/>
      <c r="R54" s="50"/>
      <c r="S54" s="50"/>
      <c r="T54" s="50"/>
      <c r="U54" s="50"/>
      <c r="V54" s="50"/>
      <c r="W54" s="50"/>
      <c r="X54" s="50"/>
      <c r="Y54" s="50"/>
      <c r="Z54" s="43" t="str">
        <f t="shared" si="0"/>
        <v>Очікую</v>
      </c>
      <c r="AA54" s="22"/>
      <c r="AB54" s="40"/>
    </row>
    <row r="55" spans="1:28" s="11" customFormat="1" ht="15" customHeight="1" x14ac:dyDescent="0.25">
      <c r="A55" s="41"/>
      <c r="B55" s="12"/>
      <c r="C55" s="48"/>
      <c r="D55" s="48">
        <v>46</v>
      </c>
      <c r="E55" s="49"/>
      <c r="F55" s="50"/>
      <c r="G55" s="50"/>
      <c r="H55" s="50"/>
      <c r="I55" s="50"/>
      <c r="J55" s="50"/>
      <c r="K55" s="50"/>
      <c r="L55" s="50"/>
      <c r="M55" s="50"/>
      <c r="N55" s="50"/>
      <c r="O55" s="50"/>
      <c r="P55" s="50"/>
      <c r="Q55" s="50"/>
      <c r="R55" s="50"/>
      <c r="S55" s="50"/>
      <c r="T55" s="50"/>
      <c r="U55" s="50"/>
      <c r="V55" s="50"/>
      <c r="W55" s="50"/>
      <c r="X55" s="50"/>
      <c r="Y55" s="50"/>
      <c r="Z55" s="43" t="str">
        <f t="shared" si="0"/>
        <v>Очікую</v>
      </c>
      <c r="AA55" s="22"/>
      <c r="AB55" s="40"/>
    </row>
    <row r="56" spans="1:28" s="11" customFormat="1" ht="15" customHeight="1" x14ac:dyDescent="0.25">
      <c r="A56" s="41"/>
      <c r="B56" s="12"/>
      <c r="C56" s="48"/>
      <c r="D56" s="48">
        <v>47</v>
      </c>
      <c r="E56" s="49"/>
      <c r="F56" s="50"/>
      <c r="G56" s="50"/>
      <c r="H56" s="50"/>
      <c r="I56" s="50"/>
      <c r="J56" s="50"/>
      <c r="K56" s="50"/>
      <c r="L56" s="50"/>
      <c r="M56" s="50"/>
      <c r="N56" s="50"/>
      <c r="O56" s="50"/>
      <c r="P56" s="50"/>
      <c r="Q56" s="50"/>
      <c r="R56" s="50"/>
      <c r="S56" s="50"/>
      <c r="T56" s="50"/>
      <c r="U56" s="50"/>
      <c r="V56" s="50"/>
      <c r="W56" s="50"/>
      <c r="X56" s="50"/>
      <c r="Y56" s="50"/>
      <c r="Z56" s="43" t="str">
        <f t="shared" si="0"/>
        <v>Очікую</v>
      </c>
      <c r="AA56" s="22"/>
      <c r="AB56" s="40"/>
    </row>
    <row r="57" spans="1:28" s="11" customFormat="1" ht="15" customHeight="1" x14ac:dyDescent="0.25">
      <c r="A57" s="41"/>
      <c r="B57" s="12"/>
      <c r="C57" s="48"/>
      <c r="D57" s="48">
        <v>48</v>
      </c>
      <c r="E57" s="49"/>
      <c r="F57" s="50"/>
      <c r="G57" s="50"/>
      <c r="H57" s="50"/>
      <c r="I57" s="50"/>
      <c r="J57" s="50"/>
      <c r="K57" s="50"/>
      <c r="L57" s="50"/>
      <c r="M57" s="50"/>
      <c r="N57" s="50"/>
      <c r="O57" s="50"/>
      <c r="P57" s="50"/>
      <c r="Q57" s="50"/>
      <c r="R57" s="50"/>
      <c r="S57" s="50"/>
      <c r="T57" s="50"/>
      <c r="U57" s="50"/>
      <c r="V57" s="50"/>
      <c r="W57" s="50"/>
      <c r="X57" s="50"/>
      <c r="Y57" s="50"/>
      <c r="Z57" s="43" t="str">
        <f t="shared" si="0"/>
        <v>Очікую</v>
      </c>
      <c r="AA57" s="22"/>
      <c r="AB57" s="40"/>
    </row>
    <row r="58" spans="1:28" s="11" customFormat="1" ht="15" customHeight="1" x14ac:dyDescent="0.25">
      <c r="A58" s="41"/>
      <c r="B58" s="12"/>
      <c r="C58" s="48"/>
      <c r="D58" s="48">
        <v>49</v>
      </c>
      <c r="E58" s="49"/>
      <c r="F58" s="50"/>
      <c r="G58" s="50"/>
      <c r="H58" s="50"/>
      <c r="I58" s="50"/>
      <c r="J58" s="50"/>
      <c r="K58" s="50"/>
      <c r="L58" s="50"/>
      <c r="M58" s="50"/>
      <c r="N58" s="50"/>
      <c r="O58" s="50"/>
      <c r="P58" s="50"/>
      <c r="Q58" s="50"/>
      <c r="R58" s="50"/>
      <c r="S58" s="50"/>
      <c r="T58" s="50"/>
      <c r="U58" s="50"/>
      <c r="V58" s="50"/>
      <c r="W58" s="50"/>
      <c r="X58" s="50"/>
      <c r="Y58" s="50"/>
      <c r="Z58" s="43" t="str">
        <f t="shared" si="0"/>
        <v>Очікую</v>
      </c>
      <c r="AA58" s="22"/>
      <c r="AB58" s="40"/>
    </row>
    <row r="59" spans="1:28" s="11" customFormat="1" ht="15" customHeight="1" x14ac:dyDescent="0.25">
      <c r="A59" s="41"/>
      <c r="B59" s="12"/>
      <c r="C59" s="48"/>
      <c r="D59" s="48">
        <v>50</v>
      </c>
      <c r="E59" s="49"/>
      <c r="F59" s="50"/>
      <c r="G59" s="50"/>
      <c r="H59" s="50"/>
      <c r="I59" s="50"/>
      <c r="J59" s="50"/>
      <c r="K59" s="50"/>
      <c r="L59" s="50"/>
      <c r="M59" s="50"/>
      <c r="N59" s="50"/>
      <c r="O59" s="50"/>
      <c r="P59" s="50"/>
      <c r="Q59" s="50"/>
      <c r="R59" s="50"/>
      <c r="S59" s="50"/>
      <c r="T59" s="50"/>
      <c r="U59" s="50"/>
      <c r="V59" s="50"/>
      <c r="W59" s="50"/>
      <c r="X59" s="50"/>
      <c r="Y59" s="50"/>
      <c r="Z59" s="43" t="str">
        <f t="shared" si="0"/>
        <v>Очікую</v>
      </c>
      <c r="AA59" s="22"/>
      <c r="AB59" s="40"/>
    </row>
    <row r="60" spans="1:28" s="11" customFormat="1" ht="15" customHeight="1" x14ac:dyDescent="0.25">
      <c r="A60" s="41"/>
      <c r="B60" s="12"/>
      <c r="C60" s="48"/>
      <c r="D60" s="48">
        <v>51</v>
      </c>
      <c r="E60" s="49"/>
      <c r="F60" s="50"/>
      <c r="G60" s="50"/>
      <c r="H60" s="50"/>
      <c r="I60" s="50"/>
      <c r="J60" s="50"/>
      <c r="K60" s="50"/>
      <c r="L60" s="50"/>
      <c r="M60" s="50"/>
      <c r="N60" s="50"/>
      <c r="O60" s="50"/>
      <c r="P60" s="50"/>
      <c r="Q60" s="50"/>
      <c r="R60" s="50"/>
      <c r="S60" s="50"/>
      <c r="T60" s="50"/>
      <c r="U60" s="50"/>
      <c r="V60" s="50"/>
      <c r="W60" s="50"/>
      <c r="X60" s="50"/>
      <c r="Y60" s="50"/>
      <c r="Z60" s="43" t="str">
        <f t="shared" si="0"/>
        <v>Очікую</v>
      </c>
      <c r="AA60" s="22"/>
      <c r="AB60" s="40"/>
    </row>
    <row r="61" spans="1:28" s="11" customFormat="1" ht="15" customHeight="1" x14ac:dyDescent="0.25">
      <c r="A61" s="41"/>
      <c r="B61" s="12"/>
      <c r="C61" s="48"/>
      <c r="D61" s="48">
        <v>52</v>
      </c>
      <c r="E61" s="49"/>
      <c r="F61" s="50"/>
      <c r="G61" s="50"/>
      <c r="H61" s="50"/>
      <c r="I61" s="50"/>
      <c r="J61" s="50"/>
      <c r="K61" s="50"/>
      <c r="L61" s="50"/>
      <c r="M61" s="50"/>
      <c r="N61" s="50"/>
      <c r="O61" s="50"/>
      <c r="P61" s="50"/>
      <c r="Q61" s="50"/>
      <c r="R61" s="50"/>
      <c r="S61" s="50"/>
      <c r="T61" s="50"/>
      <c r="U61" s="50"/>
      <c r="V61" s="50"/>
      <c r="W61" s="50"/>
      <c r="X61" s="50"/>
      <c r="Y61" s="50"/>
      <c r="Z61" s="43" t="str">
        <f t="shared" si="0"/>
        <v>Очікую</v>
      </c>
      <c r="AA61" s="22"/>
      <c r="AB61" s="40"/>
    </row>
    <row r="62" spans="1:28" s="11" customFormat="1" ht="15" customHeight="1" x14ac:dyDescent="0.25">
      <c r="A62" s="41"/>
      <c r="B62" s="12"/>
      <c r="C62" s="48"/>
      <c r="D62" s="48">
        <v>53</v>
      </c>
      <c r="E62" s="49"/>
      <c r="F62" s="50"/>
      <c r="G62" s="50"/>
      <c r="H62" s="50"/>
      <c r="I62" s="50"/>
      <c r="J62" s="50"/>
      <c r="K62" s="50"/>
      <c r="L62" s="50"/>
      <c r="M62" s="50"/>
      <c r="N62" s="50"/>
      <c r="O62" s="50"/>
      <c r="P62" s="50"/>
      <c r="Q62" s="50"/>
      <c r="R62" s="50"/>
      <c r="S62" s="50"/>
      <c r="T62" s="50"/>
      <c r="U62" s="50"/>
      <c r="V62" s="50"/>
      <c r="W62" s="50"/>
      <c r="X62" s="50"/>
      <c r="Y62" s="50"/>
      <c r="Z62" s="43" t="str">
        <f t="shared" si="0"/>
        <v>Очікую</v>
      </c>
      <c r="AA62" s="22"/>
      <c r="AB62" s="40"/>
    </row>
    <row r="63" spans="1:28" s="11" customFormat="1" ht="15" customHeight="1" x14ac:dyDescent="0.25">
      <c r="A63" s="41"/>
      <c r="B63" s="12"/>
      <c r="C63" s="48"/>
      <c r="D63" s="48">
        <v>54</v>
      </c>
      <c r="E63" s="49"/>
      <c r="F63" s="50"/>
      <c r="G63" s="50"/>
      <c r="H63" s="50"/>
      <c r="I63" s="50"/>
      <c r="J63" s="50"/>
      <c r="K63" s="50"/>
      <c r="L63" s="50"/>
      <c r="M63" s="50"/>
      <c r="N63" s="50"/>
      <c r="O63" s="50"/>
      <c r="P63" s="50"/>
      <c r="Q63" s="50"/>
      <c r="R63" s="50"/>
      <c r="S63" s="50"/>
      <c r="T63" s="50"/>
      <c r="U63" s="50"/>
      <c r="V63" s="50"/>
      <c r="W63" s="50"/>
      <c r="X63" s="50"/>
      <c r="Y63" s="50"/>
      <c r="Z63" s="43" t="str">
        <f t="shared" si="0"/>
        <v>Очікую</v>
      </c>
      <c r="AA63" s="22"/>
      <c r="AB63" s="40"/>
    </row>
    <row r="64" spans="1:28" s="11" customFormat="1" ht="15" customHeight="1" x14ac:dyDescent="0.25">
      <c r="A64" s="41"/>
      <c r="B64" s="12"/>
      <c r="C64" s="48"/>
      <c r="D64" s="48">
        <v>55</v>
      </c>
      <c r="E64" s="49"/>
      <c r="F64" s="50"/>
      <c r="G64" s="50"/>
      <c r="H64" s="50"/>
      <c r="I64" s="50"/>
      <c r="J64" s="50"/>
      <c r="K64" s="50"/>
      <c r="L64" s="50"/>
      <c r="M64" s="50"/>
      <c r="N64" s="50"/>
      <c r="O64" s="50"/>
      <c r="P64" s="50"/>
      <c r="Q64" s="50"/>
      <c r="R64" s="50"/>
      <c r="S64" s="50"/>
      <c r="T64" s="50"/>
      <c r="U64" s="50"/>
      <c r="V64" s="50"/>
      <c r="W64" s="50"/>
      <c r="X64" s="50"/>
      <c r="Y64" s="50"/>
      <c r="Z64" s="43" t="str">
        <f t="shared" si="0"/>
        <v>Очікую</v>
      </c>
      <c r="AA64" s="22"/>
      <c r="AB64" s="40"/>
    </row>
    <row r="65" spans="1:28" s="11" customFormat="1" ht="15" customHeight="1" x14ac:dyDescent="0.25">
      <c r="A65" s="41"/>
      <c r="B65" s="12"/>
      <c r="C65" s="48"/>
      <c r="D65" s="48">
        <v>56</v>
      </c>
      <c r="E65" s="49"/>
      <c r="F65" s="50"/>
      <c r="G65" s="50"/>
      <c r="H65" s="50"/>
      <c r="I65" s="50"/>
      <c r="J65" s="50"/>
      <c r="K65" s="50"/>
      <c r="L65" s="50"/>
      <c r="M65" s="50"/>
      <c r="N65" s="50"/>
      <c r="O65" s="50"/>
      <c r="P65" s="50"/>
      <c r="Q65" s="50"/>
      <c r="R65" s="50"/>
      <c r="S65" s="50"/>
      <c r="T65" s="50"/>
      <c r="U65" s="50"/>
      <c r="V65" s="50"/>
      <c r="W65" s="50"/>
      <c r="X65" s="50"/>
      <c r="Y65" s="50"/>
      <c r="Z65" s="43" t="str">
        <f t="shared" si="0"/>
        <v>Очікую</v>
      </c>
      <c r="AA65" s="22"/>
      <c r="AB65" s="40"/>
    </row>
    <row r="66" spans="1:28" s="11" customFormat="1" ht="15" customHeight="1" x14ac:dyDescent="0.25">
      <c r="A66" s="41"/>
      <c r="B66" s="12"/>
      <c r="C66" s="48"/>
      <c r="D66" s="48">
        <v>57</v>
      </c>
      <c r="E66" s="49"/>
      <c r="F66" s="50"/>
      <c r="G66" s="50"/>
      <c r="H66" s="50"/>
      <c r="I66" s="50"/>
      <c r="J66" s="50"/>
      <c r="K66" s="50"/>
      <c r="L66" s="50"/>
      <c r="M66" s="50"/>
      <c r="N66" s="50"/>
      <c r="O66" s="50"/>
      <c r="P66" s="50"/>
      <c r="Q66" s="50"/>
      <c r="R66" s="50"/>
      <c r="S66" s="50"/>
      <c r="T66" s="50"/>
      <c r="U66" s="50"/>
      <c r="V66" s="50"/>
      <c r="W66" s="50"/>
      <c r="X66" s="50"/>
      <c r="Y66" s="50"/>
      <c r="Z66" s="43" t="str">
        <f t="shared" si="0"/>
        <v>Очікую</v>
      </c>
      <c r="AA66" s="22"/>
      <c r="AB66" s="40"/>
    </row>
    <row r="67" spans="1:28" s="11" customFormat="1" ht="15" customHeight="1" x14ac:dyDescent="0.25">
      <c r="A67" s="41"/>
      <c r="B67" s="12"/>
      <c r="C67" s="48"/>
      <c r="D67" s="48">
        <v>58</v>
      </c>
      <c r="E67" s="49"/>
      <c r="F67" s="50"/>
      <c r="G67" s="50"/>
      <c r="H67" s="50"/>
      <c r="I67" s="50"/>
      <c r="J67" s="50"/>
      <c r="K67" s="50"/>
      <c r="L67" s="50"/>
      <c r="M67" s="50"/>
      <c r="N67" s="50"/>
      <c r="O67" s="50"/>
      <c r="P67" s="50"/>
      <c r="Q67" s="50"/>
      <c r="R67" s="50"/>
      <c r="S67" s="50"/>
      <c r="T67" s="50"/>
      <c r="U67" s="50"/>
      <c r="V67" s="50"/>
      <c r="W67" s="50"/>
      <c r="X67" s="50"/>
      <c r="Y67" s="50"/>
      <c r="Z67" s="43" t="str">
        <f t="shared" si="0"/>
        <v>Очікую</v>
      </c>
      <c r="AA67" s="22"/>
      <c r="AB67" s="40"/>
    </row>
    <row r="68" spans="1:28" s="11" customFormat="1" ht="15" customHeight="1" x14ac:dyDescent="0.25">
      <c r="A68" s="41"/>
      <c r="B68" s="12"/>
      <c r="C68" s="48"/>
      <c r="D68" s="48">
        <v>59</v>
      </c>
      <c r="E68" s="49"/>
      <c r="F68" s="50"/>
      <c r="G68" s="50"/>
      <c r="H68" s="50"/>
      <c r="I68" s="50"/>
      <c r="J68" s="50"/>
      <c r="K68" s="50"/>
      <c r="L68" s="50"/>
      <c r="M68" s="50"/>
      <c r="N68" s="50"/>
      <c r="O68" s="50"/>
      <c r="P68" s="50"/>
      <c r="Q68" s="50"/>
      <c r="R68" s="50"/>
      <c r="S68" s="50"/>
      <c r="T68" s="50"/>
      <c r="U68" s="50"/>
      <c r="V68" s="50"/>
      <c r="W68" s="50"/>
      <c r="X68" s="50"/>
      <c r="Y68" s="50"/>
      <c r="Z68" s="43" t="str">
        <f t="shared" si="0"/>
        <v>Очікую</v>
      </c>
      <c r="AA68" s="22"/>
      <c r="AB68" s="40"/>
    </row>
    <row r="69" spans="1:28" s="11" customFormat="1" ht="15" customHeight="1" x14ac:dyDescent="0.25">
      <c r="A69" s="41"/>
      <c r="B69" s="12"/>
      <c r="C69" s="48"/>
      <c r="D69" s="48">
        <v>60</v>
      </c>
      <c r="E69" s="49"/>
      <c r="F69" s="50"/>
      <c r="G69" s="50"/>
      <c r="H69" s="50"/>
      <c r="I69" s="50"/>
      <c r="J69" s="50"/>
      <c r="K69" s="50"/>
      <c r="L69" s="50"/>
      <c r="M69" s="50"/>
      <c r="N69" s="50"/>
      <c r="O69" s="50"/>
      <c r="P69" s="50"/>
      <c r="Q69" s="50"/>
      <c r="R69" s="50"/>
      <c r="S69" s="50"/>
      <c r="T69" s="50"/>
      <c r="U69" s="50"/>
      <c r="V69" s="50"/>
      <c r="W69" s="50"/>
      <c r="X69" s="50"/>
      <c r="Y69" s="50"/>
      <c r="Z69" s="43" t="str">
        <f t="shared" si="0"/>
        <v>Очікую</v>
      </c>
      <c r="AA69" s="22"/>
      <c r="AB69" s="40"/>
    </row>
    <row r="70" spans="1:28" s="11" customFormat="1" ht="15" customHeight="1" x14ac:dyDescent="0.25">
      <c r="A70" s="41"/>
      <c r="B70" s="12"/>
      <c r="C70" s="48"/>
      <c r="D70" s="48">
        <v>61</v>
      </c>
      <c r="E70" s="49"/>
      <c r="F70" s="50"/>
      <c r="G70" s="50"/>
      <c r="H70" s="50"/>
      <c r="I70" s="50"/>
      <c r="J70" s="50"/>
      <c r="K70" s="50"/>
      <c r="L70" s="50"/>
      <c r="M70" s="50"/>
      <c r="N70" s="50"/>
      <c r="O70" s="50"/>
      <c r="P70" s="50"/>
      <c r="Q70" s="50"/>
      <c r="R70" s="50"/>
      <c r="S70" s="50"/>
      <c r="T70" s="50"/>
      <c r="U70" s="50"/>
      <c r="V70" s="50"/>
      <c r="W70" s="50"/>
      <c r="X70" s="50"/>
      <c r="Y70" s="50"/>
      <c r="Z70" s="43" t="str">
        <f t="shared" si="0"/>
        <v>Очікую</v>
      </c>
      <c r="AA70" s="22"/>
      <c r="AB70" s="40"/>
    </row>
    <row r="71" spans="1:28" s="11" customFormat="1" ht="15" customHeight="1" x14ac:dyDescent="0.25">
      <c r="A71" s="41"/>
      <c r="B71" s="12"/>
      <c r="C71" s="48"/>
      <c r="D71" s="48">
        <v>62</v>
      </c>
      <c r="E71" s="49"/>
      <c r="F71" s="50"/>
      <c r="G71" s="50"/>
      <c r="H71" s="50"/>
      <c r="I71" s="50"/>
      <c r="J71" s="50"/>
      <c r="K71" s="50"/>
      <c r="L71" s="50"/>
      <c r="M71" s="50"/>
      <c r="N71" s="50"/>
      <c r="O71" s="50"/>
      <c r="P71" s="50"/>
      <c r="Q71" s="50"/>
      <c r="R71" s="50"/>
      <c r="S71" s="50"/>
      <c r="T71" s="50"/>
      <c r="U71" s="50"/>
      <c r="V71" s="50"/>
      <c r="W71" s="50"/>
      <c r="X71" s="50"/>
      <c r="Y71" s="50"/>
      <c r="Z71" s="43" t="str">
        <f t="shared" si="0"/>
        <v>Очікую</v>
      </c>
      <c r="AA71" s="22"/>
      <c r="AB71" s="40"/>
    </row>
    <row r="72" spans="1:28" s="11" customFormat="1" ht="15" customHeight="1" x14ac:dyDescent="0.25">
      <c r="A72" s="41"/>
      <c r="B72" s="12"/>
      <c r="C72" s="48"/>
      <c r="D72" s="48">
        <v>63</v>
      </c>
      <c r="E72" s="49"/>
      <c r="F72" s="50"/>
      <c r="G72" s="50"/>
      <c r="H72" s="50"/>
      <c r="I72" s="50"/>
      <c r="J72" s="50"/>
      <c r="K72" s="50"/>
      <c r="L72" s="50"/>
      <c r="M72" s="50"/>
      <c r="N72" s="50"/>
      <c r="O72" s="50"/>
      <c r="P72" s="50"/>
      <c r="Q72" s="50"/>
      <c r="R72" s="50"/>
      <c r="S72" s="50"/>
      <c r="T72" s="50"/>
      <c r="U72" s="50"/>
      <c r="V72" s="50"/>
      <c r="W72" s="50"/>
      <c r="X72" s="50"/>
      <c r="Y72" s="50"/>
      <c r="Z72" s="43" t="str">
        <f t="shared" si="0"/>
        <v>Очікую</v>
      </c>
      <c r="AA72" s="22"/>
      <c r="AB72" s="40"/>
    </row>
    <row r="73" spans="1:28" s="11" customFormat="1" ht="15" customHeight="1" x14ac:dyDescent="0.25">
      <c r="A73" s="41"/>
      <c r="B73" s="12"/>
      <c r="C73" s="48"/>
      <c r="D73" s="48">
        <v>64</v>
      </c>
      <c r="E73" s="49"/>
      <c r="F73" s="50"/>
      <c r="G73" s="50"/>
      <c r="H73" s="50"/>
      <c r="I73" s="50"/>
      <c r="J73" s="50"/>
      <c r="K73" s="50"/>
      <c r="L73" s="50"/>
      <c r="M73" s="50"/>
      <c r="N73" s="50"/>
      <c r="O73" s="50"/>
      <c r="P73" s="50"/>
      <c r="Q73" s="50"/>
      <c r="R73" s="50"/>
      <c r="S73" s="50"/>
      <c r="T73" s="50"/>
      <c r="U73" s="50"/>
      <c r="V73" s="50"/>
      <c r="W73" s="50"/>
      <c r="X73" s="50"/>
      <c r="Y73" s="50"/>
      <c r="Z73" s="43" t="str">
        <f t="shared" si="0"/>
        <v>Очікую</v>
      </c>
      <c r="AA73" s="22"/>
      <c r="AB73" s="40"/>
    </row>
    <row r="74" spans="1:28" s="11" customFormat="1" ht="15" customHeight="1" x14ac:dyDescent="0.25">
      <c r="A74" s="41"/>
      <c r="B74" s="12"/>
      <c r="C74" s="48"/>
      <c r="D74" s="48">
        <v>65</v>
      </c>
      <c r="E74" s="49"/>
      <c r="F74" s="50"/>
      <c r="G74" s="50"/>
      <c r="H74" s="50"/>
      <c r="I74" s="50"/>
      <c r="J74" s="50"/>
      <c r="K74" s="50"/>
      <c r="L74" s="50"/>
      <c r="M74" s="50"/>
      <c r="N74" s="50"/>
      <c r="O74" s="50"/>
      <c r="P74" s="50"/>
      <c r="Q74" s="50"/>
      <c r="R74" s="50"/>
      <c r="S74" s="50"/>
      <c r="T74" s="50"/>
      <c r="U74" s="50"/>
      <c r="V74" s="50"/>
      <c r="W74" s="50"/>
      <c r="X74" s="50"/>
      <c r="Y74" s="50"/>
      <c r="Z74" s="43" t="str">
        <f t="shared" si="0"/>
        <v>Очікую</v>
      </c>
      <c r="AA74" s="22"/>
      <c r="AB74" s="40"/>
    </row>
    <row r="75" spans="1:28" s="11" customFormat="1" ht="15" customHeight="1" x14ac:dyDescent="0.25">
      <c r="A75" s="41"/>
      <c r="B75" s="12"/>
      <c r="C75" s="48"/>
      <c r="D75" s="48">
        <v>66</v>
      </c>
      <c r="E75" s="49"/>
      <c r="F75" s="50"/>
      <c r="G75" s="50"/>
      <c r="H75" s="50"/>
      <c r="I75" s="50"/>
      <c r="J75" s="50"/>
      <c r="K75" s="50"/>
      <c r="L75" s="50"/>
      <c r="M75" s="50"/>
      <c r="N75" s="50"/>
      <c r="O75" s="50"/>
      <c r="P75" s="50"/>
      <c r="Q75" s="50"/>
      <c r="R75" s="50"/>
      <c r="S75" s="50"/>
      <c r="T75" s="50"/>
      <c r="U75" s="50"/>
      <c r="V75" s="50"/>
      <c r="W75" s="50"/>
      <c r="X75" s="50"/>
      <c r="Y75" s="50"/>
      <c r="Z75" s="43" t="str">
        <f t="shared" ref="Z75:Z109" si="1">IF(COUNTIF(F75:Y75,"=*")&gt;0,IF($C75="К","-"," - "),IF(COUNTIF(F75:Y75,"&lt;4")&gt;0,IF(C75="К","-"," - "),(IFERROR(AVERAGE(F75:Y75),"Очікую"))))</f>
        <v>Очікую</v>
      </c>
      <c r="AA75" s="22"/>
      <c r="AB75" s="40"/>
    </row>
    <row r="76" spans="1:28" s="11" customFormat="1" ht="15" customHeight="1" x14ac:dyDescent="0.25">
      <c r="A76" s="41"/>
      <c r="B76" s="12"/>
      <c r="C76" s="48"/>
      <c r="D76" s="48">
        <v>67</v>
      </c>
      <c r="E76" s="49"/>
      <c r="F76" s="50"/>
      <c r="G76" s="50"/>
      <c r="H76" s="50"/>
      <c r="I76" s="50"/>
      <c r="J76" s="50"/>
      <c r="K76" s="50"/>
      <c r="L76" s="50"/>
      <c r="M76" s="50"/>
      <c r="N76" s="50"/>
      <c r="O76" s="50"/>
      <c r="P76" s="50"/>
      <c r="Q76" s="50"/>
      <c r="R76" s="50"/>
      <c r="S76" s="50"/>
      <c r="T76" s="50"/>
      <c r="U76" s="50"/>
      <c r="V76" s="50"/>
      <c r="W76" s="50"/>
      <c r="X76" s="50"/>
      <c r="Y76" s="50"/>
      <c r="Z76" s="43" t="str">
        <f t="shared" si="1"/>
        <v>Очікую</v>
      </c>
      <c r="AA76" s="22"/>
      <c r="AB76" s="40"/>
    </row>
    <row r="77" spans="1:28" s="11" customFormat="1" ht="15" customHeight="1" x14ac:dyDescent="0.25">
      <c r="A77" s="41"/>
      <c r="B77" s="12"/>
      <c r="C77" s="48"/>
      <c r="D77" s="48">
        <v>68</v>
      </c>
      <c r="E77" s="49"/>
      <c r="F77" s="50"/>
      <c r="G77" s="50"/>
      <c r="H77" s="50"/>
      <c r="I77" s="50"/>
      <c r="J77" s="50"/>
      <c r="K77" s="50"/>
      <c r="L77" s="50"/>
      <c r="M77" s="50"/>
      <c r="N77" s="50"/>
      <c r="O77" s="50"/>
      <c r="P77" s="50"/>
      <c r="Q77" s="50"/>
      <c r="R77" s="50"/>
      <c r="S77" s="50"/>
      <c r="T77" s="50"/>
      <c r="U77" s="50"/>
      <c r="V77" s="50"/>
      <c r="W77" s="50"/>
      <c r="X77" s="50"/>
      <c r="Y77" s="50"/>
      <c r="Z77" s="43" t="str">
        <f t="shared" si="1"/>
        <v>Очікую</v>
      </c>
      <c r="AA77" s="22"/>
      <c r="AB77" s="40"/>
    </row>
    <row r="78" spans="1:28" s="11" customFormat="1" ht="15" customHeight="1" x14ac:dyDescent="0.25">
      <c r="A78" s="41"/>
      <c r="B78" s="12"/>
      <c r="C78" s="48"/>
      <c r="D78" s="48">
        <v>69</v>
      </c>
      <c r="E78" s="49"/>
      <c r="F78" s="50"/>
      <c r="G78" s="50"/>
      <c r="H78" s="50"/>
      <c r="I78" s="50"/>
      <c r="J78" s="50"/>
      <c r="K78" s="50"/>
      <c r="L78" s="50"/>
      <c r="M78" s="50"/>
      <c r="N78" s="50"/>
      <c r="O78" s="50"/>
      <c r="P78" s="50"/>
      <c r="Q78" s="50"/>
      <c r="R78" s="50"/>
      <c r="S78" s="50"/>
      <c r="T78" s="50"/>
      <c r="U78" s="50"/>
      <c r="V78" s="50"/>
      <c r="W78" s="50"/>
      <c r="X78" s="50"/>
      <c r="Y78" s="50"/>
      <c r="Z78" s="43" t="str">
        <f t="shared" si="1"/>
        <v>Очікую</v>
      </c>
      <c r="AA78" s="22"/>
      <c r="AB78" s="40"/>
    </row>
    <row r="79" spans="1:28" s="11" customFormat="1" ht="15" customHeight="1" x14ac:dyDescent="0.25">
      <c r="A79" s="41"/>
      <c r="B79" s="12"/>
      <c r="C79" s="48"/>
      <c r="D79" s="48">
        <v>70</v>
      </c>
      <c r="E79" s="49"/>
      <c r="F79" s="50"/>
      <c r="G79" s="50"/>
      <c r="H79" s="50"/>
      <c r="I79" s="50"/>
      <c r="J79" s="50"/>
      <c r="K79" s="50"/>
      <c r="L79" s="50"/>
      <c r="M79" s="50"/>
      <c r="N79" s="50"/>
      <c r="O79" s="50"/>
      <c r="P79" s="50"/>
      <c r="Q79" s="50"/>
      <c r="R79" s="50"/>
      <c r="S79" s="50"/>
      <c r="T79" s="50"/>
      <c r="U79" s="50"/>
      <c r="V79" s="50"/>
      <c r="W79" s="50"/>
      <c r="X79" s="50"/>
      <c r="Y79" s="50"/>
      <c r="Z79" s="43" t="str">
        <f t="shared" si="1"/>
        <v>Очікую</v>
      </c>
      <c r="AA79" s="22"/>
      <c r="AB79" s="40"/>
    </row>
    <row r="80" spans="1:28" s="11" customFormat="1" ht="15" customHeight="1" x14ac:dyDescent="0.25">
      <c r="A80" s="41"/>
      <c r="B80" s="12"/>
      <c r="C80" s="48"/>
      <c r="D80" s="48">
        <v>71</v>
      </c>
      <c r="E80" s="49"/>
      <c r="F80" s="50"/>
      <c r="G80" s="50"/>
      <c r="H80" s="50"/>
      <c r="I80" s="50"/>
      <c r="J80" s="50"/>
      <c r="K80" s="50"/>
      <c r="L80" s="50"/>
      <c r="M80" s="50"/>
      <c r="N80" s="50"/>
      <c r="O80" s="50"/>
      <c r="P80" s="50"/>
      <c r="Q80" s="50"/>
      <c r="R80" s="50"/>
      <c r="S80" s="50"/>
      <c r="T80" s="50"/>
      <c r="U80" s="50"/>
      <c r="V80" s="50"/>
      <c r="W80" s="50"/>
      <c r="X80" s="50"/>
      <c r="Y80" s="50"/>
      <c r="Z80" s="43" t="str">
        <f t="shared" si="1"/>
        <v>Очікую</v>
      </c>
      <c r="AA80" s="22"/>
      <c r="AB80" s="40"/>
    </row>
    <row r="81" spans="1:28" s="11" customFormat="1" ht="15" customHeight="1" x14ac:dyDescent="0.25">
      <c r="A81" s="41"/>
      <c r="B81" s="12"/>
      <c r="C81" s="48"/>
      <c r="D81" s="48">
        <v>72</v>
      </c>
      <c r="E81" s="49"/>
      <c r="F81" s="50"/>
      <c r="G81" s="50"/>
      <c r="H81" s="50"/>
      <c r="I81" s="50"/>
      <c r="J81" s="50"/>
      <c r="K81" s="50"/>
      <c r="L81" s="50"/>
      <c r="M81" s="50"/>
      <c r="N81" s="50"/>
      <c r="O81" s="50"/>
      <c r="P81" s="50"/>
      <c r="Q81" s="50"/>
      <c r="R81" s="50"/>
      <c r="S81" s="50"/>
      <c r="T81" s="50"/>
      <c r="U81" s="50"/>
      <c r="V81" s="50"/>
      <c r="W81" s="50"/>
      <c r="X81" s="50"/>
      <c r="Y81" s="50"/>
      <c r="Z81" s="43" t="str">
        <f t="shared" si="1"/>
        <v>Очікую</v>
      </c>
      <c r="AA81" s="22"/>
      <c r="AB81" s="40"/>
    </row>
    <row r="82" spans="1:28" s="11" customFormat="1" ht="15" customHeight="1" x14ac:dyDescent="0.25">
      <c r="A82" s="41"/>
      <c r="B82" s="12"/>
      <c r="C82" s="48"/>
      <c r="D82" s="48">
        <v>73</v>
      </c>
      <c r="E82" s="49"/>
      <c r="F82" s="50"/>
      <c r="G82" s="50"/>
      <c r="H82" s="50"/>
      <c r="I82" s="50"/>
      <c r="J82" s="50"/>
      <c r="K82" s="50"/>
      <c r="L82" s="50"/>
      <c r="M82" s="50"/>
      <c r="N82" s="50"/>
      <c r="O82" s="50"/>
      <c r="P82" s="50"/>
      <c r="Q82" s="50"/>
      <c r="R82" s="50"/>
      <c r="S82" s="50"/>
      <c r="T82" s="50"/>
      <c r="U82" s="50"/>
      <c r="V82" s="50"/>
      <c r="W82" s="50"/>
      <c r="X82" s="50"/>
      <c r="Y82" s="50"/>
      <c r="Z82" s="43" t="str">
        <f t="shared" si="1"/>
        <v>Очікую</v>
      </c>
      <c r="AA82" s="22"/>
      <c r="AB82" s="40"/>
    </row>
    <row r="83" spans="1:28" s="11" customFormat="1" ht="15" customHeight="1" x14ac:dyDescent="0.25">
      <c r="A83" s="41"/>
      <c r="B83" s="12"/>
      <c r="C83" s="48"/>
      <c r="D83" s="48">
        <v>74</v>
      </c>
      <c r="E83" s="49"/>
      <c r="F83" s="50"/>
      <c r="G83" s="50"/>
      <c r="H83" s="50"/>
      <c r="I83" s="50"/>
      <c r="J83" s="50"/>
      <c r="K83" s="50"/>
      <c r="L83" s="50"/>
      <c r="M83" s="50"/>
      <c r="N83" s="50"/>
      <c r="O83" s="50"/>
      <c r="P83" s="50"/>
      <c r="Q83" s="50"/>
      <c r="R83" s="50"/>
      <c r="S83" s="50"/>
      <c r="T83" s="50"/>
      <c r="U83" s="50"/>
      <c r="V83" s="50"/>
      <c r="W83" s="50"/>
      <c r="X83" s="50"/>
      <c r="Y83" s="50"/>
      <c r="Z83" s="43" t="str">
        <f t="shared" si="1"/>
        <v>Очікую</v>
      </c>
      <c r="AA83" s="22"/>
      <c r="AB83" s="40"/>
    </row>
    <row r="84" spans="1:28" s="11" customFormat="1" ht="15" customHeight="1" x14ac:dyDescent="0.25">
      <c r="A84" s="41"/>
      <c r="B84" s="12"/>
      <c r="C84" s="48"/>
      <c r="D84" s="48">
        <v>75</v>
      </c>
      <c r="E84" s="49"/>
      <c r="F84" s="50"/>
      <c r="G84" s="50"/>
      <c r="H84" s="50"/>
      <c r="I84" s="50"/>
      <c r="J84" s="50"/>
      <c r="K84" s="50"/>
      <c r="L84" s="50"/>
      <c r="M84" s="50"/>
      <c r="N84" s="50"/>
      <c r="O84" s="50"/>
      <c r="P84" s="50"/>
      <c r="Q84" s="50"/>
      <c r="R84" s="50"/>
      <c r="S84" s="50"/>
      <c r="T84" s="50"/>
      <c r="U84" s="50"/>
      <c r="V84" s="50"/>
      <c r="W84" s="50"/>
      <c r="X84" s="50"/>
      <c r="Y84" s="50"/>
      <c r="Z84" s="43" t="str">
        <f t="shared" si="1"/>
        <v>Очікую</v>
      </c>
      <c r="AA84" s="22"/>
      <c r="AB84" s="40"/>
    </row>
    <row r="85" spans="1:28" s="11" customFormat="1" ht="15" customHeight="1" x14ac:dyDescent="0.25">
      <c r="A85" s="41"/>
      <c r="B85" s="12"/>
      <c r="C85" s="48"/>
      <c r="D85" s="48">
        <v>76</v>
      </c>
      <c r="E85" s="49"/>
      <c r="F85" s="50"/>
      <c r="G85" s="50"/>
      <c r="H85" s="50"/>
      <c r="I85" s="50"/>
      <c r="J85" s="50"/>
      <c r="K85" s="50"/>
      <c r="L85" s="50"/>
      <c r="M85" s="50"/>
      <c r="N85" s="50"/>
      <c r="O85" s="50"/>
      <c r="P85" s="50"/>
      <c r="Q85" s="50"/>
      <c r="R85" s="50"/>
      <c r="S85" s="50"/>
      <c r="T85" s="50"/>
      <c r="U85" s="50"/>
      <c r="V85" s="50"/>
      <c r="W85" s="50"/>
      <c r="X85" s="50"/>
      <c r="Y85" s="50"/>
      <c r="Z85" s="43" t="str">
        <f t="shared" si="1"/>
        <v>Очікую</v>
      </c>
      <c r="AA85" s="22"/>
      <c r="AB85" s="40"/>
    </row>
    <row r="86" spans="1:28" s="11" customFormat="1" ht="15" customHeight="1" x14ac:dyDescent="0.25">
      <c r="A86" s="41"/>
      <c r="B86" s="12"/>
      <c r="C86" s="48"/>
      <c r="D86" s="48">
        <v>77</v>
      </c>
      <c r="E86" s="49"/>
      <c r="F86" s="50"/>
      <c r="G86" s="50"/>
      <c r="H86" s="50"/>
      <c r="I86" s="50"/>
      <c r="J86" s="50"/>
      <c r="K86" s="50"/>
      <c r="L86" s="50"/>
      <c r="M86" s="50"/>
      <c r="N86" s="50"/>
      <c r="O86" s="50"/>
      <c r="P86" s="50"/>
      <c r="Q86" s="50"/>
      <c r="R86" s="50"/>
      <c r="S86" s="50"/>
      <c r="T86" s="50"/>
      <c r="U86" s="50"/>
      <c r="V86" s="50"/>
      <c r="W86" s="50"/>
      <c r="X86" s="50"/>
      <c r="Y86" s="50"/>
      <c r="Z86" s="43" t="str">
        <f t="shared" si="1"/>
        <v>Очікую</v>
      </c>
      <c r="AA86" s="22"/>
      <c r="AB86" s="40"/>
    </row>
    <row r="87" spans="1:28" s="11" customFormat="1" ht="15" customHeight="1" x14ac:dyDescent="0.25">
      <c r="A87" s="41"/>
      <c r="B87" s="12"/>
      <c r="C87" s="48"/>
      <c r="D87" s="48">
        <v>78</v>
      </c>
      <c r="E87" s="49"/>
      <c r="F87" s="50"/>
      <c r="G87" s="50"/>
      <c r="H87" s="50"/>
      <c r="I87" s="50"/>
      <c r="J87" s="50"/>
      <c r="K87" s="50"/>
      <c r="L87" s="50"/>
      <c r="M87" s="50"/>
      <c r="N87" s="50"/>
      <c r="O87" s="50"/>
      <c r="P87" s="50"/>
      <c r="Q87" s="50"/>
      <c r="R87" s="50"/>
      <c r="S87" s="50"/>
      <c r="T87" s="50"/>
      <c r="U87" s="50"/>
      <c r="V87" s="50"/>
      <c r="W87" s="50"/>
      <c r="X87" s="50"/>
      <c r="Y87" s="50"/>
      <c r="Z87" s="43" t="str">
        <f t="shared" si="1"/>
        <v>Очікую</v>
      </c>
      <c r="AA87" s="22"/>
      <c r="AB87" s="40"/>
    </row>
    <row r="88" spans="1:28" s="11" customFormat="1" ht="15" customHeight="1" x14ac:dyDescent="0.25">
      <c r="A88" s="41"/>
      <c r="B88" s="12"/>
      <c r="C88" s="48"/>
      <c r="D88" s="48">
        <v>79</v>
      </c>
      <c r="E88" s="49"/>
      <c r="F88" s="50"/>
      <c r="G88" s="50"/>
      <c r="H88" s="50"/>
      <c r="I88" s="50"/>
      <c r="J88" s="50"/>
      <c r="K88" s="50"/>
      <c r="L88" s="50"/>
      <c r="M88" s="50"/>
      <c r="N88" s="50"/>
      <c r="O88" s="50"/>
      <c r="P88" s="50"/>
      <c r="Q88" s="50"/>
      <c r="R88" s="50"/>
      <c r="S88" s="50"/>
      <c r="T88" s="50"/>
      <c r="U88" s="50"/>
      <c r="V88" s="50"/>
      <c r="W88" s="50"/>
      <c r="X88" s="50"/>
      <c r="Y88" s="50"/>
      <c r="Z88" s="43" t="str">
        <f t="shared" si="1"/>
        <v>Очікую</v>
      </c>
      <c r="AA88" s="22"/>
      <c r="AB88" s="40"/>
    </row>
    <row r="89" spans="1:28" s="11" customFormat="1" ht="15" customHeight="1" x14ac:dyDescent="0.25">
      <c r="A89" s="41"/>
      <c r="B89" s="12"/>
      <c r="C89" s="48"/>
      <c r="D89" s="48">
        <v>80</v>
      </c>
      <c r="E89" s="49"/>
      <c r="F89" s="50"/>
      <c r="G89" s="50"/>
      <c r="H89" s="50"/>
      <c r="I89" s="50"/>
      <c r="J89" s="50"/>
      <c r="K89" s="50"/>
      <c r="L89" s="50"/>
      <c r="M89" s="50"/>
      <c r="N89" s="50"/>
      <c r="O89" s="50"/>
      <c r="P89" s="50"/>
      <c r="Q89" s="50"/>
      <c r="R89" s="50"/>
      <c r="S89" s="50"/>
      <c r="T89" s="50"/>
      <c r="U89" s="50"/>
      <c r="V89" s="50"/>
      <c r="W89" s="50"/>
      <c r="X89" s="50"/>
      <c r="Y89" s="50"/>
      <c r="Z89" s="43" t="str">
        <f t="shared" si="1"/>
        <v>Очікую</v>
      </c>
      <c r="AA89" s="22"/>
      <c r="AB89" s="40"/>
    </row>
    <row r="90" spans="1:28" s="11" customFormat="1" ht="15" customHeight="1" x14ac:dyDescent="0.25">
      <c r="A90" s="41"/>
      <c r="B90" s="12"/>
      <c r="C90" s="48"/>
      <c r="D90" s="48">
        <v>81</v>
      </c>
      <c r="E90" s="49"/>
      <c r="F90" s="50"/>
      <c r="G90" s="50"/>
      <c r="H90" s="50"/>
      <c r="I90" s="50"/>
      <c r="J90" s="50"/>
      <c r="K90" s="50"/>
      <c r="L90" s="50"/>
      <c r="M90" s="50"/>
      <c r="N90" s="50"/>
      <c r="O90" s="50"/>
      <c r="P90" s="50"/>
      <c r="Q90" s="50"/>
      <c r="R90" s="50"/>
      <c r="S90" s="50"/>
      <c r="T90" s="50"/>
      <c r="U90" s="50"/>
      <c r="V90" s="50"/>
      <c r="W90" s="50"/>
      <c r="X90" s="50"/>
      <c r="Y90" s="50"/>
      <c r="Z90" s="43" t="str">
        <f t="shared" si="1"/>
        <v>Очікую</v>
      </c>
      <c r="AA90" s="22"/>
      <c r="AB90" s="40"/>
    </row>
    <row r="91" spans="1:28" s="11" customFormat="1" ht="15" customHeight="1" x14ac:dyDescent="0.25">
      <c r="A91" s="41"/>
      <c r="B91" s="12"/>
      <c r="C91" s="48"/>
      <c r="D91" s="48">
        <v>82</v>
      </c>
      <c r="E91" s="49"/>
      <c r="F91" s="50"/>
      <c r="G91" s="50"/>
      <c r="H91" s="50"/>
      <c r="I91" s="50"/>
      <c r="J91" s="50"/>
      <c r="K91" s="50"/>
      <c r="L91" s="50"/>
      <c r="M91" s="50"/>
      <c r="N91" s="50"/>
      <c r="O91" s="50"/>
      <c r="P91" s="50"/>
      <c r="Q91" s="50"/>
      <c r="R91" s="50"/>
      <c r="S91" s="50"/>
      <c r="T91" s="50"/>
      <c r="U91" s="50"/>
      <c r="V91" s="50"/>
      <c r="W91" s="50"/>
      <c r="X91" s="50"/>
      <c r="Y91" s="50"/>
      <c r="Z91" s="43" t="str">
        <f t="shared" si="1"/>
        <v>Очікую</v>
      </c>
      <c r="AA91" s="22"/>
      <c r="AB91" s="40"/>
    </row>
    <row r="92" spans="1:28" s="11" customFormat="1" ht="15" customHeight="1" x14ac:dyDescent="0.25">
      <c r="A92" s="41"/>
      <c r="B92" s="12"/>
      <c r="C92" s="48"/>
      <c r="D92" s="48">
        <v>83</v>
      </c>
      <c r="E92" s="49"/>
      <c r="F92" s="50"/>
      <c r="G92" s="50"/>
      <c r="H92" s="50"/>
      <c r="I92" s="50"/>
      <c r="J92" s="50"/>
      <c r="K92" s="50"/>
      <c r="L92" s="50"/>
      <c r="M92" s="50"/>
      <c r="N92" s="50"/>
      <c r="O92" s="50"/>
      <c r="P92" s="50"/>
      <c r="Q92" s="50"/>
      <c r="R92" s="50"/>
      <c r="S92" s="50"/>
      <c r="T92" s="50"/>
      <c r="U92" s="50"/>
      <c r="V92" s="50"/>
      <c r="W92" s="50"/>
      <c r="X92" s="50"/>
      <c r="Y92" s="50"/>
      <c r="Z92" s="43" t="str">
        <f t="shared" si="1"/>
        <v>Очікую</v>
      </c>
      <c r="AA92" s="22"/>
      <c r="AB92" s="40"/>
    </row>
    <row r="93" spans="1:28" s="11" customFormat="1" ht="15" customHeight="1" x14ac:dyDescent="0.25">
      <c r="A93" s="41"/>
      <c r="B93" s="12"/>
      <c r="C93" s="48"/>
      <c r="D93" s="48">
        <v>84</v>
      </c>
      <c r="E93" s="49"/>
      <c r="F93" s="50"/>
      <c r="G93" s="50"/>
      <c r="H93" s="50"/>
      <c r="I93" s="50"/>
      <c r="J93" s="50"/>
      <c r="K93" s="50"/>
      <c r="L93" s="50"/>
      <c r="M93" s="50"/>
      <c r="N93" s="50"/>
      <c r="O93" s="50"/>
      <c r="P93" s="50"/>
      <c r="Q93" s="50"/>
      <c r="R93" s="50"/>
      <c r="S93" s="50"/>
      <c r="T93" s="50"/>
      <c r="U93" s="50"/>
      <c r="V93" s="50"/>
      <c r="W93" s="50"/>
      <c r="X93" s="50"/>
      <c r="Y93" s="50"/>
      <c r="Z93" s="43" t="str">
        <f t="shared" si="1"/>
        <v>Очікую</v>
      </c>
      <c r="AA93" s="22"/>
      <c r="AB93" s="40"/>
    </row>
    <row r="94" spans="1:28" s="11" customFormat="1" ht="15" customHeight="1" x14ac:dyDescent="0.25">
      <c r="A94" s="41"/>
      <c r="B94" s="12"/>
      <c r="C94" s="48"/>
      <c r="D94" s="48">
        <v>85</v>
      </c>
      <c r="E94" s="49"/>
      <c r="F94" s="50"/>
      <c r="G94" s="50"/>
      <c r="H94" s="50"/>
      <c r="I94" s="50"/>
      <c r="J94" s="50"/>
      <c r="K94" s="50"/>
      <c r="L94" s="50"/>
      <c r="M94" s="50"/>
      <c r="N94" s="50"/>
      <c r="O94" s="50"/>
      <c r="P94" s="50"/>
      <c r="Q94" s="50"/>
      <c r="R94" s="50"/>
      <c r="S94" s="50"/>
      <c r="T94" s="50"/>
      <c r="U94" s="50"/>
      <c r="V94" s="50"/>
      <c r="W94" s="50"/>
      <c r="X94" s="50"/>
      <c r="Y94" s="50"/>
      <c r="Z94" s="43" t="str">
        <f t="shared" si="1"/>
        <v>Очікую</v>
      </c>
      <c r="AA94" s="22"/>
      <c r="AB94" s="40"/>
    </row>
    <row r="95" spans="1:28" s="11" customFormat="1" ht="15" customHeight="1" x14ac:dyDescent="0.25">
      <c r="A95" s="41"/>
      <c r="B95" s="12"/>
      <c r="C95" s="48"/>
      <c r="D95" s="48">
        <v>86</v>
      </c>
      <c r="E95" s="49"/>
      <c r="F95" s="50"/>
      <c r="G95" s="50"/>
      <c r="H95" s="50"/>
      <c r="I95" s="50"/>
      <c r="J95" s="50"/>
      <c r="K95" s="50"/>
      <c r="L95" s="50"/>
      <c r="M95" s="50"/>
      <c r="N95" s="50"/>
      <c r="O95" s="50"/>
      <c r="P95" s="50"/>
      <c r="Q95" s="50"/>
      <c r="R95" s="50"/>
      <c r="S95" s="50"/>
      <c r="T95" s="50"/>
      <c r="U95" s="50"/>
      <c r="V95" s="50"/>
      <c r="W95" s="50"/>
      <c r="X95" s="50"/>
      <c r="Y95" s="50"/>
      <c r="Z95" s="43" t="str">
        <f t="shared" si="1"/>
        <v>Очікую</v>
      </c>
      <c r="AA95" s="22"/>
      <c r="AB95" s="40"/>
    </row>
    <row r="96" spans="1:28" s="11" customFormat="1" ht="15" customHeight="1" x14ac:dyDescent="0.25">
      <c r="A96" s="41"/>
      <c r="B96" s="12"/>
      <c r="C96" s="48"/>
      <c r="D96" s="48">
        <v>87</v>
      </c>
      <c r="E96" s="49"/>
      <c r="F96" s="50"/>
      <c r="G96" s="50"/>
      <c r="H96" s="50"/>
      <c r="I96" s="50"/>
      <c r="J96" s="50"/>
      <c r="K96" s="50"/>
      <c r="L96" s="50"/>
      <c r="M96" s="50"/>
      <c r="N96" s="50"/>
      <c r="O96" s="50"/>
      <c r="P96" s="50"/>
      <c r="Q96" s="50"/>
      <c r="R96" s="50"/>
      <c r="S96" s="50"/>
      <c r="T96" s="50"/>
      <c r="U96" s="50"/>
      <c r="V96" s="50"/>
      <c r="W96" s="50"/>
      <c r="X96" s="50"/>
      <c r="Y96" s="50"/>
      <c r="Z96" s="43" t="str">
        <f t="shared" si="1"/>
        <v>Очікую</v>
      </c>
      <c r="AA96" s="22"/>
      <c r="AB96" s="40"/>
    </row>
    <row r="97" spans="1:28" s="11" customFormat="1" ht="15" customHeight="1" x14ac:dyDescent="0.25">
      <c r="A97" s="41"/>
      <c r="B97" s="12"/>
      <c r="C97" s="48"/>
      <c r="D97" s="48">
        <v>88</v>
      </c>
      <c r="E97" s="49"/>
      <c r="F97" s="50"/>
      <c r="G97" s="50"/>
      <c r="H97" s="50"/>
      <c r="I97" s="50"/>
      <c r="J97" s="50"/>
      <c r="K97" s="50"/>
      <c r="L97" s="50"/>
      <c r="M97" s="50"/>
      <c r="N97" s="50"/>
      <c r="O97" s="50"/>
      <c r="P97" s="50"/>
      <c r="Q97" s="50"/>
      <c r="R97" s="50"/>
      <c r="S97" s="50"/>
      <c r="T97" s="50"/>
      <c r="U97" s="50"/>
      <c r="V97" s="50"/>
      <c r="W97" s="50"/>
      <c r="X97" s="50"/>
      <c r="Y97" s="50"/>
      <c r="Z97" s="43" t="str">
        <f t="shared" si="1"/>
        <v>Очікую</v>
      </c>
      <c r="AA97" s="22"/>
      <c r="AB97" s="40"/>
    </row>
    <row r="98" spans="1:28" s="11" customFormat="1" ht="15" customHeight="1" x14ac:dyDescent="0.25">
      <c r="A98" s="41"/>
      <c r="B98" s="12"/>
      <c r="C98" s="48"/>
      <c r="D98" s="48">
        <v>89</v>
      </c>
      <c r="E98" s="49"/>
      <c r="F98" s="50"/>
      <c r="G98" s="50"/>
      <c r="H98" s="50"/>
      <c r="I98" s="50"/>
      <c r="J98" s="50"/>
      <c r="K98" s="50"/>
      <c r="L98" s="50"/>
      <c r="M98" s="50"/>
      <c r="N98" s="50"/>
      <c r="O98" s="50"/>
      <c r="P98" s="50"/>
      <c r="Q98" s="50"/>
      <c r="R98" s="50"/>
      <c r="S98" s="50"/>
      <c r="T98" s="50"/>
      <c r="U98" s="50"/>
      <c r="V98" s="50"/>
      <c r="W98" s="50"/>
      <c r="X98" s="50"/>
      <c r="Y98" s="50"/>
      <c r="Z98" s="43" t="str">
        <f t="shared" si="1"/>
        <v>Очікую</v>
      </c>
      <c r="AA98" s="22"/>
      <c r="AB98" s="40"/>
    </row>
    <row r="99" spans="1:28" s="11" customFormat="1" ht="15" customHeight="1" x14ac:dyDescent="0.25">
      <c r="A99" s="41"/>
      <c r="B99" s="12"/>
      <c r="C99" s="48"/>
      <c r="D99" s="48">
        <v>90</v>
      </c>
      <c r="E99" s="49"/>
      <c r="F99" s="50"/>
      <c r="G99" s="50"/>
      <c r="H99" s="50"/>
      <c r="I99" s="50"/>
      <c r="J99" s="50"/>
      <c r="K99" s="50"/>
      <c r="L99" s="50"/>
      <c r="M99" s="50"/>
      <c r="N99" s="50"/>
      <c r="O99" s="50"/>
      <c r="P99" s="50"/>
      <c r="Q99" s="50"/>
      <c r="R99" s="50"/>
      <c r="S99" s="50"/>
      <c r="T99" s="50"/>
      <c r="U99" s="50"/>
      <c r="V99" s="50"/>
      <c r="W99" s="50"/>
      <c r="X99" s="50"/>
      <c r="Y99" s="50"/>
      <c r="Z99" s="43" t="str">
        <f t="shared" si="1"/>
        <v>Очікую</v>
      </c>
      <c r="AA99" s="22"/>
      <c r="AB99" s="40"/>
    </row>
    <row r="100" spans="1:28" s="11" customFormat="1" ht="15" customHeight="1" x14ac:dyDescent="0.25">
      <c r="A100" s="41"/>
      <c r="B100" s="12"/>
      <c r="C100" s="48"/>
      <c r="D100" s="48">
        <v>91</v>
      </c>
      <c r="E100" s="49"/>
      <c r="F100" s="50"/>
      <c r="G100" s="50"/>
      <c r="H100" s="50"/>
      <c r="I100" s="50"/>
      <c r="J100" s="50"/>
      <c r="K100" s="50"/>
      <c r="L100" s="50"/>
      <c r="M100" s="50"/>
      <c r="N100" s="50"/>
      <c r="O100" s="50"/>
      <c r="P100" s="50"/>
      <c r="Q100" s="50"/>
      <c r="R100" s="50"/>
      <c r="S100" s="50"/>
      <c r="T100" s="50"/>
      <c r="U100" s="50"/>
      <c r="V100" s="50"/>
      <c r="W100" s="50"/>
      <c r="X100" s="50"/>
      <c r="Y100" s="50"/>
      <c r="Z100" s="43" t="str">
        <f t="shared" si="1"/>
        <v>Очікую</v>
      </c>
      <c r="AA100" s="22"/>
      <c r="AB100" s="40"/>
    </row>
    <row r="101" spans="1:28" s="11" customFormat="1" ht="15" customHeight="1" x14ac:dyDescent="0.25">
      <c r="A101" s="41"/>
      <c r="B101" s="12"/>
      <c r="C101" s="48"/>
      <c r="D101" s="48">
        <v>92</v>
      </c>
      <c r="E101" s="49"/>
      <c r="F101" s="50"/>
      <c r="G101" s="50"/>
      <c r="H101" s="50"/>
      <c r="I101" s="50"/>
      <c r="J101" s="50"/>
      <c r="K101" s="50"/>
      <c r="L101" s="50"/>
      <c r="M101" s="50"/>
      <c r="N101" s="50"/>
      <c r="O101" s="50"/>
      <c r="P101" s="50"/>
      <c r="Q101" s="50"/>
      <c r="R101" s="50"/>
      <c r="S101" s="50"/>
      <c r="T101" s="50"/>
      <c r="U101" s="50"/>
      <c r="V101" s="50"/>
      <c r="W101" s="50"/>
      <c r="X101" s="50"/>
      <c r="Y101" s="50"/>
      <c r="Z101" s="43" t="str">
        <f t="shared" si="1"/>
        <v>Очікую</v>
      </c>
      <c r="AA101" s="22"/>
      <c r="AB101" s="40"/>
    </row>
    <row r="102" spans="1:28" s="11" customFormat="1" ht="15" customHeight="1" x14ac:dyDescent="0.25">
      <c r="A102" s="41"/>
      <c r="B102" s="12"/>
      <c r="C102" s="48"/>
      <c r="D102" s="48">
        <v>93</v>
      </c>
      <c r="E102" s="49"/>
      <c r="F102" s="50"/>
      <c r="G102" s="50"/>
      <c r="H102" s="50"/>
      <c r="I102" s="50"/>
      <c r="J102" s="50"/>
      <c r="K102" s="50"/>
      <c r="L102" s="50"/>
      <c r="M102" s="50"/>
      <c r="N102" s="50"/>
      <c r="O102" s="50"/>
      <c r="P102" s="50"/>
      <c r="Q102" s="50"/>
      <c r="R102" s="50"/>
      <c r="S102" s="50"/>
      <c r="T102" s="50"/>
      <c r="U102" s="50"/>
      <c r="V102" s="50"/>
      <c r="W102" s="50"/>
      <c r="X102" s="50"/>
      <c r="Y102" s="50"/>
      <c r="Z102" s="43" t="str">
        <f t="shared" si="1"/>
        <v>Очікую</v>
      </c>
      <c r="AA102" s="22"/>
      <c r="AB102" s="40"/>
    </row>
    <row r="103" spans="1:28" s="11" customFormat="1" ht="15" customHeight="1" x14ac:dyDescent="0.25">
      <c r="A103" s="41"/>
      <c r="B103" s="12"/>
      <c r="C103" s="48"/>
      <c r="D103" s="48">
        <v>94</v>
      </c>
      <c r="E103" s="49"/>
      <c r="F103" s="50"/>
      <c r="G103" s="50"/>
      <c r="H103" s="50"/>
      <c r="I103" s="50"/>
      <c r="J103" s="50"/>
      <c r="K103" s="50"/>
      <c r="L103" s="50"/>
      <c r="M103" s="50"/>
      <c r="N103" s="50"/>
      <c r="O103" s="50"/>
      <c r="P103" s="50"/>
      <c r="Q103" s="50"/>
      <c r="R103" s="50"/>
      <c r="S103" s="50"/>
      <c r="T103" s="50"/>
      <c r="U103" s="50"/>
      <c r="V103" s="50"/>
      <c r="W103" s="50"/>
      <c r="X103" s="50"/>
      <c r="Y103" s="50"/>
      <c r="Z103" s="43" t="str">
        <f t="shared" si="1"/>
        <v>Очікую</v>
      </c>
      <c r="AA103" s="22"/>
      <c r="AB103" s="40"/>
    </row>
    <row r="104" spans="1:28" s="11" customFormat="1" ht="15" customHeight="1" x14ac:dyDescent="0.25">
      <c r="A104" s="41"/>
      <c r="B104" s="12"/>
      <c r="C104" s="48"/>
      <c r="D104" s="48">
        <v>95</v>
      </c>
      <c r="E104" s="49"/>
      <c r="F104" s="50"/>
      <c r="G104" s="50"/>
      <c r="H104" s="50"/>
      <c r="I104" s="50"/>
      <c r="J104" s="50"/>
      <c r="K104" s="50"/>
      <c r="L104" s="50"/>
      <c r="M104" s="50"/>
      <c r="N104" s="50"/>
      <c r="O104" s="50"/>
      <c r="P104" s="50"/>
      <c r="Q104" s="50"/>
      <c r="R104" s="50"/>
      <c r="S104" s="50"/>
      <c r="T104" s="50"/>
      <c r="U104" s="50"/>
      <c r="V104" s="50"/>
      <c r="W104" s="50"/>
      <c r="X104" s="50"/>
      <c r="Y104" s="50"/>
      <c r="Z104" s="43" t="str">
        <f t="shared" si="1"/>
        <v>Очікую</v>
      </c>
      <c r="AA104" s="22"/>
      <c r="AB104" s="40"/>
    </row>
    <row r="105" spans="1:28" s="11" customFormat="1" ht="15" customHeight="1" x14ac:dyDescent="0.25">
      <c r="A105" s="41"/>
      <c r="B105" s="12"/>
      <c r="C105" s="48"/>
      <c r="D105" s="48">
        <v>96</v>
      </c>
      <c r="E105" s="49"/>
      <c r="F105" s="50"/>
      <c r="G105" s="50"/>
      <c r="H105" s="50"/>
      <c r="I105" s="50"/>
      <c r="J105" s="50"/>
      <c r="K105" s="50"/>
      <c r="L105" s="50"/>
      <c r="M105" s="50"/>
      <c r="N105" s="50"/>
      <c r="O105" s="50"/>
      <c r="P105" s="50"/>
      <c r="Q105" s="50"/>
      <c r="R105" s="50"/>
      <c r="S105" s="50"/>
      <c r="T105" s="50"/>
      <c r="U105" s="50"/>
      <c r="V105" s="50"/>
      <c r="W105" s="50"/>
      <c r="X105" s="50"/>
      <c r="Y105" s="50"/>
      <c r="Z105" s="43" t="str">
        <f t="shared" si="1"/>
        <v>Очікую</v>
      </c>
      <c r="AA105" s="22"/>
      <c r="AB105" s="40"/>
    </row>
    <row r="106" spans="1:28" s="11" customFormat="1" ht="15" customHeight="1" x14ac:dyDescent="0.25">
      <c r="A106" s="41"/>
      <c r="B106" s="12"/>
      <c r="C106" s="48"/>
      <c r="D106" s="48">
        <v>97</v>
      </c>
      <c r="E106" s="49"/>
      <c r="F106" s="50"/>
      <c r="G106" s="50"/>
      <c r="H106" s="50"/>
      <c r="I106" s="50"/>
      <c r="J106" s="50"/>
      <c r="K106" s="50"/>
      <c r="L106" s="50"/>
      <c r="M106" s="50"/>
      <c r="N106" s="50"/>
      <c r="O106" s="50"/>
      <c r="P106" s="50"/>
      <c r="Q106" s="50"/>
      <c r="R106" s="50"/>
      <c r="S106" s="50"/>
      <c r="T106" s="50"/>
      <c r="U106" s="50"/>
      <c r="V106" s="50"/>
      <c r="W106" s="50"/>
      <c r="X106" s="50"/>
      <c r="Y106" s="50"/>
      <c r="Z106" s="43" t="str">
        <f t="shared" si="1"/>
        <v>Очікую</v>
      </c>
      <c r="AA106" s="22"/>
      <c r="AB106" s="40"/>
    </row>
    <row r="107" spans="1:28" s="11" customFormat="1" ht="15" customHeight="1" x14ac:dyDescent="0.25">
      <c r="A107" s="41"/>
      <c r="B107" s="12"/>
      <c r="C107" s="48"/>
      <c r="D107" s="48">
        <v>98</v>
      </c>
      <c r="E107" s="49"/>
      <c r="F107" s="50"/>
      <c r="G107" s="50"/>
      <c r="H107" s="50"/>
      <c r="I107" s="50"/>
      <c r="J107" s="50"/>
      <c r="K107" s="50"/>
      <c r="L107" s="50"/>
      <c r="M107" s="50"/>
      <c r="N107" s="50"/>
      <c r="O107" s="50"/>
      <c r="P107" s="50"/>
      <c r="Q107" s="50"/>
      <c r="R107" s="50"/>
      <c r="S107" s="50"/>
      <c r="T107" s="50"/>
      <c r="U107" s="50"/>
      <c r="V107" s="50"/>
      <c r="W107" s="50"/>
      <c r="X107" s="50"/>
      <c r="Y107" s="50"/>
      <c r="Z107" s="43" t="str">
        <f t="shared" si="1"/>
        <v>Очікую</v>
      </c>
      <c r="AA107" s="22"/>
      <c r="AB107" s="40"/>
    </row>
    <row r="108" spans="1:28" s="11" customFormat="1" ht="15" customHeight="1" x14ac:dyDescent="0.25">
      <c r="A108" s="41"/>
      <c r="B108" s="12"/>
      <c r="C108" s="48"/>
      <c r="D108" s="48">
        <v>99</v>
      </c>
      <c r="E108" s="49"/>
      <c r="F108" s="50"/>
      <c r="G108" s="50"/>
      <c r="H108" s="50"/>
      <c r="I108" s="50"/>
      <c r="J108" s="50"/>
      <c r="K108" s="50"/>
      <c r="L108" s="50"/>
      <c r="M108" s="50"/>
      <c r="N108" s="50"/>
      <c r="O108" s="50"/>
      <c r="P108" s="50"/>
      <c r="Q108" s="50"/>
      <c r="R108" s="50"/>
      <c r="S108" s="50"/>
      <c r="T108" s="50"/>
      <c r="U108" s="50"/>
      <c r="V108" s="50"/>
      <c r="W108" s="50"/>
      <c r="X108" s="50"/>
      <c r="Y108" s="50"/>
      <c r="Z108" s="43" t="str">
        <f t="shared" si="1"/>
        <v>Очікую</v>
      </c>
      <c r="AA108" s="22"/>
      <c r="AB108" s="40"/>
    </row>
    <row r="109" spans="1:28" s="11" customFormat="1" ht="15" customHeight="1" x14ac:dyDescent="0.25">
      <c r="A109" s="41"/>
      <c r="B109" s="12"/>
      <c r="C109" s="48"/>
      <c r="D109" s="48">
        <v>100</v>
      </c>
      <c r="E109" s="49"/>
      <c r="F109" s="50"/>
      <c r="G109" s="50"/>
      <c r="H109" s="50"/>
      <c r="I109" s="50"/>
      <c r="J109" s="50"/>
      <c r="K109" s="50"/>
      <c r="L109" s="50"/>
      <c r="M109" s="50"/>
      <c r="N109" s="50"/>
      <c r="O109" s="50"/>
      <c r="P109" s="50"/>
      <c r="Q109" s="50"/>
      <c r="R109" s="50"/>
      <c r="S109" s="50"/>
      <c r="T109" s="50"/>
      <c r="U109" s="50"/>
      <c r="V109" s="50"/>
      <c r="W109" s="50"/>
      <c r="X109" s="50"/>
      <c r="Y109" s="50"/>
      <c r="Z109" s="43" t="str">
        <f t="shared" si="1"/>
        <v>Очікую</v>
      </c>
      <c r="AA109" s="22"/>
      <c r="AB109" s="40"/>
    </row>
    <row r="110" spans="1:28" ht="15" customHeight="1" x14ac:dyDescent="0.25">
      <c r="A110" s="41"/>
      <c r="B110" s="12"/>
      <c r="C110" s="6"/>
      <c r="D110" s="6"/>
      <c r="E110" s="7" t="s">
        <v>4</v>
      </c>
      <c r="F110" s="8" t="str">
        <f>IF(SUM(F10:F109)=0,IF(COUNTA(F10:F109)=0,"Очікую",0),SUM(F10:F109)/$D109)</f>
        <v>Очікую</v>
      </c>
      <c r="G110" s="8" t="str">
        <f t="shared" ref="G110:Y110" si="2">IF(SUM(G10:G109)=0,IF(COUNTA(G10:G109)=0,"Очікую",0),SUM(G10:G109)/$D109)</f>
        <v>Очікую</v>
      </c>
      <c r="H110" s="8" t="str">
        <f t="shared" si="2"/>
        <v>Очікую</v>
      </c>
      <c r="I110" s="8" t="str">
        <f t="shared" si="2"/>
        <v>Очікую</v>
      </c>
      <c r="J110" s="8" t="str">
        <f t="shared" si="2"/>
        <v>Очікую</v>
      </c>
      <c r="K110" s="8" t="str">
        <f t="shared" si="2"/>
        <v>Очікую</v>
      </c>
      <c r="L110" s="8" t="str">
        <f t="shared" si="2"/>
        <v>Очікую</v>
      </c>
      <c r="M110" s="8" t="str">
        <f t="shared" si="2"/>
        <v>Очікую</v>
      </c>
      <c r="N110" s="8" t="str">
        <f t="shared" si="2"/>
        <v>Очікую</v>
      </c>
      <c r="O110" s="8" t="str">
        <f t="shared" si="2"/>
        <v>Очікую</v>
      </c>
      <c r="P110" s="8" t="str">
        <f t="shared" si="2"/>
        <v>Очікую</v>
      </c>
      <c r="Q110" s="8" t="str">
        <f t="shared" si="2"/>
        <v>Очікую</v>
      </c>
      <c r="R110" s="8" t="str">
        <f t="shared" si="2"/>
        <v>Очікую</v>
      </c>
      <c r="S110" s="8" t="str">
        <f t="shared" si="2"/>
        <v>Очікую</v>
      </c>
      <c r="T110" s="8" t="str">
        <f t="shared" si="2"/>
        <v>Очікую</v>
      </c>
      <c r="U110" s="8" t="str">
        <f t="shared" si="2"/>
        <v>Очікую</v>
      </c>
      <c r="V110" s="8" t="str">
        <f t="shared" si="2"/>
        <v>Очікую</v>
      </c>
      <c r="W110" s="8" t="str">
        <f t="shared" si="2"/>
        <v>Очікую</v>
      </c>
      <c r="X110" s="8" t="str">
        <f t="shared" si="2"/>
        <v>Очікую</v>
      </c>
      <c r="Y110" s="8" t="str">
        <f t="shared" si="2"/>
        <v>Очікую</v>
      </c>
      <c r="Z110" s="9" t="str">
        <f>IFERROR(AVERAGE(F110:Y110),"Очікую")</f>
        <v>Очікую</v>
      </c>
      <c r="AA110" s="20"/>
      <c r="AB110" s="40"/>
    </row>
    <row r="111" spans="1:28" ht="15" customHeight="1" x14ac:dyDescent="0.25">
      <c r="A111" s="41"/>
      <c r="B111" s="12"/>
      <c r="C111" s="6"/>
      <c r="D111" s="6"/>
      <c r="E111" s="7" t="s">
        <v>5</v>
      </c>
      <c r="F111" s="44" t="str">
        <f>IF(SUM(F10:F109)=0,IF(COUNTA(F10:F109)=0,"Очікую",0),IF(COUNTIF(F10:F109,"&gt;=4")=0,0,COUNTIF(F10:F109,"&gt;=4")/$D109*100))</f>
        <v>Очікую</v>
      </c>
      <c r="G111" s="44" t="str">
        <f t="shared" ref="G111:Y111" si="3">IF(SUM(G10:G109)=0,IF(COUNTA(G10:G109)=0,"Очікую",0),IF(COUNTIF(G10:G109,"&gt;=4")=0,0,COUNTIF(G10:G109,"&gt;=4")/$D109*100))</f>
        <v>Очікую</v>
      </c>
      <c r="H111" s="44" t="str">
        <f t="shared" si="3"/>
        <v>Очікую</v>
      </c>
      <c r="I111" s="44" t="str">
        <f t="shared" si="3"/>
        <v>Очікую</v>
      </c>
      <c r="J111" s="44" t="str">
        <f t="shared" si="3"/>
        <v>Очікую</v>
      </c>
      <c r="K111" s="44" t="str">
        <f t="shared" si="3"/>
        <v>Очікую</v>
      </c>
      <c r="L111" s="44" t="str">
        <f t="shared" si="3"/>
        <v>Очікую</v>
      </c>
      <c r="M111" s="44" t="str">
        <f t="shared" si="3"/>
        <v>Очікую</v>
      </c>
      <c r="N111" s="44" t="str">
        <f t="shared" si="3"/>
        <v>Очікую</v>
      </c>
      <c r="O111" s="44" t="str">
        <f t="shared" si="3"/>
        <v>Очікую</v>
      </c>
      <c r="P111" s="44" t="str">
        <f t="shared" si="3"/>
        <v>Очікую</v>
      </c>
      <c r="Q111" s="44" t="str">
        <f t="shared" si="3"/>
        <v>Очікую</v>
      </c>
      <c r="R111" s="44" t="str">
        <f t="shared" si="3"/>
        <v>Очікую</v>
      </c>
      <c r="S111" s="44" t="str">
        <f t="shared" si="3"/>
        <v>Очікую</v>
      </c>
      <c r="T111" s="44" t="str">
        <f t="shared" si="3"/>
        <v>Очікую</v>
      </c>
      <c r="U111" s="44" t="str">
        <f t="shared" si="3"/>
        <v>Очікую</v>
      </c>
      <c r="V111" s="44" t="str">
        <f t="shared" si="3"/>
        <v>Очікую</v>
      </c>
      <c r="W111" s="44" t="str">
        <f t="shared" si="3"/>
        <v>Очікую</v>
      </c>
      <c r="X111" s="44" t="str">
        <f t="shared" si="3"/>
        <v>Очікую</v>
      </c>
      <c r="Y111" s="44" t="str">
        <f t="shared" si="3"/>
        <v>Очікую</v>
      </c>
      <c r="Z111" s="6"/>
      <c r="AA111" s="20"/>
      <c r="AB111" s="40"/>
    </row>
    <row r="112" spans="1:28" ht="15" customHeight="1" x14ac:dyDescent="0.25">
      <c r="A112" s="41"/>
      <c r="B112" s="12"/>
      <c r="C112" s="6"/>
      <c r="D112" s="6"/>
      <c r="E112" s="7" t="s">
        <v>6</v>
      </c>
      <c r="F112" s="44" t="str">
        <f>IF(SUM(F10:F109)=0,IF(COUNTA(F10:F109)=0,"Очікую",0),IF(COUNTIF(F10:F109,"&gt;=7")=0,0,COUNTIF(F10:F109,"&gt;=7")/$D109*100))</f>
        <v>Очікую</v>
      </c>
      <c r="G112" s="44" t="str">
        <f t="shared" ref="G112:Y112" si="4">IF(SUM(G10:G109)=0,IF(COUNTA(G10:G109)=0,"Очікую",0),IF(COUNTIF(G10:G109,"&gt;=7")=0,0,COUNTIF(G10:G109,"&gt;=7")/$D109*100))</f>
        <v>Очікую</v>
      </c>
      <c r="H112" s="44" t="str">
        <f t="shared" si="4"/>
        <v>Очікую</v>
      </c>
      <c r="I112" s="44" t="str">
        <f t="shared" si="4"/>
        <v>Очікую</v>
      </c>
      <c r="J112" s="44" t="str">
        <f t="shared" si="4"/>
        <v>Очікую</v>
      </c>
      <c r="K112" s="44" t="str">
        <f t="shared" si="4"/>
        <v>Очікую</v>
      </c>
      <c r="L112" s="44" t="str">
        <f t="shared" si="4"/>
        <v>Очікую</v>
      </c>
      <c r="M112" s="44" t="str">
        <f>IF(SUM(M10:M109)=0,IF(COUNTA(M10:M109)=0,"Очікую",0),IF(COUNTIF(M10:M109,"&gt;=7")=0,0,COUNTIF(M10:M109,"&gt;=7")/$D109*100))</f>
        <v>Очікую</v>
      </c>
      <c r="N112" s="44" t="str">
        <f t="shared" si="4"/>
        <v>Очікую</v>
      </c>
      <c r="O112" s="44" t="str">
        <f t="shared" si="4"/>
        <v>Очікую</v>
      </c>
      <c r="P112" s="44" t="str">
        <f t="shared" si="4"/>
        <v>Очікую</v>
      </c>
      <c r="Q112" s="44" t="str">
        <f t="shared" si="4"/>
        <v>Очікую</v>
      </c>
      <c r="R112" s="44" t="str">
        <f t="shared" si="4"/>
        <v>Очікую</v>
      </c>
      <c r="S112" s="44" t="str">
        <f t="shared" si="4"/>
        <v>Очікую</v>
      </c>
      <c r="T112" s="44" t="str">
        <f t="shared" si="4"/>
        <v>Очікую</v>
      </c>
      <c r="U112" s="44" t="str">
        <f t="shared" si="4"/>
        <v>Очікую</v>
      </c>
      <c r="V112" s="44" t="str">
        <f t="shared" si="4"/>
        <v>Очікую</v>
      </c>
      <c r="W112" s="44" t="str">
        <f t="shared" si="4"/>
        <v>Очікую</v>
      </c>
      <c r="X112" s="44" t="str">
        <f t="shared" si="4"/>
        <v>Очікую</v>
      </c>
      <c r="Y112" s="44" t="str">
        <f t="shared" si="4"/>
        <v>Очікую</v>
      </c>
      <c r="Z112" s="6"/>
      <c r="AA112" s="20"/>
      <c r="AB112" s="40"/>
    </row>
    <row r="113" spans="1:28" ht="15" customHeight="1" x14ac:dyDescent="0.25">
      <c r="A113" s="41"/>
      <c r="B113" s="12"/>
      <c r="C113" s="6"/>
      <c r="D113" s="6"/>
      <c r="E113" s="7" t="s">
        <v>7</v>
      </c>
      <c r="F113" s="8" t="str">
        <f>IFERROR(AVERAGE(F111:Y111),"Очікую")</f>
        <v>Очікую</v>
      </c>
      <c r="G113" s="6"/>
      <c r="H113" s="6"/>
      <c r="I113" s="6"/>
      <c r="J113" s="6"/>
      <c r="K113" s="6"/>
      <c r="L113" s="6"/>
      <c r="M113" s="6"/>
      <c r="N113" s="6"/>
      <c r="O113" s="6"/>
      <c r="P113" s="6"/>
      <c r="Q113" s="6"/>
      <c r="R113" s="6"/>
      <c r="S113" s="6"/>
      <c r="T113" s="6"/>
      <c r="U113" s="6"/>
      <c r="V113" s="6"/>
      <c r="W113" s="6"/>
      <c r="X113" s="6"/>
      <c r="Y113" s="6"/>
      <c r="Z113" s="6"/>
      <c r="AA113" s="20"/>
      <c r="AB113" s="40"/>
    </row>
    <row r="114" spans="1:28" ht="15" customHeight="1" x14ac:dyDescent="0.25">
      <c r="A114" s="41"/>
      <c r="B114" s="12"/>
      <c r="C114" s="6"/>
      <c r="D114" s="6"/>
      <c r="E114" s="7" t="s">
        <v>8</v>
      </c>
      <c r="F114" s="8" t="str">
        <f>IFERROR(AVERAGE(F112:Y112),"Очікую")</f>
        <v>Очікую</v>
      </c>
      <c r="G114" s="6"/>
      <c r="H114" s="6"/>
      <c r="I114" s="6"/>
      <c r="J114" s="6"/>
      <c r="K114" s="6"/>
      <c r="L114" s="6"/>
      <c r="M114" s="6"/>
      <c r="N114" s="6"/>
      <c r="O114" s="6"/>
      <c r="P114" s="6"/>
      <c r="Q114" s="6"/>
      <c r="R114" s="6"/>
      <c r="S114" s="6"/>
      <c r="T114" s="6"/>
      <c r="U114" s="6"/>
      <c r="V114" s="6"/>
      <c r="W114" s="6"/>
      <c r="X114" s="6"/>
      <c r="Y114" s="6"/>
      <c r="Z114" s="6"/>
      <c r="AA114" s="20"/>
      <c r="AB114" s="40"/>
    </row>
    <row r="115" spans="1:28" ht="15" customHeight="1" x14ac:dyDescent="0.25">
      <c r="A115" s="41"/>
      <c r="B115" s="12"/>
      <c r="C115" s="6"/>
      <c r="D115" s="6"/>
      <c r="E115" s="7" t="s">
        <v>9</v>
      </c>
      <c r="F115" s="5" t="str">
        <f>IF(COUNTIF(C10:C109,"=Б")=0,IF(COUNTIF(C10:C109,"=К")=0,"Очікую",0),COUNTIF(C10:C109,"=Б"))</f>
        <v>Очікую</v>
      </c>
      <c r="G115" s="6"/>
      <c r="H115" s="6"/>
      <c r="I115" s="6"/>
      <c r="J115" s="6"/>
      <c r="K115" s="6"/>
      <c r="L115" s="6"/>
      <c r="M115" s="6"/>
      <c r="N115" s="6"/>
      <c r="O115" s="6"/>
      <c r="P115" s="6"/>
      <c r="Q115" s="6"/>
      <c r="R115" s="6"/>
      <c r="S115" s="6"/>
      <c r="T115" s="6"/>
      <c r="U115" s="6"/>
      <c r="V115" s="6"/>
      <c r="W115" s="60"/>
      <c r="X115" s="60"/>
      <c r="Y115" s="60"/>
      <c r="Z115" s="60"/>
      <c r="AA115" s="20"/>
      <c r="AB115" s="40"/>
    </row>
    <row r="116" spans="1:28" ht="15" customHeight="1" x14ac:dyDescent="0.3">
      <c r="A116" s="41"/>
      <c r="B116" s="12"/>
      <c r="C116" s="6"/>
      <c r="D116" s="6"/>
      <c r="E116" s="7" t="s">
        <v>10</v>
      </c>
      <c r="F116" s="5" t="str">
        <f>IF(COUNTIF(C10:C109,"=К")=0,IF(COUNTIF(C10:C109,"=Б")=0,"Очікую",0),COUNTIF(C10:C109,"=К"))</f>
        <v>Очікую</v>
      </c>
      <c r="G116" s="6"/>
      <c r="H116" s="63" t="s">
        <v>11</v>
      </c>
      <c r="I116" s="6"/>
      <c r="J116" s="6"/>
      <c r="K116" s="6"/>
      <c r="L116" s="6"/>
      <c r="M116" s="6"/>
      <c r="N116" s="63"/>
      <c r="O116" s="63"/>
      <c r="P116" s="63"/>
      <c r="Q116" s="63"/>
      <c r="R116" s="6"/>
      <c r="S116" s="6"/>
      <c r="T116" s="6"/>
      <c r="U116" s="64"/>
      <c r="V116" s="62"/>
      <c r="W116" s="62"/>
      <c r="X116" s="62"/>
      <c r="Y116" s="62"/>
      <c r="Z116" s="62"/>
      <c r="AA116" s="20"/>
      <c r="AB116" s="40"/>
    </row>
    <row r="117" spans="1:28" ht="15" customHeight="1" x14ac:dyDescent="0.25">
      <c r="A117" s="41"/>
      <c r="B117" s="12"/>
      <c r="C117" s="6"/>
      <c r="D117" s="6"/>
      <c r="E117" s="7" t="s">
        <v>12</v>
      </c>
      <c r="F117" s="4"/>
      <c r="G117" s="6"/>
      <c r="H117" s="63"/>
      <c r="I117" s="6"/>
      <c r="J117" s="6"/>
      <c r="K117" s="6"/>
      <c r="L117" s="6"/>
      <c r="M117" s="6"/>
      <c r="N117" s="63"/>
      <c r="O117" s="63"/>
      <c r="P117" s="63"/>
      <c r="Q117" s="63"/>
      <c r="R117" s="6"/>
      <c r="S117" s="6"/>
      <c r="T117" s="6"/>
      <c r="U117" s="64"/>
      <c r="V117" s="60"/>
      <c r="W117" s="60"/>
      <c r="X117" s="60"/>
      <c r="Y117" s="60"/>
      <c r="Z117" s="60"/>
      <c r="AA117" s="20"/>
      <c r="AB117" s="40"/>
    </row>
    <row r="118" spans="1:28" ht="15" customHeight="1" x14ac:dyDescent="0.3">
      <c r="A118" s="41"/>
      <c r="B118" s="12"/>
      <c r="C118" s="6"/>
      <c r="D118" s="6"/>
      <c r="E118" s="7" t="s">
        <v>13</v>
      </c>
      <c r="F118" s="5" t="str">
        <f>IF(F115="Очікую","Очікую",IF(F115-COUNTIF(Z10:Z109," - ")&lt;ROUNDDOWN(F115*0.4,0),F115-COUNTIF(Z10:Z109," - "),ROUNDDOWN(F115*0.4,0)))</f>
        <v>Очікую</v>
      </c>
      <c r="G118" s="6"/>
      <c r="H118" s="64" t="s">
        <v>14</v>
      </c>
      <c r="I118" s="6"/>
      <c r="J118" s="6"/>
      <c r="K118" s="6"/>
      <c r="L118" s="6"/>
      <c r="M118" s="6"/>
      <c r="N118" s="64"/>
      <c r="O118" s="64"/>
      <c r="P118" s="64"/>
      <c r="Q118" s="64"/>
      <c r="R118" s="6"/>
      <c r="S118" s="6"/>
      <c r="T118" s="6"/>
      <c r="U118" s="64"/>
      <c r="V118" s="62"/>
      <c r="W118" s="62"/>
      <c r="X118" s="62"/>
      <c r="Y118" s="62"/>
      <c r="Z118" s="62"/>
      <c r="AA118" s="20"/>
      <c r="AB118" s="40"/>
    </row>
    <row r="119" spans="1:28" ht="12" customHeight="1" thickBot="1" x14ac:dyDescent="0.3">
      <c r="A119" s="41"/>
      <c r="B119" s="21"/>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5"/>
      <c r="AB119" s="40"/>
    </row>
    <row r="120" spans="1:28" ht="12" customHeight="1" x14ac:dyDescent="0.25">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c r="AA120" s="39"/>
      <c r="AB120" s="40"/>
    </row>
  </sheetData>
  <sheetProtection insertRows="0" deleteRows="0"/>
  <mergeCells count="10">
    <mergeCell ref="C8:C9"/>
    <mergeCell ref="D8:D9"/>
    <mergeCell ref="E8:E9"/>
    <mergeCell ref="F8:Y8"/>
    <mergeCell ref="Z8:Z9"/>
    <mergeCell ref="C3:Z3"/>
    <mergeCell ref="C4:Z4"/>
    <mergeCell ref="C5:Z5"/>
    <mergeCell ref="C6:Z6"/>
    <mergeCell ref="C7:Z7"/>
  </mergeCells>
  <printOptions horizontalCentered="1"/>
  <pageMargins left="0.19685039370078741" right="0.19685039370078741" top="0.19685039370078741" bottom="0.19685039370078741" header="0" footer="0"/>
  <pageSetup paperSize="9" scale="30"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70C0"/>
    <pageSetUpPr fitToPage="1"/>
  </sheetPr>
  <dimension ref="A1:BP120"/>
  <sheetViews>
    <sheetView zoomScaleNormal="100" workbookViewId="0"/>
  </sheetViews>
  <sheetFormatPr defaultColWidth="0" defaultRowHeight="0" customHeight="1" zeroHeight="1" x14ac:dyDescent="0.25"/>
  <cols>
    <col min="1" max="2" width="2.7109375" style="1" customWidth="1"/>
    <col min="3" max="3" width="4.140625" style="1" customWidth="1"/>
    <col min="4" max="4" width="6.5703125" style="1" customWidth="1"/>
    <col min="5" max="5" width="40.42578125" style="1" customWidth="1"/>
    <col min="6" max="25" width="6.7109375" style="1" customWidth="1"/>
    <col min="26" max="26" width="11.28515625" style="1" customWidth="1"/>
    <col min="27" max="28" width="2.7109375" style="1" customWidth="1"/>
    <col min="29" max="34" width="14.42578125" style="1" hidden="1" customWidth="1"/>
    <col min="35" max="35" width="14.85546875" style="1" hidden="1" customWidth="1"/>
    <col min="36" max="49" width="3.7109375" style="1" hidden="1" customWidth="1"/>
    <col min="50" max="68" width="5.7109375" style="1" hidden="1" customWidth="1"/>
    <col min="69" max="16384" width="14.42578125" style="1" hidden="1"/>
  </cols>
  <sheetData>
    <row r="1" spans="1:28" ht="12" customHeight="1" thickBot="1" x14ac:dyDescent="0.3">
      <c r="A1" s="38" t="s">
        <v>18</v>
      </c>
      <c r="B1" s="39"/>
      <c r="C1" s="39"/>
      <c r="D1" s="39"/>
      <c r="E1" s="39"/>
      <c r="F1" s="39"/>
      <c r="G1" s="39"/>
      <c r="H1" s="39"/>
      <c r="I1" s="39"/>
      <c r="J1" s="39"/>
      <c r="K1" s="39"/>
      <c r="L1" s="39"/>
      <c r="M1" s="39"/>
      <c r="N1" s="39"/>
      <c r="O1" s="39"/>
      <c r="P1" s="39"/>
      <c r="Q1" s="39"/>
      <c r="R1" s="39"/>
      <c r="S1" s="39"/>
      <c r="T1" s="39"/>
      <c r="U1" s="39"/>
      <c r="V1" s="39"/>
      <c r="W1" s="39"/>
      <c r="X1" s="39"/>
      <c r="Y1" s="39"/>
      <c r="Z1" s="39"/>
      <c r="AA1" s="39"/>
      <c r="AB1" s="39"/>
    </row>
    <row r="2" spans="1:28" ht="12" customHeight="1" x14ac:dyDescent="0.25">
      <c r="A2" s="41"/>
      <c r="B2" s="17"/>
      <c r="C2" s="18"/>
      <c r="D2" s="18"/>
      <c r="E2" s="18"/>
      <c r="F2" s="18"/>
      <c r="G2" s="18"/>
      <c r="H2" s="18"/>
      <c r="I2" s="18"/>
      <c r="J2" s="18"/>
      <c r="K2" s="18"/>
      <c r="L2" s="18"/>
      <c r="M2" s="18"/>
      <c r="N2" s="18"/>
      <c r="O2" s="18"/>
      <c r="P2" s="18"/>
      <c r="Q2" s="18"/>
      <c r="R2" s="18"/>
      <c r="S2" s="18"/>
      <c r="T2" s="18"/>
      <c r="U2" s="18"/>
      <c r="V2" s="18"/>
      <c r="W2" s="18"/>
      <c r="X2" s="18"/>
      <c r="Y2" s="18"/>
      <c r="Z2" s="18"/>
      <c r="AA2" s="19"/>
      <c r="AB2" s="40"/>
    </row>
    <row r="3" spans="1:28" s="2" customFormat="1" ht="54.95" customHeight="1" x14ac:dyDescent="0.3">
      <c r="A3" s="41"/>
      <c r="B3" s="12"/>
      <c r="C3" s="70" t="s">
        <v>19</v>
      </c>
      <c r="D3" s="70"/>
      <c r="E3" s="70"/>
      <c r="F3" s="70"/>
      <c r="G3" s="70"/>
      <c r="H3" s="70"/>
      <c r="I3" s="70"/>
      <c r="J3" s="70"/>
      <c r="K3" s="70"/>
      <c r="L3" s="70"/>
      <c r="M3" s="70"/>
      <c r="N3" s="70"/>
      <c r="O3" s="70"/>
      <c r="P3" s="70"/>
      <c r="Q3" s="70"/>
      <c r="R3" s="70"/>
      <c r="S3" s="70"/>
      <c r="T3" s="70"/>
      <c r="U3" s="70"/>
      <c r="V3" s="70"/>
      <c r="W3" s="70"/>
      <c r="X3" s="70"/>
      <c r="Y3" s="70"/>
      <c r="Z3" s="70"/>
      <c r="AA3" s="20"/>
      <c r="AB3" s="40"/>
    </row>
    <row r="4" spans="1:28" s="3" customFormat="1" ht="15" customHeight="1" x14ac:dyDescent="0.25">
      <c r="A4" s="41"/>
      <c r="B4" s="12"/>
      <c r="C4" s="71" t="s">
        <v>16</v>
      </c>
      <c r="D4" s="71"/>
      <c r="E4" s="71"/>
      <c r="F4" s="71"/>
      <c r="G4" s="71"/>
      <c r="H4" s="71"/>
      <c r="I4" s="71"/>
      <c r="J4" s="71"/>
      <c r="K4" s="71"/>
      <c r="L4" s="71"/>
      <c r="M4" s="71"/>
      <c r="N4" s="71"/>
      <c r="O4" s="71"/>
      <c r="P4" s="71"/>
      <c r="Q4" s="71"/>
      <c r="R4" s="71"/>
      <c r="S4" s="71"/>
      <c r="T4" s="71"/>
      <c r="U4" s="71"/>
      <c r="V4" s="71"/>
      <c r="W4" s="71"/>
      <c r="X4" s="71"/>
      <c r="Y4" s="71"/>
      <c r="Z4" s="71"/>
      <c r="AA4" s="20"/>
      <c r="AB4" s="40"/>
    </row>
    <row r="5" spans="1:28" s="2" customFormat="1" ht="15" customHeight="1" x14ac:dyDescent="0.25">
      <c r="A5" s="41"/>
      <c r="B5" s="12"/>
      <c r="C5" s="72" t="s">
        <v>20</v>
      </c>
      <c r="D5" s="72"/>
      <c r="E5" s="72"/>
      <c r="F5" s="72"/>
      <c r="G5" s="72"/>
      <c r="H5" s="72"/>
      <c r="I5" s="72"/>
      <c r="J5" s="72"/>
      <c r="K5" s="72"/>
      <c r="L5" s="72"/>
      <c r="M5" s="72"/>
      <c r="N5" s="72"/>
      <c r="O5" s="72"/>
      <c r="P5" s="72"/>
      <c r="Q5" s="72"/>
      <c r="R5" s="72"/>
      <c r="S5" s="72"/>
      <c r="T5" s="72"/>
      <c r="U5" s="72"/>
      <c r="V5" s="72"/>
      <c r="W5" s="72"/>
      <c r="X5" s="72"/>
      <c r="Y5" s="72"/>
      <c r="Z5" s="72"/>
      <c r="AA5" s="20"/>
      <c r="AB5" s="40"/>
    </row>
    <row r="6" spans="1:28" s="2" customFormat="1" ht="15" customHeight="1" x14ac:dyDescent="0.25">
      <c r="A6" s="41"/>
      <c r="B6" s="12"/>
      <c r="C6" s="72" t="s">
        <v>22</v>
      </c>
      <c r="D6" s="72"/>
      <c r="E6" s="72"/>
      <c r="F6" s="72"/>
      <c r="G6" s="72"/>
      <c r="H6" s="72"/>
      <c r="I6" s="72"/>
      <c r="J6" s="72"/>
      <c r="K6" s="72"/>
      <c r="L6" s="72"/>
      <c r="M6" s="72"/>
      <c r="N6" s="72"/>
      <c r="O6" s="72"/>
      <c r="P6" s="72"/>
      <c r="Q6" s="72"/>
      <c r="R6" s="72"/>
      <c r="S6" s="72"/>
      <c r="T6" s="72"/>
      <c r="U6" s="72"/>
      <c r="V6" s="72"/>
      <c r="W6" s="72"/>
      <c r="X6" s="72"/>
      <c r="Y6" s="72"/>
      <c r="Z6" s="72"/>
      <c r="AA6" s="20"/>
      <c r="AB6" s="40"/>
    </row>
    <row r="7" spans="1:28" s="2" customFormat="1" ht="15" customHeight="1" x14ac:dyDescent="0.25">
      <c r="A7" s="41"/>
      <c r="B7" s="12"/>
      <c r="C7" s="73" t="s">
        <v>21</v>
      </c>
      <c r="D7" s="73"/>
      <c r="E7" s="73"/>
      <c r="F7" s="73"/>
      <c r="G7" s="73"/>
      <c r="H7" s="73"/>
      <c r="I7" s="73"/>
      <c r="J7" s="73"/>
      <c r="K7" s="73"/>
      <c r="L7" s="73"/>
      <c r="M7" s="73"/>
      <c r="N7" s="73"/>
      <c r="O7" s="73"/>
      <c r="P7" s="73"/>
      <c r="Q7" s="73"/>
      <c r="R7" s="73"/>
      <c r="S7" s="73"/>
      <c r="T7" s="73"/>
      <c r="U7" s="73"/>
      <c r="V7" s="73"/>
      <c r="W7" s="73"/>
      <c r="X7" s="73"/>
      <c r="Y7" s="73"/>
      <c r="Z7" s="73"/>
      <c r="AA7" s="20"/>
      <c r="AB7" s="40"/>
    </row>
    <row r="8" spans="1:28" ht="15" customHeight="1" x14ac:dyDescent="0.25">
      <c r="A8" s="41"/>
      <c r="B8" s="12"/>
      <c r="C8" s="74" t="s">
        <v>0</v>
      </c>
      <c r="D8" s="76" t="s">
        <v>1</v>
      </c>
      <c r="E8" s="76" t="s">
        <v>2</v>
      </c>
      <c r="F8" s="77" t="s">
        <v>17</v>
      </c>
      <c r="G8" s="78"/>
      <c r="H8" s="78"/>
      <c r="I8" s="78"/>
      <c r="J8" s="78"/>
      <c r="K8" s="78"/>
      <c r="L8" s="78"/>
      <c r="M8" s="78"/>
      <c r="N8" s="78"/>
      <c r="O8" s="78"/>
      <c r="P8" s="78"/>
      <c r="Q8" s="78"/>
      <c r="R8" s="78"/>
      <c r="S8" s="78"/>
      <c r="T8" s="78"/>
      <c r="U8" s="78"/>
      <c r="V8" s="78"/>
      <c r="W8" s="78"/>
      <c r="X8" s="78"/>
      <c r="Y8" s="79"/>
      <c r="Z8" s="80" t="s">
        <v>3</v>
      </c>
      <c r="AA8" s="20"/>
      <c r="AB8" s="40"/>
    </row>
    <row r="9" spans="1:28" ht="125.1" customHeight="1" x14ac:dyDescent="0.25">
      <c r="A9" s="41"/>
      <c r="B9" s="12"/>
      <c r="C9" s="75"/>
      <c r="D9" s="75"/>
      <c r="E9" s="75"/>
      <c r="F9" s="13">
        <v>1</v>
      </c>
      <c r="G9" s="13">
        <v>2</v>
      </c>
      <c r="H9" s="13">
        <v>3</v>
      </c>
      <c r="I9" s="13">
        <v>4</v>
      </c>
      <c r="J9" s="13">
        <v>5</v>
      </c>
      <c r="K9" s="13">
        <v>6</v>
      </c>
      <c r="L9" s="13">
        <v>7</v>
      </c>
      <c r="M9" s="13">
        <v>8</v>
      </c>
      <c r="N9" s="13">
        <v>9</v>
      </c>
      <c r="O9" s="13">
        <v>10</v>
      </c>
      <c r="P9" s="13">
        <v>11</v>
      </c>
      <c r="Q9" s="13">
        <v>12</v>
      </c>
      <c r="R9" s="13">
        <v>13</v>
      </c>
      <c r="S9" s="13">
        <v>14</v>
      </c>
      <c r="T9" s="13">
        <v>15</v>
      </c>
      <c r="U9" s="13">
        <v>16</v>
      </c>
      <c r="V9" s="13">
        <v>17</v>
      </c>
      <c r="W9" s="13">
        <v>18</v>
      </c>
      <c r="X9" s="13">
        <v>19</v>
      </c>
      <c r="Y9" s="13">
        <v>20</v>
      </c>
      <c r="Z9" s="81"/>
      <c r="AA9" s="20"/>
      <c r="AB9" s="40"/>
    </row>
    <row r="10" spans="1:28" s="11" customFormat="1" ht="15" customHeight="1" x14ac:dyDescent="0.25">
      <c r="A10" s="41"/>
      <c r="B10" s="12"/>
      <c r="C10" s="48"/>
      <c r="D10" s="48">
        <v>1</v>
      </c>
      <c r="E10" s="49"/>
      <c r="F10" s="50"/>
      <c r="G10" s="50"/>
      <c r="H10" s="50"/>
      <c r="I10" s="50"/>
      <c r="J10" s="50"/>
      <c r="K10" s="50"/>
      <c r="L10" s="50"/>
      <c r="M10" s="50"/>
      <c r="N10" s="50"/>
      <c r="O10" s="50"/>
      <c r="P10" s="50"/>
      <c r="Q10" s="50"/>
      <c r="R10" s="50"/>
      <c r="S10" s="50"/>
      <c r="T10" s="50"/>
      <c r="U10" s="50"/>
      <c r="V10" s="50"/>
      <c r="W10" s="50"/>
      <c r="X10" s="50"/>
      <c r="Y10" s="50"/>
      <c r="Z10" s="43" t="str">
        <f>IF(COUNTIF(F10:Y10,"=*")&gt;0,IF($C10="К","-"," - "),IF(COUNTIF(F10:Y10,"&lt;4")&gt;0,IF(C10="К","-"," - "),(IFERROR(AVERAGE(F10:Y10),"Очікую"))))</f>
        <v>Очікую</v>
      </c>
      <c r="AA10" s="22"/>
      <c r="AB10" s="40"/>
    </row>
    <row r="11" spans="1:28" s="11" customFormat="1" ht="15" customHeight="1" x14ac:dyDescent="0.25">
      <c r="A11" s="41"/>
      <c r="B11" s="12"/>
      <c r="C11" s="48"/>
      <c r="D11" s="48">
        <v>2</v>
      </c>
      <c r="E11" s="49"/>
      <c r="F11" s="50"/>
      <c r="G11" s="50"/>
      <c r="H11" s="50"/>
      <c r="I11" s="50"/>
      <c r="J11" s="50"/>
      <c r="K11" s="50"/>
      <c r="L11" s="50"/>
      <c r="M11" s="50"/>
      <c r="N11" s="50"/>
      <c r="O11" s="50"/>
      <c r="P11" s="50"/>
      <c r="Q11" s="50"/>
      <c r="R11" s="50"/>
      <c r="S11" s="50"/>
      <c r="T11" s="50"/>
      <c r="U11" s="50"/>
      <c r="V11" s="50"/>
      <c r="W11" s="50"/>
      <c r="X11" s="50"/>
      <c r="Y11" s="50"/>
      <c r="Z11" s="43" t="str">
        <f t="shared" ref="Z11:Z74" si="0">IF(COUNTIF(F11:Y11,"=*")&gt;0,IF($C11="К","-"," - "),IF(COUNTIF(F11:Y11,"&lt;4")&gt;0,IF(C11="К","-"," - "),(IFERROR(AVERAGE(F11:Y11),"Очікую"))))</f>
        <v>Очікую</v>
      </c>
      <c r="AA11" s="22"/>
      <c r="AB11" s="40"/>
    </row>
    <row r="12" spans="1:28" s="11" customFormat="1" ht="15" customHeight="1" x14ac:dyDescent="0.25">
      <c r="A12" s="41"/>
      <c r="B12" s="12"/>
      <c r="C12" s="48"/>
      <c r="D12" s="48">
        <v>3</v>
      </c>
      <c r="E12" s="49"/>
      <c r="F12" s="50"/>
      <c r="G12" s="50"/>
      <c r="H12" s="50"/>
      <c r="I12" s="50"/>
      <c r="J12" s="50"/>
      <c r="K12" s="50"/>
      <c r="L12" s="50"/>
      <c r="M12" s="50"/>
      <c r="N12" s="50"/>
      <c r="O12" s="50"/>
      <c r="P12" s="50"/>
      <c r="Q12" s="50"/>
      <c r="R12" s="50"/>
      <c r="S12" s="50"/>
      <c r="T12" s="50"/>
      <c r="U12" s="50"/>
      <c r="V12" s="50"/>
      <c r="W12" s="50"/>
      <c r="X12" s="50"/>
      <c r="Y12" s="50"/>
      <c r="Z12" s="43" t="str">
        <f t="shared" si="0"/>
        <v>Очікую</v>
      </c>
      <c r="AA12" s="22"/>
      <c r="AB12" s="40"/>
    </row>
    <row r="13" spans="1:28" s="11" customFormat="1" ht="15" customHeight="1" x14ac:dyDescent="0.25">
      <c r="A13" s="41"/>
      <c r="B13" s="12"/>
      <c r="C13" s="48"/>
      <c r="D13" s="48">
        <v>4</v>
      </c>
      <c r="E13" s="49"/>
      <c r="F13" s="50"/>
      <c r="G13" s="50"/>
      <c r="H13" s="50"/>
      <c r="I13" s="50"/>
      <c r="J13" s="50"/>
      <c r="K13" s="50"/>
      <c r="L13" s="50"/>
      <c r="M13" s="50"/>
      <c r="N13" s="50"/>
      <c r="O13" s="50"/>
      <c r="P13" s="50"/>
      <c r="Q13" s="50"/>
      <c r="R13" s="50"/>
      <c r="S13" s="50"/>
      <c r="T13" s="50"/>
      <c r="U13" s="50"/>
      <c r="V13" s="50"/>
      <c r="W13" s="50"/>
      <c r="X13" s="50"/>
      <c r="Y13" s="50"/>
      <c r="Z13" s="43" t="str">
        <f t="shared" si="0"/>
        <v>Очікую</v>
      </c>
      <c r="AA13" s="22"/>
      <c r="AB13" s="40"/>
    </row>
    <row r="14" spans="1:28" s="11" customFormat="1" ht="15" customHeight="1" x14ac:dyDescent="0.25">
      <c r="A14" s="41"/>
      <c r="B14" s="12"/>
      <c r="C14" s="48"/>
      <c r="D14" s="48">
        <v>5</v>
      </c>
      <c r="E14" s="49"/>
      <c r="F14" s="50"/>
      <c r="G14" s="50"/>
      <c r="H14" s="50"/>
      <c r="I14" s="50"/>
      <c r="J14" s="50"/>
      <c r="K14" s="50"/>
      <c r="L14" s="50"/>
      <c r="M14" s="50"/>
      <c r="N14" s="50"/>
      <c r="O14" s="50"/>
      <c r="P14" s="50"/>
      <c r="Q14" s="50"/>
      <c r="R14" s="50"/>
      <c r="S14" s="50"/>
      <c r="T14" s="50"/>
      <c r="U14" s="50"/>
      <c r="V14" s="50"/>
      <c r="W14" s="50"/>
      <c r="X14" s="50"/>
      <c r="Y14" s="50"/>
      <c r="Z14" s="43" t="str">
        <f t="shared" si="0"/>
        <v>Очікую</v>
      </c>
      <c r="AA14" s="22"/>
      <c r="AB14" s="40"/>
    </row>
    <row r="15" spans="1:28" s="11" customFormat="1" ht="15" customHeight="1" x14ac:dyDescent="0.25">
      <c r="A15" s="41"/>
      <c r="B15" s="12"/>
      <c r="C15" s="48"/>
      <c r="D15" s="48">
        <v>6</v>
      </c>
      <c r="E15" s="49"/>
      <c r="F15" s="50"/>
      <c r="G15" s="50"/>
      <c r="H15" s="50"/>
      <c r="I15" s="50"/>
      <c r="J15" s="50"/>
      <c r="K15" s="50"/>
      <c r="L15" s="50"/>
      <c r="M15" s="50"/>
      <c r="N15" s="50"/>
      <c r="O15" s="50"/>
      <c r="P15" s="50"/>
      <c r="Q15" s="50"/>
      <c r="R15" s="50"/>
      <c r="S15" s="50"/>
      <c r="T15" s="50"/>
      <c r="U15" s="50"/>
      <c r="V15" s="50"/>
      <c r="W15" s="50"/>
      <c r="X15" s="50"/>
      <c r="Y15" s="50"/>
      <c r="Z15" s="43" t="str">
        <f t="shared" si="0"/>
        <v>Очікую</v>
      </c>
      <c r="AA15" s="22"/>
      <c r="AB15" s="40"/>
    </row>
    <row r="16" spans="1:28" s="11" customFormat="1" ht="15" customHeight="1" x14ac:dyDescent="0.25">
      <c r="A16" s="41"/>
      <c r="B16" s="12"/>
      <c r="C16" s="48"/>
      <c r="D16" s="48">
        <v>7</v>
      </c>
      <c r="E16" s="49"/>
      <c r="F16" s="50"/>
      <c r="G16" s="50"/>
      <c r="H16" s="50"/>
      <c r="I16" s="50"/>
      <c r="J16" s="50"/>
      <c r="K16" s="50"/>
      <c r="L16" s="50"/>
      <c r="M16" s="50"/>
      <c r="N16" s="50"/>
      <c r="O16" s="50"/>
      <c r="P16" s="50"/>
      <c r="Q16" s="50"/>
      <c r="R16" s="50"/>
      <c r="S16" s="50"/>
      <c r="T16" s="50"/>
      <c r="U16" s="50"/>
      <c r="V16" s="50"/>
      <c r="W16" s="50"/>
      <c r="X16" s="50"/>
      <c r="Y16" s="50"/>
      <c r="Z16" s="43" t="str">
        <f t="shared" si="0"/>
        <v>Очікую</v>
      </c>
      <c r="AA16" s="22"/>
      <c r="AB16" s="40"/>
    </row>
    <row r="17" spans="1:28" s="11" customFormat="1" ht="15" customHeight="1" x14ac:dyDescent="0.25">
      <c r="A17" s="41"/>
      <c r="B17" s="12"/>
      <c r="C17" s="48"/>
      <c r="D17" s="48">
        <v>8</v>
      </c>
      <c r="E17" s="49"/>
      <c r="F17" s="50"/>
      <c r="G17" s="50"/>
      <c r="H17" s="50"/>
      <c r="I17" s="50"/>
      <c r="J17" s="50"/>
      <c r="K17" s="50"/>
      <c r="L17" s="50"/>
      <c r="M17" s="50"/>
      <c r="N17" s="50"/>
      <c r="O17" s="50"/>
      <c r="P17" s="50"/>
      <c r="Q17" s="50"/>
      <c r="R17" s="50"/>
      <c r="S17" s="50"/>
      <c r="T17" s="50"/>
      <c r="U17" s="50"/>
      <c r="V17" s="50"/>
      <c r="W17" s="50"/>
      <c r="X17" s="50"/>
      <c r="Y17" s="50"/>
      <c r="Z17" s="43" t="str">
        <f t="shared" si="0"/>
        <v>Очікую</v>
      </c>
      <c r="AA17" s="22"/>
      <c r="AB17" s="40"/>
    </row>
    <row r="18" spans="1:28" s="11" customFormat="1" ht="15" customHeight="1" x14ac:dyDescent="0.25">
      <c r="A18" s="41"/>
      <c r="B18" s="12"/>
      <c r="C18" s="48"/>
      <c r="D18" s="48">
        <v>9</v>
      </c>
      <c r="E18" s="49"/>
      <c r="F18" s="50"/>
      <c r="G18" s="50"/>
      <c r="H18" s="50"/>
      <c r="I18" s="50"/>
      <c r="J18" s="50"/>
      <c r="K18" s="50"/>
      <c r="L18" s="50"/>
      <c r="M18" s="50"/>
      <c r="N18" s="50"/>
      <c r="O18" s="50"/>
      <c r="P18" s="50"/>
      <c r="Q18" s="50"/>
      <c r="R18" s="50"/>
      <c r="S18" s="50"/>
      <c r="T18" s="50"/>
      <c r="U18" s="50"/>
      <c r="V18" s="50"/>
      <c r="W18" s="50"/>
      <c r="X18" s="50"/>
      <c r="Y18" s="50"/>
      <c r="Z18" s="43" t="str">
        <f t="shared" si="0"/>
        <v>Очікую</v>
      </c>
      <c r="AA18" s="22"/>
      <c r="AB18" s="40"/>
    </row>
    <row r="19" spans="1:28" s="11" customFormat="1" ht="15" customHeight="1" x14ac:dyDescent="0.25">
      <c r="A19" s="41"/>
      <c r="B19" s="12"/>
      <c r="C19" s="48"/>
      <c r="D19" s="48">
        <v>10</v>
      </c>
      <c r="E19" s="49"/>
      <c r="F19" s="50"/>
      <c r="G19" s="50"/>
      <c r="H19" s="50"/>
      <c r="I19" s="50"/>
      <c r="J19" s="50"/>
      <c r="K19" s="50"/>
      <c r="L19" s="50"/>
      <c r="M19" s="50"/>
      <c r="N19" s="50"/>
      <c r="O19" s="50"/>
      <c r="P19" s="50"/>
      <c r="Q19" s="50"/>
      <c r="R19" s="50"/>
      <c r="S19" s="50"/>
      <c r="T19" s="50"/>
      <c r="U19" s="50"/>
      <c r="V19" s="50"/>
      <c r="W19" s="50"/>
      <c r="X19" s="50"/>
      <c r="Y19" s="50"/>
      <c r="Z19" s="43" t="str">
        <f t="shared" si="0"/>
        <v>Очікую</v>
      </c>
      <c r="AA19" s="22"/>
      <c r="AB19" s="40"/>
    </row>
    <row r="20" spans="1:28" s="11" customFormat="1" ht="15" customHeight="1" x14ac:dyDescent="0.25">
      <c r="A20" s="41"/>
      <c r="B20" s="12"/>
      <c r="C20" s="48"/>
      <c r="D20" s="48">
        <v>11</v>
      </c>
      <c r="E20" s="49"/>
      <c r="F20" s="50"/>
      <c r="G20" s="50"/>
      <c r="H20" s="50"/>
      <c r="I20" s="50"/>
      <c r="J20" s="50"/>
      <c r="K20" s="50"/>
      <c r="L20" s="50"/>
      <c r="M20" s="50"/>
      <c r="N20" s="50"/>
      <c r="O20" s="50"/>
      <c r="P20" s="50"/>
      <c r="Q20" s="50"/>
      <c r="R20" s="50"/>
      <c r="S20" s="50"/>
      <c r="T20" s="50"/>
      <c r="U20" s="50"/>
      <c r="V20" s="50"/>
      <c r="W20" s="50"/>
      <c r="X20" s="50"/>
      <c r="Y20" s="50"/>
      <c r="Z20" s="43" t="str">
        <f t="shared" si="0"/>
        <v>Очікую</v>
      </c>
      <c r="AA20" s="22"/>
      <c r="AB20" s="40"/>
    </row>
    <row r="21" spans="1:28" s="11" customFormat="1" ht="15" customHeight="1" x14ac:dyDescent="0.25">
      <c r="A21" s="41"/>
      <c r="B21" s="12"/>
      <c r="C21" s="48"/>
      <c r="D21" s="48">
        <v>12</v>
      </c>
      <c r="E21" s="49"/>
      <c r="F21" s="50"/>
      <c r="G21" s="50"/>
      <c r="H21" s="50"/>
      <c r="I21" s="50"/>
      <c r="J21" s="50"/>
      <c r="K21" s="50"/>
      <c r="L21" s="50"/>
      <c r="M21" s="50"/>
      <c r="N21" s="50"/>
      <c r="O21" s="50"/>
      <c r="P21" s="50"/>
      <c r="Q21" s="50"/>
      <c r="R21" s="50"/>
      <c r="S21" s="50"/>
      <c r="T21" s="50"/>
      <c r="U21" s="50"/>
      <c r="V21" s="50"/>
      <c r="W21" s="50"/>
      <c r="X21" s="50"/>
      <c r="Y21" s="50"/>
      <c r="Z21" s="43" t="str">
        <f t="shared" si="0"/>
        <v>Очікую</v>
      </c>
      <c r="AA21" s="22"/>
      <c r="AB21" s="40"/>
    </row>
    <row r="22" spans="1:28" s="11" customFormat="1" ht="15" customHeight="1" x14ac:dyDescent="0.25">
      <c r="A22" s="41"/>
      <c r="B22" s="12"/>
      <c r="C22" s="48"/>
      <c r="D22" s="48">
        <v>13</v>
      </c>
      <c r="E22" s="49"/>
      <c r="F22" s="50"/>
      <c r="G22" s="50"/>
      <c r="H22" s="50"/>
      <c r="I22" s="50"/>
      <c r="J22" s="50"/>
      <c r="K22" s="50"/>
      <c r="L22" s="50"/>
      <c r="M22" s="50"/>
      <c r="N22" s="50"/>
      <c r="O22" s="50"/>
      <c r="P22" s="50"/>
      <c r="Q22" s="50"/>
      <c r="R22" s="50"/>
      <c r="S22" s="50"/>
      <c r="T22" s="50"/>
      <c r="U22" s="50"/>
      <c r="V22" s="50"/>
      <c r="W22" s="50"/>
      <c r="X22" s="50"/>
      <c r="Y22" s="50"/>
      <c r="Z22" s="43" t="str">
        <f t="shared" si="0"/>
        <v>Очікую</v>
      </c>
      <c r="AA22" s="22"/>
      <c r="AB22" s="40"/>
    </row>
    <row r="23" spans="1:28" s="11" customFormat="1" ht="15" customHeight="1" x14ac:dyDescent="0.25">
      <c r="A23" s="41"/>
      <c r="B23" s="12"/>
      <c r="C23" s="48"/>
      <c r="D23" s="48">
        <v>14</v>
      </c>
      <c r="E23" s="49"/>
      <c r="F23" s="50"/>
      <c r="G23" s="50"/>
      <c r="H23" s="50"/>
      <c r="I23" s="50"/>
      <c r="J23" s="50"/>
      <c r="K23" s="50"/>
      <c r="L23" s="50"/>
      <c r="M23" s="50"/>
      <c r="N23" s="50"/>
      <c r="O23" s="50"/>
      <c r="P23" s="50"/>
      <c r="Q23" s="50"/>
      <c r="R23" s="50"/>
      <c r="S23" s="50"/>
      <c r="T23" s="50"/>
      <c r="U23" s="50"/>
      <c r="V23" s="50"/>
      <c r="W23" s="50"/>
      <c r="X23" s="50"/>
      <c r="Y23" s="50"/>
      <c r="Z23" s="43" t="str">
        <f t="shared" si="0"/>
        <v>Очікую</v>
      </c>
      <c r="AA23" s="22"/>
      <c r="AB23" s="40"/>
    </row>
    <row r="24" spans="1:28" s="11" customFormat="1" ht="15" customHeight="1" x14ac:dyDescent="0.25">
      <c r="A24" s="41"/>
      <c r="B24" s="12"/>
      <c r="C24" s="48"/>
      <c r="D24" s="48">
        <v>15</v>
      </c>
      <c r="E24" s="49"/>
      <c r="F24" s="50"/>
      <c r="G24" s="50"/>
      <c r="H24" s="50"/>
      <c r="I24" s="50"/>
      <c r="J24" s="50"/>
      <c r="K24" s="50"/>
      <c r="L24" s="50"/>
      <c r="M24" s="50"/>
      <c r="N24" s="50"/>
      <c r="O24" s="50"/>
      <c r="P24" s="50"/>
      <c r="Q24" s="50"/>
      <c r="R24" s="50"/>
      <c r="S24" s="50"/>
      <c r="T24" s="50"/>
      <c r="U24" s="50"/>
      <c r="V24" s="50"/>
      <c r="W24" s="50"/>
      <c r="X24" s="50"/>
      <c r="Y24" s="50"/>
      <c r="Z24" s="43" t="str">
        <f t="shared" si="0"/>
        <v>Очікую</v>
      </c>
      <c r="AA24" s="22"/>
      <c r="AB24" s="40"/>
    </row>
    <row r="25" spans="1:28" s="11" customFormat="1" ht="15" customHeight="1" x14ac:dyDescent="0.25">
      <c r="A25" s="41"/>
      <c r="B25" s="12"/>
      <c r="C25" s="48"/>
      <c r="D25" s="48">
        <v>16</v>
      </c>
      <c r="E25" s="49"/>
      <c r="F25" s="50"/>
      <c r="G25" s="50"/>
      <c r="H25" s="50"/>
      <c r="I25" s="50"/>
      <c r="J25" s="50"/>
      <c r="K25" s="50"/>
      <c r="L25" s="50"/>
      <c r="M25" s="50"/>
      <c r="N25" s="50"/>
      <c r="O25" s="50"/>
      <c r="P25" s="50"/>
      <c r="Q25" s="50"/>
      <c r="R25" s="50"/>
      <c r="S25" s="50"/>
      <c r="T25" s="50"/>
      <c r="U25" s="50"/>
      <c r="V25" s="50"/>
      <c r="W25" s="50"/>
      <c r="X25" s="50"/>
      <c r="Y25" s="50"/>
      <c r="Z25" s="43" t="str">
        <f t="shared" si="0"/>
        <v>Очікую</v>
      </c>
      <c r="AA25" s="22"/>
      <c r="AB25" s="40"/>
    </row>
    <row r="26" spans="1:28" s="11" customFormat="1" ht="15" customHeight="1" x14ac:dyDescent="0.25">
      <c r="A26" s="41"/>
      <c r="B26" s="12"/>
      <c r="C26" s="48"/>
      <c r="D26" s="48">
        <v>17</v>
      </c>
      <c r="E26" s="49"/>
      <c r="F26" s="50"/>
      <c r="G26" s="50"/>
      <c r="H26" s="50"/>
      <c r="I26" s="50"/>
      <c r="J26" s="50"/>
      <c r="K26" s="50"/>
      <c r="L26" s="50"/>
      <c r="M26" s="50"/>
      <c r="N26" s="50"/>
      <c r="O26" s="50"/>
      <c r="P26" s="50"/>
      <c r="Q26" s="50"/>
      <c r="R26" s="50"/>
      <c r="S26" s="50"/>
      <c r="T26" s="50"/>
      <c r="U26" s="50"/>
      <c r="V26" s="50"/>
      <c r="W26" s="50"/>
      <c r="X26" s="50"/>
      <c r="Y26" s="50"/>
      <c r="Z26" s="43" t="str">
        <f t="shared" si="0"/>
        <v>Очікую</v>
      </c>
      <c r="AA26" s="22"/>
      <c r="AB26" s="40"/>
    </row>
    <row r="27" spans="1:28" s="11" customFormat="1" ht="15" customHeight="1" x14ac:dyDescent="0.25">
      <c r="A27" s="41"/>
      <c r="B27" s="12"/>
      <c r="C27" s="48"/>
      <c r="D27" s="48">
        <v>18</v>
      </c>
      <c r="E27" s="49"/>
      <c r="F27" s="50"/>
      <c r="G27" s="50"/>
      <c r="H27" s="50"/>
      <c r="I27" s="50"/>
      <c r="J27" s="50"/>
      <c r="K27" s="50"/>
      <c r="L27" s="50"/>
      <c r="M27" s="50"/>
      <c r="N27" s="50"/>
      <c r="O27" s="50"/>
      <c r="P27" s="50"/>
      <c r="Q27" s="50"/>
      <c r="R27" s="50"/>
      <c r="S27" s="50"/>
      <c r="T27" s="50"/>
      <c r="U27" s="50"/>
      <c r="V27" s="50"/>
      <c r="W27" s="50"/>
      <c r="X27" s="50"/>
      <c r="Y27" s="50"/>
      <c r="Z27" s="43" t="str">
        <f t="shared" si="0"/>
        <v>Очікую</v>
      </c>
      <c r="AA27" s="22"/>
      <c r="AB27" s="40"/>
    </row>
    <row r="28" spans="1:28" s="11" customFormat="1" ht="15" customHeight="1" x14ac:dyDescent="0.25">
      <c r="A28" s="41"/>
      <c r="B28" s="12"/>
      <c r="C28" s="48"/>
      <c r="D28" s="48">
        <v>19</v>
      </c>
      <c r="E28" s="49"/>
      <c r="F28" s="50"/>
      <c r="G28" s="50"/>
      <c r="H28" s="50"/>
      <c r="I28" s="50"/>
      <c r="J28" s="50"/>
      <c r="K28" s="50"/>
      <c r="L28" s="50"/>
      <c r="M28" s="50"/>
      <c r="N28" s="50"/>
      <c r="O28" s="50"/>
      <c r="P28" s="50"/>
      <c r="Q28" s="50"/>
      <c r="R28" s="50"/>
      <c r="S28" s="50"/>
      <c r="T28" s="50"/>
      <c r="U28" s="50"/>
      <c r="V28" s="50"/>
      <c r="W28" s="50"/>
      <c r="X28" s="50"/>
      <c r="Y28" s="50"/>
      <c r="Z28" s="43" t="str">
        <f t="shared" si="0"/>
        <v>Очікую</v>
      </c>
      <c r="AA28" s="22"/>
      <c r="AB28" s="40"/>
    </row>
    <row r="29" spans="1:28" s="11" customFormat="1" ht="15" customHeight="1" x14ac:dyDescent="0.25">
      <c r="A29" s="41"/>
      <c r="B29" s="12"/>
      <c r="C29" s="48"/>
      <c r="D29" s="48">
        <v>20</v>
      </c>
      <c r="E29" s="49"/>
      <c r="F29" s="50"/>
      <c r="G29" s="50"/>
      <c r="H29" s="50"/>
      <c r="I29" s="50"/>
      <c r="J29" s="50"/>
      <c r="K29" s="50"/>
      <c r="L29" s="50"/>
      <c r="M29" s="50"/>
      <c r="N29" s="50"/>
      <c r="O29" s="50"/>
      <c r="P29" s="50"/>
      <c r="Q29" s="50"/>
      <c r="R29" s="50"/>
      <c r="S29" s="50"/>
      <c r="T29" s="50"/>
      <c r="U29" s="50"/>
      <c r="V29" s="50"/>
      <c r="W29" s="50"/>
      <c r="X29" s="50"/>
      <c r="Y29" s="50"/>
      <c r="Z29" s="43" t="str">
        <f t="shared" si="0"/>
        <v>Очікую</v>
      </c>
      <c r="AA29" s="22"/>
      <c r="AB29" s="40"/>
    </row>
    <row r="30" spans="1:28" s="11" customFormat="1" ht="15" customHeight="1" x14ac:dyDescent="0.25">
      <c r="A30" s="41"/>
      <c r="B30" s="12"/>
      <c r="C30" s="48"/>
      <c r="D30" s="48">
        <v>21</v>
      </c>
      <c r="E30" s="49"/>
      <c r="F30" s="50"/>
      <c r="G30" s="50"/>
      <c r="H30" s="50"/>
      <c r="I30" s="50"/>
      <c r="J30" s="50"/>
      <c r="K30" s="50"/>
      <c r="L30" s="50"/>
      <c r="M30" s="50"/>
      <c r="N30" s="50"/>
      <c r="O30" s="50"/>
      <c r="P30" s="50"/>
      <c r="Q30" s="50"/>
      <c r="R30" s="50"/>
      <c r="S30" s="50"/>
      <c r="T30" s="50"/>
      <c r="U30" s="50"/>
      <c r="V30" s="50"/>
      <c r="W30" s="50"/>
      <c r="X30" s="50"/>
      <c r="Y30" s="50"/>
      <c r="Z30" s="43" t="str">
        <f t="shared" si="0"/>
        <v>Очікую</v>
      </c>
      <c r="AA30" s="22"/>
      <c r="AB30" s="40"/>
    </row>
    <row r="31" spans="1:28" s="11" customFormat="1" ht="15" customHeight="1" x14ac:dyDescent="0.25">
      <c r="A31" s="41"/>
      <c r="B31" s="12"/>
      <c r="C31" s="48"/>
      <c r="D31" s="48">
        <v>22</v>
      </c>
      <c r="E31" s="49"/>
      <c r="F31" s="50"/>
      <c r="G31" s="50"/>
      <c r="H31" s="50"/>
      <c r="I31" s="50"/>
      <c r="J31" s="50"/>
      <c r="K31" s="50"/>
      <c r="L31" s="50"/>
      <c r="M31" s="50"/>
      <c r="N31" s="50"/>
      <c r="O31" s="50"/>
      <c r="P31" s="50"/>
      <c r="Q31" s="50"/>
      <c r="R31" s="50"/>
      <c r="S31" s="50"/>
      <c r="T31" s="50"/>
      <c r="U31" s="50"/>
      <c r="V31" s="50"/>
      <c r="W31" s="50"/>
      <c r="X31" s="50"/>
      <c r="Y31" s="50"/>
      <c r="Z31" s="43" t="str">
        <f t="shared" si="0"/>
        <v>Очікую</v>
      </c>
      <c r="AA31" s="22"/>
      <c r="AB31" s="40"/>
    </row>
    <row r="32" spans="1:28" s="11" customFormat="1" ht="15" customHeight="1" x14ac:dyDescent="0.25">
      <c r="A32" s="41"/>
      <c r="B32" s="12"/>
      <c r="C32" s="48"/>
      <c r="D32" s="48">
        <v>23</v>
      </c>
      <c r="E32" s="49"/>
      <c r="F32" s="50"/>
      <c r="G32" s="50"/>
      <c r="H32" s="50"/>
      <c r="I32" s="50"/>
      <c r="J32" s="50"/>
      <c r="K32" s="50"/>
      <c r="L32" s="50"/>
      <c r="M32" s="50"/>
      <c r="N32" s="50"/>
      <c r="O32" s="50"/>
      <c r="P32" s="50"/>
      <c r="Q32" s="50"/>
      <c r="R32" s="50"/>
      <c r="S32" s="50"/>
      <c r="T32" s="50"/>
      <c r="U32" s="50"/>
      <c r="V32" s="50"/>
      <c r="W32" s="50"/>
      <c r="X32" s="50"/>
      <c r="Y32" s="50"/>
      <c r="Z32" s="43" t="str">
        <f t="shared" si="0"/>
        <v>Очікую</v>
      </c>
      <c r="AA32" s="22"/>
      <c r="AB32" s="40"/>
    </row>
    <row r="33" spans="1:28" s="11" customFormat="1" ht="15" customHeight="1" x14ac:dyDescent="0.25">
      <c r="A33" s="41"/>
      <c r="B33" s="12"/>
      <c r="C33" s="48"/>
      <c r="D33" s="48">
        <v>24</v>
      </c>
      <c r="E33" s="49"/>
      <c r="F33" s="50"/>
      <c r="G33" s="50"/>
      <c r="H33" s="50"/>
      <c r="I33" s="50"/>
      <c r="J33" s="50"/>
      <c r="K33" s="50"/>
      <c r="L33" s="50"/>
      <c r="M33" s="50"/>
      <c r="N33" s="50"/>
      <c r="O33" s="50"/>
      <c r="P33" s="50"/>
      <c r="Q33" s="50"/>
      <c r="R33" s="50"/>
      <c r="S33" s="50"/>
      <c r="T33" s="50"/>
      <c r="U33" s="50"/>
      <c r="V33" s="50"/>
      <c r="W33" s="50"/>
      <c r="X33" s="50"/>
      <c r="Y33" s="50"/>
      <c r="Z33" s="43" t="str">
        <f t="shared" si="0"/>
        <v>Очікую</v>
      </c>
      <c r="AA33" s="22"/>
      <c r="AB33" s="40"/>
    </row>
    <row r="34" spans="1:28" s="11" customFormat="1" ht="15" customHeight="1" x14ac:dyDescent="0.25">
      <c r="A34" s="41"/>
      <c r="B34" s="12"/>
      <c r="C34" s="48"/>
      <c r="D34" s="48">
        <v>25</v>
      </c>
      <c r="E34" s="49"/>
      <c r="F34" s="50"/>
      <c r="G34" s="50"/>
      <c r="H34" s="50"/>
      <c r="I34" s="50"/>
      <c r="J34" s="50"/>
      <c r="K34" s="50"/>
      <c r="L34" s="50"/>
      <c r="M34" s="50"/>
      <c r="N34" s="50"/>
      <c r="O34" s="50"/>
      <c r="P34" s="50"/>
      <c r="Q34" s="50"/>
      <c r="R34" s="50"/>
      <c r="S34" s="50"/>
      <c r="T34" s="50"/>
      <c r="U34" s="50"/>
      <c r="V34" s="50"/>
      <c r="W34" s="50"/>
      <c r="X34" s="50"/>
      <c r="Y34" s="50"/>
      <c r="Z34" s="43" t="str">
        <f t="shared" si="0"/>
        <v>Очікую</v>
      </c>
      <c r="AA34" s="22"/>
      <c r="AB34" s="40"/>
    </row>
    <row r="35" spans="1:28" s="11" customFormat="1" ht="15" customHeight="1" x14ac:dyDescent="0.25">
      <c r="A35" s="41"/>
      <c r="B35" s="12"/>
      <c r="C35" s="48"/>
      <c r="D35" s="48">
        <v>26</v>
      </c>
      <c r="E35" s="49"/>
      <c r="F35" s="50"/>
      <c r="G35" s="50"/>
      <c r="H35" s="50"/>
      <c r="I35" s="50"/>
      <c r="J35" s="50"/>
      <c r="K35" s="50"/>
      <c r="L35" s="50"/>
      <c r="M35" s="50"/>
      <c r="N35" s="50"/>
      <c r="O35" s="50"/>
      <c r="P35" s="50"/>
      <c r="Q35" s="50"/>
      <c r="R35" s="50"/>
      <c r="S35" s="50"/>
      <c r="T35" s="50"/>
      <c r="U35" s="50"/>
      <c r="V35" s="50"/>
      <c r="W35" s="50"/>
      <c r="X35" s="50"/>
      <c r="Y35" s="50"/>
      <c r="Z35" s="43" t="str">
        <f t="shared" si="0"/>
        <v>Очікую</v>
      </c>
      <c r="AA35" s="22"/>
      <c r="AB35" s="40"/>
    </row>
    <row r="36" spans="1:28" s="11" customFormat="1" ht="15" customHeight="1" x14ac:dyDescent="0.25">
      <c r="A36" s="41"/>
      <c r="B36" s="12"/>
      <c r="C36" s="48"/>
      <c r="D36" s="48">
        <v>27</v>
      </c>
      <c r="E36" s="49"/>
      <c r="F36" s="50"/>
      <c r="G36" s="50"/>
      <c r="H36" s="50"/>
      <c r="I36" s="50"/>
      <c r="J36" s="50"/>
      <c r="K36" s="50"/>
      <c r="L36" s="50"/>
      <c r="M36" s="50"/>
      <c r="N36" s="50"/>
      <c r="O36" s="50"/>
      <c r="P36" s="50"/>
      <c r="Q36" s="50"/>
      <c r="R36" s="50"/>
      <c r="S36" s="50"/>
      <c r="T36" s="50"/>
      <c r="U36" s="50"/>
      <c r="V36" s="50"/>
      <c r="W36" s="50"/>
      <c r="X36" s="50"/>
      <c r="Y36" s="50"/>
      <c r="Z36" s="43" t="str">
        <f t="shared" si="0"/>
        <v>Очікую</v>
      </c>
      <c r="AA36" s="22"/>
      <c r="AB36" s="40"/>
    </row>
    <row r="37" spans="1:28" s="11" customFormat="1" ht="15" customHeight="1" x14ac:dyDescent="0.25">
      <c r="A37" s="41"/>
      <c r="B37" s="12"/>
      <c r="C37" s="48"/>
      <c r="D37" s="48">
        <v>28</v>
      </c>
      <c r="E37" s="49"/>
      <c r="F37" s="50"/>
      <c r="G37" s="50"/>
      <c r="H37" s="50"/>
      <c r="I37" s="50"/>
      <c r="J37" s="50"/>
      <c r="K37" s="50"/>
      <c r="L37" s="50"/>
      <c r="M37" s="50"/>
      <c r="N37" s="50"/>
      <c r="O37" s="50"/>
      <c r="P37" s="50"/>
      <c r="Q37" s="50"/>
      <c r="R37" s="50"/>
      <c r="S37" s="50"/>
      <c r="T37" s="50"/>
      <c r="U37" s="50"/>
      <c r="V37" s="50"/>
      <c r="W37" s="50"/>
      <c r="X37" s="50"/>
      <c r="Y37" s="50"/>
      <c r="Z37" s="43" t="str">
        <f t="shared" si="0"/>
        <v>Очікую</v>
      </c>
      <c r="AA37" s="22"/>
      <c r="AB37" s="40"/>
    </row>
    <row r="38" spans="1:28" s="11" customFormat="1" ht="15" customHeight="1" x14ac:dyDescent="0.25">
      <c r="A38" s="41"/>
      <c r="B38" s="12"/>
      <c r="C38" s="48"/>
      <c r="D38" s="48">
        <v>29</v>
      </c>
      <c r="E38" s="49"/>
      <c r="F38" s="50"/>
      <c r="G38" s="50"/>
      <c r="H38" s="50"/>
      <c r="I38" s="50"/>
      <c r="J38" s="50"/>
      <c r="K38" s="50"/>
      <c r="L38" s="50"/>
      <c r="M38" s="50"/>
      <c r="N38" s="50"/>
      <c r="O38" s="50"/>
      <c r="P38" s="50"/>
      <c r="Q38" s="50"/>
      <c r="R38" s="50"/>
      <c r="S38" s="50"/>
      <c r="T38" s="50"/>
      <c r="U38" s="50"/>
      <c r="V38" s="50"/>
      <c r="W38" s="50"/>
      <c r="X38" s="50"/>
      <c r="Y38" s="50"/>
      <c r="Z38" s="43" t="str">
        <f t="shared" si="0"/>
        <v>Очікую</v>
      </c>
      <c r="AA38" s="22"/>
      <c r="AB38" s="40"/>
    </row>
    <row r="39" spans="1:28" s="11" customFormat="1" ht="15" customHeight="1" x14ac:dyDescent="0.25">
      <c r="A39" s="41"/>
      <c r="B39" s="12"/>
      <c r="C39" s="48"/>
      <c r="D39" s="48">
        <v>30</v>
      </c>
      <c r="E39" s="49"/>
      <c r="F39" s="50"/>
      <c r="G39" s="50"/>
      <c r="H39" s="50"/>
      <c r="I39" s="50"/>
      <c r="J39" s="50"/>
      <c r="K39" s="50"/>
      <c r="L39" s="50"/>
      <c r="M39" s="50"/>
      <c r="N39" s="50"/>
      <c r="O39" s="50"/>
      <c r="P39" s="50"/>
      <c r="Q39" s="50"/>
      <c r="R39" s="50"/>
      <c r="S39" s="50"/>
      <c r="T39" s="50"/>
      <c r="U39" s="50"/>
      <c r="V39" s="50"/>
      <c r="W39" s="50"/>
      <c r="X39" s="50"/>
      <c r="Y39" s="50"/>
      <c r="Z39" s="43" t="str">
        <f t="shared" si="0"/>
        <v>Очікую</v>
      </c>
      <c r="AA39" s="22"/>
      <c r="AB39" s="40"/>
    </row>
    <row r="40" spans="1:28" s="11" customFormat="1" ht="15" customHeight="1" x14ac:dyDescent="0.25">
      <c r="A40" s="41"/>
      <c r="B40" s="12"/>
      <c r="C40" s="48"/>
      <c r="D40" s="48">
        <v>31</v>
      </c>
      <c r="E40" s="49"/>
      <c r="F40" s="50"/>
      <c r="G40" s="50"/>
      <c r="H40" s="50"/>
      <c r="I40" s="50"/>
      <c r="J40" s="50"/>
      <c r="K40" s="50"/>
      <c r="L40" s="50"/>
      <c r="M40" s="50"/>
      <c r="N40" s="50"/>
      <c r="O40" s="50"/>
      <c r="P40" s="50"/>
      <c r="Q40" s="50"/>
      <c r="R40" s="50"/>
      <c r="S40" s="50"/>
      <c r="T40" s="50"/>
      <c r="U40" s="50"/>
      <c r="V40" s="50"/>
      <c r="W40" s="50"/>
      <c r="X40" s="50"/>
      <c r="Y40" s="50"/>
      <c r="Z40" s="43" t="str">
        <f t="shared" si="0"/>
        <v>Очікую</v>
      </c>
      <c r="AA40" s="22"/>
      <c r="AB40" s="40"/>
    </row>
    <row r="41" spans="1:28" s="11" customFormat="1" ht="15" customHeight="1" x14ac:dyDescent="0.25">
      <c r="A41" s="41"/>
      <c r="B41" s="12"/>
      <c r="C41" s="48"/>
      <c r="D41" s="48">
        <v>32</v>
      </c>
      <c r="E41" s="49"/>
      <c r="F41" s="50"/>
      <c r="G41" s="50"/>
      <c r="H41" s="50"/>
      <c r="I41" s="50"/>
      <c r="J41" s="50"/>
      <c r="K41" s="50"/>
      <c r="L41" s="50"/>
      <c r="M41" s="50"/>
      <c r="N41" s="50"/>
      <c r="O41" s="50"/>
      <c r="P41" s="50"/>
      <c r="Q41" s="50"/>
      <c r="R41" s="50"/>
      <c r="S41" s="50"/>
      <c r="T41" s="50"/>
      <c r="U41" s="50"/>
      <c r="V41" s="50"/>
      <c r="W41" s="50"/>
      <c r="X41" s="50"/>
      <c r="Y41" s="50"/>
      <c r="Z41" s="43" t="str">
        <f t="shared" si="0"/>
        <v>Очікую</v>
      </c>
      <c r="AA41" s="22"/>
      <c r="AB41" s="40"/>
    </row>
    <row r="42" spans="1:28" s="11" customFormat="1" ht="15" customHeight="1" x14ac:dyDescent="0.25">
      <c r="A42" s="41"/>
      <c r="B42" s="12"/>
      <c r="C42" s="48"/>
      <c r="D42" s="48">
        <v>33</v>
      </c>
      <c r="E42" s="49"/>
      <c r="F42" s="50"/>
      <c r="G42" s="50"/>
      <c r="H42" s="50"/>
      <c r="I42" s="50"/>
      <c r="J42" s="50"/>
      <c r="K42" s="50"/>
      <c r="L42" s="50"/>
      <c r="M42" s="50"/>
      <c r="N42" s="50"/>
      <c r="O42" s="50"/>
      <c r="P42" s="50"/>
      <c r="Q42" s="50"/>
      <c r="R42" s="50"/>
      <c r="S42" s="50"/>
      <c r="T42" s="50"/>
      <c r="U42" s="50"/>
      <c r="V42" s="50"/>
      <c r="W42" s="50"/>
      <c r="X42" s="50"/>
      <c r="Y42" s="50"/>
      <c r="Z42" s="43" t="str">
        <f t="shared" si="0"/>
        <v>Очікую</v>
      </c>
      <c r="AA42" s="22"/>
      <c r="AB42" s="40"/>
    </row>
    <row r="43" spans="1:28" s="11" customFormat="1" ht="15" customHeight="1" x14ac:dyDescent="0.25">
      <c r="A43" s="41"/>
      <c r="B43" s="12"/>
      <c r="C43" s="48"/>
      <c r="D43" s="48">
        <v>34</v>
      </c>
      <c r="E43" s="49"/>
      <c r="F43" s="50"/>
      <c r="G43" s="50"/>
      <c r="H43" s="50"/>
      <c r="I43" s="50"/>
      <c r="J43" s="50"/>
      <c r="K43" s="50"/>
      <c r="L43" s="50"/>
      <c r="M43" s="50"/>
      <c r="N43" s="50"/>
      <c r="O43" s="50"/>
      <c r="P43" s="50"/>
      <c r="Q43" s="50"/>
      <c r="R43" s="50"/>
      <c r="S43" s="50"/>
      <c r="T43" s="50"/>
      <c r="U43" s="50"/>
      <c r="V43" s="50"/>
      <c r="W43" s="50"/>
      <c r="X43" s="50"/>
      <c r="Y43" s="50"/>
      <c r="Z43" s="43" t="str">
        <f t="shared" si="0"/>
        <v>Очікую</v>
      </c>
      <c r="AA43" s="22"/>
      <c r="AB43" s="40"/>
    </row>
    <row r="44" spans="1:28" s="11" customFormat="1" ht="15" customHeight="1" x14ac:dyDescent="0.25">
      <c r="A44" s="41"/>
      <c r="B44" s="12"/>
      <c r="C44" s="48"/>
      <c r="D44" s="48">
        <v>35</v>
      </c>
      <c r="E44" s="49"/>
      <c r="F44" s="50"/>
      <c r="G44" s="50"/>
      <c r="H44" s="50"/>
      <c r="I44" s="50"/>
      <c r="J44" s="50"/>
      <c r="K44" s="50"/>
      <c r="L44" s="50"/>
      <c r="M44" s="50"/>
      <c r="N44" s="50"/>
      <c r="O44" s="50"/>
      <c r="P44" s="50"/>
      <c r="Q44" s="50"/>
      <c r="R44" s="50"/>
      <c r="S44" s="50"/>
      <c r="T44" s="50"/>
      <c r="U44" s="50"/>
      <c r="V44" s="50"/>
      <c r="W44" s="50"/>
      <c r="X44" s="50"/>
      <c r="Y44" s="50"/>
      <c r="Z44" s="43" t="str">
        <f t="shared" si="0"/>
        <v>Очікую</v>
      </c>
      <c r="AA44" s="22"/>
      <c r="AB44" s="40"/>
    </row>
    <row r="45" spans="1:28" s="11" customFormat="1" ht="15" customHeight="1" x14ac:dyDescent="0.25">
      <c r="A45" s="41"/>
      <c r="B45" s="12"/>
      <c r="C45" s="48"/>
      <c r="D45" s="48">
        <v>36</v>
      </c>
      <c r="E45" s="49"/>
      <c r="F45" s="50"/>
      <c r="G45" s="50"/>
      <c r="H45" s="50"/>
      <c r="I45" s="50"/>
      <c r="J45" s="50"/>
      <c r="K45" s="50"/>
      <c r="L45" s="50"/>
      <c r="M45" s="50"/>
      <c r="N45" s="50"/>
      <c r="O45" s="50"/>
      <c r="P45" s="50"/>
      <c r="Q45" s="50"/>
      <c r="R45" s="50"/>
      <c r="S45" s="50"/>
      <c r="T45" s="50"/>
      <c r="U45" s="50"/>
      <c r="V45" s="50"/>
      <c r="W45" s="50"/>
      <c r="X45" s="50"/>
      <c r="Y45" s="50"/>
      <c r="Z45" s="43" t="str">
        <f t="shared" si="0"/>
        <v>Очікую</v>
      </c>
      <c r="AA45" s="22"/>
      <c r="AB45" s="40"/>
    </row>
    <row r="46" spans="1:28" s="11" customFormat="1" ht="15" customHeight="1" x14ac:dyDescent="0.25">
      <c r="A46" s="41"/>
      <c r="B46" s="12"/>
      <c r="C46" s="48"/>
      <c r="D46" s="48">
        <v>37</v>
      </c>
      <c r="E46" s="49"/>
      <c r="F46" s="50"/>
      <c r="G46" s="50"/>
      <c r="H46" s="50"/>
      <c r="I46" s="50"/>
      <c r="J46" s="50"/>
      <c r="K46" s="50"/>
      <c r="L46" s="50"/>
      <c r="M46" s="50"/>
      <c r="N46" s="50"/>
      <c r="O46" s="50"/>
      <c r="P46" s="50"/>
      <c r="Q46" s="50"/>
      <c r="R46" s="50"/>
      <c r="S46" s="50"/>
      <c r="T46" s="50"/>
      <c r="U46" s="50"/>
      <c r="V46" s="50"/>
      <c r="W46" s="50"/>
      <c r="X46" s="50"/>
      <c r="Y46" s="50"/>
      <c r="Z46" s="43" t="str">
        <f t="shared" si="0"/>
        <v>Очікую</v>
      </c>
      <c r="AA46" s="22"/>
      <c r="AB46" s="40"/>
    </row>
    <row r="47" spans="1:28" s="11" customFormat="1" ht="15" customHeight="1" x14ac:dyDescent="0.25">
      <c r="A47" s="41"/>
      <c r="B47" s="12"/>
      <c r="C47" s="48"/>
      <c r="D47" s="48">
        <v>38</v>
      </c>
      <c r="E47" s="49"/>
      <c r="F47" s="50"/>
      <c r="G47" s="50"/>
      <c r="H47" s="50"/>
      <c r="I47" s="50"/>
      <c r="J47" s="50"/>
      <c r="K47" s="50"/>
      <c r="L47" s="50"/>
      <c r="M47" s="50"/>
      <c r="N47" s="50"/>
      <c r="O47" s="50"/>
      <c r="P47" s="50"/>
      <c r="Q47" s="50"/>
      <c r="R47" s="50"/>
      <c r="S47" s="50"/>
      <c r="T47" s="50"/>
      <c r="U47" s="50"/>
      <c r="V47" s="50"/>
      <c r="W47" s="50"/>
      <c r="X47" s="50"/>
      <c r="Y47" s="50"/>
      <c r="Z47" s="43" t="str">
        <f t="shared" si="0"/>
        <v>Очікую</v>
      </c>
      <c r="AA47" s="22"/>
      <c r="AB47" s="40"/>
    </row>
    <row r="48" spans="1:28" s="11" customFormat="1" ht="15" customHeight="1" x14ac:dyDescent="0.25">
      <c r="A48" s="41"/>
      <c r="B48" s="12"/>
      <c r="C48" s="48"/>
      <c r="D48" s="48">
        <v>39</v>
      </c>
      <c r="E48" s="49"/>
      <c r="F48" s="50"/>
      <c r="G48" s="50"/>
      <c r="H48" s="50"/>
      <c r="I48" s="50"/>
      <c r="J48" s="50"/>
      <c r="K48" s="50"/>
      <c r="L48" s="50"/>
      <c r="M48" s="50"/>
      <c r="N48" s="50"/>
      <c r="O48" s="50"/>
      <c r="P48" s="50"/>
      <c r="Q48" s="50"/>
      <c r="R48" s="50"/>
      <c r="S48" s="50"/>
      <c r="T48" s="50"/>
      <c r="U48" s="50"/>
      <c r="V48" s="50"/>
      <c r="W48" s="50"/>
      <c r="X48" s="50"/>
      <c r="Y48" s="50"/>
      <c r="Z48" s="43" t="str">
        <f t="shared" si="0"/>
        <v>Очікую</v>
      </c>
      <c r="AA48" s="22"/>
      <c r="AB48" s="40"/>
    </row>
    <row r="49" spans="1:28" s="11" customFormat="1" ht="15" customHeight="1" x14ac:dyDescent="0.25">
      <c r="A49" s="41"/>
      <c r="B49" s="12"/>
      <c r="C49" s="48"/>
      <c r="D49" s="48">
        <v>40</v>
      </c>
      <c r="E49" s="49"/>
      <c r="F49" s="50"/>
      <c r="G49" s="50"/>
      <c r="H49" s="50"/>
      <c r="I49" s="50"/>
      <c r="J49" s="50"/>
      <c r="K49" s="50"/>
      <c r="L49" s="50"/>
      <c r="M49" s="50"/>
      <c r="N49" s="50"/>
      <c r="O49" s="50"/>
      <c r="P49" s="50"/>
      <c r="Q49" s="50"/>
      <c r="R49" s="50"/>
      <c r="S49" s="50"/>
      <c r="T49" s="50"/>
      <c r="U49" s="50"/>
      <c r="V49" s="50"/>
      <c r="W49" s="50"/>
      <c r="X49" s="50"/>
      <c r="Y49" s="50"/>
      <c r="Z49" s="43" t="str">
        <f t="shared" si="0"/>
        <v>Очікую</v>
      </c>
      <c r="AA49" s="22"/>
      <c r="AB49" s="40"/>
    </row>
    <row r="50" spans="1:28" s="11" customFormat="1" ht="15" customHeight="1" x14ac:dyDescent="0.25">
      <c r="A50" s="41"/>
      <c r="B50" s="12"/>
      <c r="C50" s="48"/>
      <c r="D50" s="48">
        <v>41</v>
      </c>
      <c r="E50" s="49"/>
      <c r="F50" s="50"/>
      <c r="G50" s="50"/>
      <c r="H50" s="50"/>
      <c r="I50" s="50"/>
      <c r="J50" s="50"/>
      <c r="K50" s="50"/>
      <c r="L50" s="50"/>
      <c r="M50" s="50"/>
      <c r="N50" s="50"/>
      <c r="O50" s="50"/>
      <c r="P50" s="50"/>
      <c r="Q50" s="50"/>
      <c r="R50" s="50"/>
      <c r="S50" s="50"/>
      <c r="T50" s="50"/>
      <c r="U50" s="50"/>
      <c r="V50" s="50"/>
      <c r="W50" s="50"/>
      <c r="X50" s="50"/>
      <c r="Y50" s="50"/>
      <c r="Z50" s="43" t="str">
        <f t="shared" si="0"/>
        <v>Очікую</v>
      </c>
      <c r="AA50" s="22"/>
      <c r="AB50" s="40"/>
    </row>
    <row r="51" spans="1:28" s="11" customFormat="1" ht="15" customHeight="1" x14ac:dyDescent="0.25">
      <c r="A51" s="41"/>
      <c r="B51" s="12"/>
      <c r="C51" s="48"/>
      <c r="D51" s="48">
        <v>42</v>
      </c>
      <c r="E51" s="49"/>
      <c r="F51" s="50"/>
      <c r="G51" s="50"/>
      <c r="H51" s="50"/>
      <c r="I51" s="50"/>
      <c r="J51" s="50"/>
      <c r="K51" s="50"/>
      <c r="L51" s="50"/>
      <c r="M51" s="50"/>
      <c r="N51" s="50"/>
      <c r="O51" s="50"/>
      <c r="P51" s="50"/>
      <c r="Q51" s="50"/>
      <c r="R51" s="50"/>
      <c r="S51" s="50"/>
      <c r="T51" s="50"/>
      <c r="U51" s="50"/>
      <c r="V51" s="50"/>
      <c r="W51" s="50"/>
      <c r="X51" s="50"/>
      <c r="Y51" s="50"/>
      <c r="Z51" s="43" t="str">
        <f t="shared" si="0"/>
        <v>Очікую</v>
      </c>
      <c r="AA51" s="22"/>
      <c r="AB51" s="40"/>
    </row>
    <row r="52" spans="1:28" s="11" customFormat="1" ht="15" customHeight="1" x14ac:dyDescent="0.25">
      <c r="A52" s="41"/>
      <c r="B52" s="12"/>
      <c r="C52" s="48"/>
      <c r="D52" s="48">
        <v>43</v>
      </c>
      <c r="E52" s="49"/>
      <c r="F52" s="50"/>
      <c r="G52" s="50"/>
      <c r="H52" s="50"/>
      <c r="I52" s="50"/>
      <c r="J52" s="50"/>
      <c r="K52" s="50"/>
      <c r="L52" s="50"/>
      <c r="M52" s="50"/>
      <c r="N52" s="50"/>
      <c r="O52" s="50"/>
      <c r="P52" s="50"/>
      <c r="Q52" s="50"/>
      <c r="R52" s="50"/>
      <c r="S52" s="50"/>
      <c r="T52" s="50"/>
      <c r="U52" s="50"/>
      <c r="V52" s="50"/>
      <c r="W52" s="50"/>
      <c r="X52" s="50"/>
      <c r="Y52" s="50"/>
      <c r="Z52" s="43" t="str">
        <f t="shared" si="0"/>
        <v>Очікую</v>
      </c>
      <c r="AA52" s="22"/>
      <c r="AB52" s="40"/>
    </row>
    <row r="53" spans="1:28" s="11" customFormat="1" ht="15" customHeight="1" x14ac:dyDescent="0.25">
      <c r="A53" s="41"/>
      <c r="B53" s="12"/>
      <c r="C53" s="48"/>
      <c r="D53" s="48">
        <v>44</v>
      </c>
      <c r="E53" s="49"/>
      <c r="F53" s="50"/>
      <c r="G53" s="50"/>
      <c r="H53" s="50"/>
      <c r="I53" s="50"/>
      <c r="J53" s="50"/>
      <c r="K53" s="50"/>
      <c r="L53" s="50"/>
      <c r="M53" s="50"/>
      <c r="N53" s="50"/>
      <c r="O53" s="50"/>
      <c r="P53" s="50"/>
      <c r="Q53" s="50"/>
      <c r="R53" s="50"/>
      <c r="S53" s="50"/>
      <c r="T53" s="50"/>
      <c r="U53" s="50"/>
      <c r="V53" s="50"/>
      <c r="W53" s="50"/>
      <c r="X53" s="50"/>
      <c r="Y53" s="50"/>
      <c r="Z53" s="43" t="str">
        <f t="shared" si="0"/>
        <v>Очікую</v>
      </c>
      <c r="AA53" s="22"/>
      <c r="AB53" s="40"/>
    </row>
    <row r="54" spans="1:28" s="11" customFormat="1" ht="15" customHeight="1" x14ac:dyDescent="0.25">
      <c r="A54" s="41"/>
      <c r="B54" s="12"/>
      <c r="C54" s="48"/>
      <c r="D54" s="48">
        <v>45</v>
      </c>
      <c r="E54" s="49"/>
      <c r="F54" s="50"/>
      <c r="G54" s="50"/>
      <c r="H54" s="50"/>
      <c r="I54" s="50"/>
      <c r="J54" s="50"/>
      <c r="K54" s="50"/>
      <c r="L54" s="50"/>
      <c r="M54" s="50"/>
      <c r="N54" s="50"/>
      <c r="O54" s="50"/>
      <c r="P54" s="50"/>
      <c r="Q54" s="50"/>
      <c r="R54" s="50"/>
      <c r="S54" s="50"/>
      <c r="T54" s="50"/>
      <c r="U54" s="50"/>
      <c r="V54" s="50"/>
      <c r="W54" s="50"/>
      <c r="X54" s="50"/>
      <c r="Y54" s="50"/>
      <c r="Z54" s="43" t="str">
        <f t="shared" si="0"/>
        <v>Очікую</v>
      </c>
      <c r="AA54" s="22"/>
      <c r="AB54" s="40"/>
    </row>
    <row r="55" spans="1:28" s="11" customFormat="1" ht="15" customHeight="1" x14ac:dyDescent="0.25">
      <c r="A55" s="41"/>
      <c r="B55" s="12"/>
      <c r="C55" s="48"/>
      <c r="D55" s="48">
        <v>46</v>
      </c>
      <c r="E55" s="49"/>
      <c r="F55" s="50"/>
      <c r="G55" s="50"/>
      <c r="H55" s="50"/>
      <c r="I55" s="50"/>
      <c r="J55" s="50"/>
      <c r="K55" s="50"/>
      <c r="L55" s="50"/>
      <c r="M55" s="50"/>
      <c r="N55" s="50"/>
      <c r="O55" s="50"/>
      <c r="P55" s="50"/>
      <c r="Q55" s="50"/>
      <c r="R55" s="50"/>
      <c r="S55" s="50"/>
      <c r="T55" s="50"/>
      <c r="U55" s="50"/>
      <c r="V55" s="50"/>
      <c r="W55" s="50"/>
      <c r="X55" s="50"/>
      <c r="Y55" s="50"/>
      <c r="Z55" s="43" t="str">
        <f t="shared" si="0"/>
        <v>Очікую</v>
      </c>
      <c r="AA55" s="22"/>
      <c r="AB55" s="40"/>
    </row>
    <row r="56" spans="1:28" s="11" customFormat="1" ht="15" customHeight="1" x14ac:dyDescent="0.25">
      <c r="A56" s="41"/>
      <c r="B56" s="12"/>
      <c r="C56" s="48"/>
      <c r="D56" s="48">
        <v>47</v>
      </c>
      <c r="E56" s="49"/>
      <c r="F56" s="50"/>
      <c r="G56" s="50"/>
      <c r="H56" s="50"/>
      <c r="I56" s="50"/>
      <c r="J56" s="50"/>
      <c r="K56" s="50"/>
      <c r="L56" s="50"/>
      <c r="M56" s="50"/>
      <c r="N56" s="50"/>
      <c r="O56" s="50"/>
      <c r="P56" s="50"/>
      <c r="Q56" s="50"/>
      <c r="R56" s="50"/>
      <c r="S56" s="50"/>
      <c r="T56" s="50"/>
      <c r="U56" s="50"/>
      <c r="V56" s="50"/>
      <c r="W56" s="50"/>
      <c r="X56" s="50"/>
      <c r="Y56" s="50"/>
      <c r="Z56" s="43" t="str">
        <f t="shared" si="0"/>
        <v>Очікую</v>
      </c>
      <c r="AA56" s="22"/>
      <c r="AB56" s="40"/>
    </row>
    <row r="57" spans="1:28" s="11" customFormat="1" ht="15" customHeight="1" x14ac:dyDescent="0.25">
      <c r="A57" s="41"/>
      <c r="B57" s="12"/>
      <c r="C57" s="48"/>
      <c r="D57" s="48">
        <v>48</v>
      </c>
      <c r="E57" s="49"/>
      <c r="F57" s="50"/>
      <c r="G57" s="50"/>
      <c r="H57" s="50"/>
      <c r="I57" s="50"/>
      <c r="J57" s="50"/>
      <c r="K57" s="50"/>
      <c r="L57" s="50"/>
      <c r="M57" s="50"/>
      <c r="N57" s="50"/>
      <c r="O57" s="50"/>
      <c r="P57" s="50"/>
      <c r="Q57" s="50"/>
      <c r="R57" s="50"/>
      <c r="S57" s="50"/>
      <c r="T57" s="50"/>
      <c r="U57" s="50"/>
      <c r="V57" s="50"/>
      <c r="W57" s="50"/>
      <c r="X57" s="50"/>
      <c r="Y57" s="50"/>
      <c r="Z57" s="43" t="str">
        <f t="shared" si="0"/>
        <v>Очікую</v>
      </c>
      <c r="AA57" s="22"/>
      <c r="AB57" s="40"/>
    </row>
    <row r="58" spans="1:28" s="11" customFormat="1" ht="15" customHeight="1" x14ac:dyDescent="0.25">
      <c r="A58" s="41"/>
      <c r="B58" s="12"/>
      <c r="C58" s="48"/>
      <c r="D58" s="48">
        <v>49</v>
      </c>
      <c r="E58" s="49"/>
      <c r="F58" s="50"/>
      <c r="G58" s="50"/>
      <c r="H58" s="50"/>
      <c r="I58" s="50"/>
      <c r="J58" s="50"/>
      <c r="K58" s="50"/>
      <c r="L58" s="50"/>
      <c r="M58" s="50"/>
      <c r="N58" s="50"/>
      <c r="O58" s="50"/>
      <c r="P58" s="50"/>
      <c r="Q58" s="50"/>
      <c r="R58" s="50"/>
      <c r="S58" s="50"/>
      <c r="T58" s="50"/>
      <c r="U58" s="50"/>
      <c r="V58" s="50"/>
      <c r="W58" s="50"/>
      <c r="X58" s="50"/>
      <c r="Y58" s="50"/>
      <c r="Z58" s="43" t="str">
        <f t="shared" si="0"/>
        <v>Очікую</v>
      </c>
      <c r="AA58" s="22"/>
      <c r="AB58" s="40"/>
    </row>
    <row r="59" spans="1:28" s="11" customFormat="1" ht="15" customHeight="1" x14ac:dyDescent="0.25">
      <c r="A59" s="41"/>
      <c r="B59" s="12"/>
      <c r="C59" s="48"/>
      <c r="D59" s="48">
        <v>50</v>
      </c>
      <c r="E59" s="49"/>
      <c r="F59" s="50"/>
      <c r="G59" s="50"/>
      <c r="H59" s="50"/>
      <c r="I59" s="50"/>
      <c r="J59" s="50"/>
      <c r="K59" s="50"/>
      <c r="L59" s="50"/>
      <c r="M59" s="50"/>
      <c r="N59" s="50"/>
      <c r="O59" s="50"/>
      <c r="P59" s="50"/>
      <c r="Q59" s="50"/>
      <c r="R59" s="50"/>
      <c r="S59" s="50"/>
      <c r="T59" s="50"/>
      <c r="U59" s="50"/>
      <c r="V59" s="50"/>
      <c r="W59" s="50"/>
      <c r="X59" s="50"/>
      <c r="Y59" s="50"/>
      <c r="Z59" s="43" t="str">
        <f t="shared" si="0"/>
        <v>Очікую</v>
      </c>
      <c r="AA59" s="22"/>
      <c r="AB59" s="40"/>
    </row>
    <row r="60" spans="1:28" s="11" customFormat="1" ht="15" customHeight="1" x14ac:dyDescent="0.25">
      <c r="A60" s="41"/>
      <c r="B60" s="12"/>
      <c r="C60" s="48"/>
      <c r="D60" s="48">
        <v>51</v>
      </c>
      <c r="E60" s="49"/>
      <c r="F60" s="50"/>
      <c r="G60" s="50"/>
      <c r="H60" s="50"/>
      <c r="I60" s="50"/>
      <c r="J60" s="50"/>
      <c r="K60" s="50"/>
      <c r="L60" s="50"/>
      <c r="M60" s="50"/>
      <c r="N60" s="50"/>
      <c r="O60" s="50"/>
      <c r="P60" s="50"/>
      <c r="Q60" s="50"/>
      <c r="R60" s="50"/>
      <c r="S60" s="50"/>
      <c r="T60" s="50"/>
      <c r="U60" s="50"/>
      <c r="V60" s="50"/>
      <c r="W60" s="50"/>
      <c r="X60" s="50"/>
      <c r="Y60" s="50"/>
      <c r="Z60" s="43" t="str">
        <f t="shared" si="0"/>
        <v>Очікую</v>
      </c>
      <c r="AA60" s="22"/>
      <c r="AB60" s="40"/>
    </row>
    <row r="61" spans="1:28" s="11" customFormat="1" ht="15" customHeight="1" x14ac:dyDescent="0.25">
      <c r="A61" s="41"/>
      <c r="B61" s="12"/>
      <c r="C61" s="48"/>
      <c r="D61" s="48">
        <v>52</v>
      </c>
      <c r="E61" s="49"/>
      <c r="F61" s="50"/>
      <c r="G61" s="50"/>
      <c r="H61" s="50"/>
      <c r="I61" s="50"/>
      <c r="J61" s="50"/>
      <c r="K61" s="50"/>
      <c r="L61" s="50"/>
      <c r="M61" s="50"/>
      <c r="N61" s="50"/>
      <c r="O61" s="50"/>
      <c r="P61" s="50"/>
      <c r="Q61" s="50"/>
      <c r="R61" s="50"/>
      <c r="S61" s="50"/>
      <c r="T61" s="50"/>
      <c r="U61" s="50"/>
      <c r="V61" s="50"/>
      <c r="W61" s="50"/>
      <c r="X61" s="50"/>
      <c r="Y61" s="50"/>
      <c r="Z61" s="43" t="str">
        <f t="shared" si="0"/>
        <v>Очікую</v>
      </c>
      <c r="AA61" s="22"/>
      <c r="AB61" s="40"/>
    </row>
    <row r="62" spans="1:28" s="11" customFormat="1" ht="15" customHeight="1" x14ac:dyDescent="0.25">
      <c r="A62" s="41"/>
      <c r="B62" s="12"/>
      <c r="C62" s="48"/>
      <c r="D62" s="48">
        <v>53</v>
      </c>
      <c r="E62" s="49"/>
      <c r="F62" s="50"/>
      <c r="G62" s="50"/>
      <c r="H62" s="50"/>
      <c r="I62" s="50"/>
      <c r="J62" s="50"/>
      <c r="K62" s="50"/>
      <c r="L62" s="50"/>
      <c r="M62" s="50"/>
      <c r="N62" s="50"/>
      <c r="O62" s="50"/>
      <c r="P62" s="50"/>
      <c r="Q62" s="50"/>
      <c r="R62" s="50"/>
      <c r="S62" s="50"/>
      <c r="T62" s="50"/>
      <c r="U62" s="50"/>
      <c r="V62" s="50"/>
      <c r="W62" s="50"/>
      <c r="X62" s="50"/>
      <c r="Y62" s="50"/>
      <c r="Z62" s="43" t="str">
        <f t="shared" si="0"/>
        <v>Очікую</v>
      </c>
      <c r="AA62" s="22"/>
      <c r="AB62" s="40"/>
    </row>
    <row r="63" spans="1:28" s="11" customFormat="1" ht="15" customHeight="1" x14ac:dyDescent="0.25">
      <c r="A63" s="41"/>
      <c r="B63" s="12"/>
      <c r="C63" s="48"/>
      <c r="D63" s="48">
        <v>54</v>
      </c>
      <c r="E63" s="49"/>
      <c r="F63" s="50"/>
      <c r="G63" s="50"/>
      <c r="H63" s="50"/>
      <c r="I63" s="50"/>
      <c r="J63" s="50"/>
      <c r="K63" s="50"/>
      <c r="L63" s="50"/>
      <c r="M63" s="50"/>
      <c r="N63" s="50"/>
      <c r="O63" s="50"/>
      <c r="P63" s="50"/>
      <c r="Q63" s="50"/>
      <c r="R63" s="50"/>
      <c r="S63" s="50"/>
      <c r="T63" s="50"/>
      <c r="U63" s="50"/>
      <c r="V63" s="50"/>
      <c r="W63" s="50"/>
      <c r="X63" s="50"/>
      <c r="Y63" s="50"/>
      <c r="Z63" s="43" t="str">
        <f t="shared" si="0"/>
        <v>Очікую</v>
      </c>
      <c r="AA63" s="22"/>
      <c r="AB63" s="40"/>
    </row>
    <row r="64" spans="1:28" s="11" customFormat="1" ht="15" customHeight="1" x14ac:dyDescent="0.25">
      <c r="A64" s="41"/>
      <c r="B64" s="12"/>
      <c r="C64" s="48"/>
      <c r="D64" s="48">
        <v>55</v>
      </c>
      <c r="E64" s="49"/>
      <c r="F64" s="50"/>
      <c r="G64" s="50"/>
      <c r="H64" s="50"/>
      <c r="I64" s="50"/>
      <c r="J64" s="50"/>
      <c r="K64" s="50"/>
      <c r="L64" s="50"/>
      <c r="M64" s="50"/>
      <c r="N64" s="50"/>
      <c r="O64" s="50"/>
      <c r="P64" s="50"/>
      <c r="Q64" s="50"/>
      <c r="R64" s="50"/>
      <c r="S64" s="50"/>
      <c r="T64" s="50"/>
      <c r="U64" s="50"/>
      <c r="V64" s="50"/>
      <c r="W64" s="50"/>
      <c r="X64" s="50"/>
      <c r="Y64" s="50"/>
      <c r="Z64" s="43" t="str">
        <f t="shared" si="0"/>
        <v>Очікую</v>
      </c>
      <c r="AA64" s="22"/>
      <c r="AB64" s="40"/>
    </row>
    <row r="65" spans="1:28" s="11" customFormat="1" ht="15" customHeight="1" x14ac:dyDescent="0.25">
      <c r="A65" s="41"/>
      <c r="B65" s="12"/>
      <c r="C65" s="48"/>
      <c r="D65" s="48">
        <v>56</v>
      </c>
      <c r="E65" s="49"/>
      <c r="F65" s="50"/>
      <c r="G65" s="50"/>
      <c r="H65" s="50"/>
      <c r="I65" s="50"/>
      <c r="J65" s="50"/>
      <c r="K65" s="50"/>
      <c r="L65" s="50"/>
      <c r="M65" s="50"/>
      <c r="N65" s="50"/>
      <c r="O65" s="50"/>
      <c r="P65" s="50"/>
      <c r="Q65" s="50"/>
      <c r="R65" s="50"/>
      <c r="S65" s="50"/>
      <c r="T65" s="50"/>
      <c r="U65" s="50"/>
      <c r="V65" s="50"/>
      <c r="W65" s="50"/>
      <c r="X65" s="50"/>
      <c r="Y65" s="50"/>
      <c r="Z65" s="43" t="str">
        <f t="shared" si="0"/>
        <v>Очікую</v>
      </c>
      <c r="AA65" s="22"/>
      <c r="AB65" s="40"/>
    </row>
    <row r="66" spans="1:28" s="11" customFormat="1" ht="15" customHeight="1" x14ac:dyDescent="0.25">
      <c r="A66" s="41"/>
      <c r="B66" s="12"/>
      <c r="C66" s="48"/>
      <c r="D66" s="48">
        <v>57</v>
      </c>
      <c r="E66" s="49"/>
      <c r="F66" s="50"/>
      <c r="G66" s="50"/>
      <c r="H66" s="50"/>
      <c r="I66" s="50"/>
      <c r="J66" s="50"/>
      <c r="K66" s="50"/>
      <c r="L66" s="50"/>
      <c r="M66" s="50"/>
      <c r="N66" s="50"/>
      <c r="O66" s="50"/>
      <c r="P66" s="50"/>
      <c r="Q66" s="50"/>
      <c r="R66" s="50"/>
      <c r="S66" s="50"/>
      <c r="T66" s="50"/>
      <c r="U66" s="50"/>
      <c r="V66" s="50"/>
      <c r="W66" s="50"/>
      <c r="X66" s="50"/>
      <c r="Y66" s="50"/>
      <c r="Z66" s="43" t="str">
        <f t="shared" si="0"/>
        <v>Очікую</v>
      </c>
      <c r="AA66" s="22"/>
      <c r="AB66" s="40"/>
    </row>
    <row r="67" spans="1:28" s="11" customFormat="1" ht="15" customHeight="1" x14ac:dyDescent="0.25">
      <c r="A67" s="41"/>
      <c r="B67" s="12"/>
      <c r="C67" s="48"/>
      <c r="D67" s="48">
        <v>58</v>
      </c>
      <c r="E67" s="49"/>
      <c r="F67" s="50"/>
      <c r="G67" s="50"/>
      <c r="H67" s="50"/>
      <c r="I67" s="50"/>
      <c r="J67" s="50"/>
      <c r="K67" s="50"/>
      <c r="L67" s="50"/>
      <c r="M67" s="50"/>
      <c r="N67" s="50"/>
      <c r="O67" s="50"/>
      <c r="P67" s="50"/>
      <c r="Q67" s="50"/>
      <c r="R67" s="50"/>
      <c r="S67" s="50"/>
      <c r="T67" s="50"/>
      <c r="U67" s="50"/>
      <c r="V67" s="50"/>
      <c r="W67" s="50"/>
      <c r="X67" s="50"/>
      <c r="Y67" s="50"/>
      <c r="Z67" s="43" t="str">
        <f t="shared" si="0"/>
        <v>Очікую</v>
      </c>
      <c r="AA67" s="22"/>
      <c r="AB67" s="40"/>
    </row>
    <row r="68" spans="1:28" s="11" customFormat="1" ht="15" customHeight="1" x14ac:dyDescent="0.25">
      <c r="A68" s="41"/>
      <c r="B68" s="12"/>
      <c r="C68" s="48"/>
      <c r="D68" s="48">
        <v>59</v>
      </c>
      <c r="E68" s="49"/>
      <c r="F68" s="50"/>
      <c r="G68" s="50"/>
      <c r="H68" s="50"/>
      <c r="I68" s="50"/>
      <c r="J68" s="50"/>
      <c r="K68" s="50"/>
      <c r="L68" s="50"/>
      <c r="M68" s="50"/>
      <c r="N68" s="50"/>
      <c r="O68" s="50"/>
      <c r="P68" s="50"/>
      <c r="Q68" s="50"/>
      <c r="R68" s="50"/>
      <c r="S68" s="50"/>
      <c r="T68" s="50"/>
      <c r="U68" s="50"/>
      <c r="V68" s="50"/>
      <c r="W68" s="50"/>
      <c r="X68" s="50"/>
      <c r="Y68" s="50"/>
      <c r="Z68" s="43" t="str">
        <f t="shared" si="0"/>
        <v>Очікую</v>
      </c>
      <c r="AA68" s="22"/>
      <c r="AB68" s="40"/>
    </row>
    <row r="69" spans="1:28" s="11" customFormat="1" ht="15" customHeight="1" x14ac:dyDescent="0.25">
      <c r="A69" s="41"/>
      <c r="B69" s="12"/>
      <c r="C69" s="48"/>
      <c r="D69" s="48">
        <v>60</v>
      </c>
      <c r="E69" s="49"/>
      <c r="F69" s="50"/>
      <c r="G69" s="50"/>
      <c r="H69" s="50"/>
      <c r="I69" s="50"/>
      <c r="J69" s="50"/>
      <c r="K69" s="50"/>
      <c r="L69" s="50"/>
      <c r="M69" s="50"/>
      <c r="N69" s="50"/>
      <c r="O69" s="50"/>
      <c r="P69" s="50"/>
      <c r="Q69" s="50"/>
      <c r="R69" s="50"/>
      <c r="S69" s="50"/>
      <c r="T69" s="50"/>
      <c r="U69" s="50"/>
      <c r="V69" s="50"/>
      <c r="W69" s="50"/>
      <c r="X69" s="50"/>
      <c r="Y69" s="50"/>
      <c r="Z69" s="43" t="str">
        <f t="shared" si="0"/>
        <v>Очікую</v>
      </c>
      <c r="AA69" s="22"/>
      <c r="AB69" s="40"/>
    </row>
    <row r="70" spans="1:28" s="11" customFormat="1" ht="15" customHeight="1" x14ac:dyDescent="0.25">
      <c r="A70" s="41"/>
      <c r="B70" s="12"/>
      <c r="C70" s="48"/>
      <c r="D70" s="48">
        <v>61</v>
      </c>
      <c r="E70" s="49"/>
      <c r="F70" s="50"/>
      <c r="G70" s="50"/>
      <c r="H70" s="50"/>
      <c r="I70" s="50"/>
      <c r="J70" s="50"/>
      <c r="K70" s="50"/>
      <c r="L70" s="50"/>
      <c r="M70" s="50"/>
      <c r="N70" s="50"/>
      <c r="O70" s="50"/>
      <c r="P70" s="50"/>
      <c r="Q70" s="50"/>
      <c r="R70" s="50"/>
      <c r="S70" s="50"/>
      <c r="T70" s="50"/>
      <c r="U70" s="50"/>
      <c r="V70" s="50"/>
      <c r="W70" s="50"/>
      <c r="X70" s="50"/>
      <c r="Y70" s="50"/>
      <c r="Z70" s="43" t="str">
        <f t="shared" si="0"/>
        <v>Очікую</v>
      </c>
      <c r="AA70" s="22"/>
      <c r="AB70" s="40"/>
    </row>
    <row r="71" spans="1:28" s="11" customFormat="1" ht="15" customHeight="1" x14ac:dyDescent="0.25">
      <c r="A71" s="41"/>
      <c r="B71" s="12"/>
      <c r="C71" s="48"/>
      <c r="D71" s="48">
        <v>62</v>
      </c>
      <c r="E71" s="49"/>
      <c r="F71" s="50"/>
      <c r="G71" s="50"/>
      <c r="H71" s="50"/>
      <c r="I71" s="50"/>
      <c r="J71" s="50"/>
      <c r="K71" s="50"/>
      <c r="L71" s="50"/>
      <c r="M71" s="50"/>
      <c r="N71" s="50"/>
      <c r="O71" s="50"/>
      <c r="P71" s="50"/>
      <c r="Q71" s="50"/>
      <c r="R71" s="50"/>
      <c r="S71" s="50"/>
      <c r="T71" s="50"/>
      <c r="U71" s="50"/>
      <c r="V71" s="50"/>
      <c r="W71" s="50"/>
      <c r="X71" s="50"/>
      <c r="Y71" s="50"/>
      <c r="Z71" s="43" t="str">
        <f t="shared" si="0"/>
        <v>Очікую</v>
      </c>
      <c r="AA71" s="22"/>
      <c r="AB71" s="40"/>
    </row>
    <row r="72" spans="1:28" s="11" customFormat="1" ht="15" customHeight="1" x14ac:dyDescent="0.25">
      <c r="A72" s="41"/>
      <c r="B72" s="12"/>
      <c r="C72" s="48"/>
      <c r="D72" s="48">
        <v>63</v>
      </c>
      <c r="E72" s="49"/>
      <c r="F72" s="50"/>
      <c r="G72" s="50"/>
      <c r="H72" s="50"/>
      <c r="I72" s="50"/>
      <c r="J72" s="50"/>
      <c r="K72" s="50"/>
      <c r="L72" s="50"/>
      <c r="M72" s="50"/>
      <c r="N72" s="50"/>
      <c r="O72" s="50"/>
      <c r="P72" s="50"/>
      <c r="Q72" s="50"/>
      <c r="R72" s="50"/>
      <c r="S72" s="50"/>
      <c r="T72" s="50"/>
      <c r="U72" s="50"/>
      <c r="V72" s="50"/>
      <c r="W72" s="50"/>
      <c r="X72" s="50"/>
      <c r="Y72" s="50"/>
      <c r="Z72" s="43" t="str">
        <f t="shared" si="0"/>
        <v>Очікую</v>
      </c>
      <c r="AA72" s="22"/>
      <c r="AB72" s="40"/>
    </row>
    <row r="73" spans="1:28" s="11" customFormat="1" ht="15" customHeight="1" x14ac:dyDescent="0.25">
      <c r="A73" s="41"/>
      <c r="B73" s="12"/>
      <c r="C73" s="48"/>
      <c r="D73" s="48">
        <v>64</v>
      </c>
      <c r="E73" s="49"/>
      <c r="F73" s="50"/>
      <c r="G73" s="50"/>
      <c r="H73" s="50"/>
      <c r="I73" s="50"/>
      <c r="J73" s="50"/>
      <c r="K73" s="50"/>
      <c r="L73" s="50"/>
      <c r="M73" s="50"/>
      <c r="N73" s="50"/>
      <c r="O73" s="50"/>
      <c r="P73" s="50"/>
      <c r="Q73" s="50"/>
      <c r="R73" s="50"/>
      <c r="S73" s="50"/>
      <c r="T73" s="50"/>
      <c r="U73" s="50"/>
      <c r="V73" s="50"/>
      <c r="W73" s="50"/>
      <c r="X73" s="50"/>
      <c r="Y73" s="50"/>
      <c r="Z73" s="43" t="str">
        <f t="shared" si="0"/>
        <v>Очікую</v>
      </c>
      <c r="AA73" s="22"/>
      <c r="AB73" s="40"/>
    </row>
    <row r="74" spans="1:28" s="11" customFormat="1" ht="15" customHeight="1" x14ac:dyDescent="0.25">
      <c r="A74" s="41"/>
      <c r="B74" s="12"/>
      <c r="C74" s="48"/>
      <c r="D74" s="48">
        <v>65</v>
      </c>
      <c r="E74" s="49"/>
      <c r="F74" s="50"/>
      <c r="G74" s="50"/>
      <c r="H74" s="50"/>
      <c r="I74" s="50"/>
      <c r="J74" s="50"/>
      <c r="K74" s="50"/>
      <c r="L74" s="50"/>
      <c r="M74" s="50"/>
      <c r="N74" s="50"/>
      <c r="O74" s="50"/>
      <c r="P74" s="50"/>
      <c r="Q74" s="50"/>
      <c r="R74" s="50"/>
      <c r="S74" s="50"/>
      <c r="T74" s="50"/>
      <c r="U74" s="50"/>
      <c r="V74" s="50"/>
      <c r="W74" s="50"/>
      <c r="X74" s="50"/>
      <c r="Y74" s="50"/>
      <c r="Z74" s="43" t="str">
        <f t="shared" si="0"/>
        <v>Очікую</v>
      </c>
      <c r="AA74" s="22"/>
      <c r="AB74" s="40"/>
    </row>
    <row r="75" spans="1:28" s="11" customFormat="1" ht="15" customHeight="1" x14ac:dyDescent="0.25">
      <c r="A75" s="41"/>
      <c r="B75" s="12"/>
      <c r="C75" s="48"/>
      <c r="D75" s="48">
        <v>66</v>
      </c>
      <c r="E75" s="49"/>
      <c r="F75" s="50"/>
      <c r="G75" s="50"/>
      <c r="H75" s="50"/>
      <c r="I75" s="50"/>
      <c r="J75" s="50"/>
      <c r="K75" s="50"/>
      <c r="L75" s="50"/>
      <c r="M75" s="50"/>
      <c r="N75" s="50"/>
      <c r="O75" s="50"/>
      <c r="P75" s="50"/>
      <c r="Q75" s="50"/>
      <c r="R75" s="50"/>
      <c r="S75" s="50"/>
      <c r="T75" s="50"/>
      <c r="U75" s="50"/>
      <c r="V75" s="50"/>
      <c r="W75" s="50"/>
      <c r="X75" s="50"/>
      <c r="Y75" s="50"/>
      <c r="Z75" s="43" t="str">
        <f t="shared" ref="Z75:Z109" si="1">IF(COUNTIF(F75:Y75,"=*")&gt;0,IF($C75="К","-"," - "),IF(COUNTIF(F75:Y75,"&lt;4")&gt;0,IF(C75="К","-"," - "),(IFERROR(AVERAGE(F75:Y75),"Очікую"))))</f>
        <v>Очікую</v>
      </c>
      <c r="AA75" s="22"/>
      <c r="AB75" s="40"/>
    </row>
    <row r="76" spans="1:28" s="11" customFormat="1" ht="15" customHeight="1" x14ac:dyDescent="0.25">
      <c r="A76" s="41"/>
      <c r="B76" s="12"/>
      <c r="C76" s="48"/>
      <c r="D76" s="48">
        <v>67</v>
      </c>
      <c r="E76" s="49"/>
      <c r="F76" s="50"/>
      <c r="G76" s="50"/>
      <c r="H76" s="50"/>
      <c r="I76" s="50"/>
      <c r="J76" s="50"/>
      <c r="K76" s="50"/>
      <c r="L76" s="50"/>
      <c r="M76" s="50"/>
      <c r="N76" s="50"/>
      <c r="O76" s="50"/>
      <c r="P76" s="50"/>
      <c r="Q76" s="50"/>
      <c r="R76" s="50"/>
      <c r="S76" s="50"/>
      <c r="T76" s="50"/>
      <c r="U76" s="50"/>
      <c r="V76" s="50"/>
      <c r="W76" s="50"/>
      <c r="X76" s="50"/>
      <c r="Y76" s="50"/>
      <c r="Z76" s="43" t="str">
        <f t="shared" si="1"/>
        <v>Очікую</v>
      </c>
      <c r="AA76" s="22"/>
      <c r="AB76" s="40"/>
    </row>
    <row r="77" spans="1:28" s="11" customFormat="1" ht="15" customHeight="1" x14ac:dyDescent="0.25">
      <c r="A77" s="41"/>
      <c r="B77" s="12"/>
      <c r="C77" s="48"/>
      <c r="D77" s="48">
        <v>68</v>
      </c>
      <c r="E77" s="49"/>
      <c r="F77" s="50"/>
      <c r="G77" s="50"/>
      <c r="H77" s="50"/>
      <c r="I77" s="50"/>
      <c r="J77" s="50"/>
      <c r="K77" s="50"/>
      <c r="L77" s="50"/>
      <c r="M77" s="50"/>
      <c r="N77" s="50"/>
      <c r="O77" s="50"/>
      <c r="P77" s="50"/>
      <c r="Q77" s="50"/>
      <c r="R77" s="50"/>
      <c r="S77" s="50"/>
      <c r="T77" s="50"/>
      <c r="U77" s="50"/>
      <c r="V77" s="50"/>
      <c r="W77" s="50"/>
      <c r="X77" s="50"/>
      <c r="Y77" s="50"/>
      <c r="Z77" s="43" t="str">
        <f t="shared" si="1"/>
        <v>Очікую</v>
      </c>
      <c r="AA77" s="22"/>
      <c r="AB77" s="40"/>
    </row>
    <row r="78" spans="1:28" s="11" customFormat="1" ht="15" customHeight="1" x14ac:dyDescent="0.25">
      <c r="A78" s="41"/>
      <c r="B78" s="12"/>
      <c r="C78" s="48"/>
      <c r="D78" s="48">
        <v>69</v>
      </c>
      <c r="E78" s="49"/>
      <c r="F78" s="50"/>
      <c r="G78" s="50"/>
      <c r="H78" s="50"/>
      <c r="I78" s="50"/>
      <c r="J78" s="50"/>
      <c r="K78" s="50"/>
      <c r="L78" s="50"/>
      <c r="M78" s="50"/>
      <c r="N78" s="50"/>
      <c r="O78" s="50"/>
      <c r="P78" s="50"/>
      <c r="Q78" s="50"/>
      <c r="R78" s="50"/>
      <c r="S78" s="50"/>
      <c r="T78" s="50"/>
      <c r="U78" s="50"/>
      <c r="V78" s="50"/>
      <c r="W78" s="50"/>
      <c r="X78" s="50"/>
      <c r="Y78" s="50"/>
      <c r="Z78" s="43" t="str">
        <f t="shared" si="1"/>
        <v>Очікую</v>
      </c>
      <c r="AA78" s="22"/>
      <c r="AB78" s="40"/>
    </row>
    <row r="79" spans="1:28" s="11" customFormat="1" ht="15" customHeight="1" x14ac:dyDescent="0.25">
      <c r="A79" s="41"/>
      <c r="B79" s="12"/>
      <c r="C79" s="48"/>
      <c r="D79" s="48">
        <v>70</v>
      </c>
      <c r="E79" s="49"/>
      <c r="F79" s="50"/>
      <c r="G79" s="50"/>
      <c r="H79" s="50"/>
      <c r="I79" s="50"/>
      <c r="J79" s="50"/>
      <c r="K79" s="50"/>
      <c r="L79" s="50"/>
      <c r="M79" s="50"/>
      <c r="N79" s="50"/>
      <c r="O79" s="50"/>
      <c r="P79" s="50"/>
      <c r="Q79" s="50"/>
      <c r="R79" s="50"/>
      <c r="S79" s="50"/>
      <c r="T79" s="50"/>
      <c r="U79" s="50"/>
      <c r="V79" s="50"/>
      <c r="W79" s="50"/>
      <c r="X79" s="50"/>
      <c r="Y79" s="50"/>
      <c r="Z79" s="43" t="str">
        <f t="shared" si="1"/>
        <v>Очікую</v>
      </c>
      <c r="AA79" s="22"/>
      <c r="AB79" s="40"/>
    </row>
    <row r="80" spans="1:28" s="11" customFormat="1" ht="15" customHeight="1" x14ac:dyDescent="0.25">
      <c r="A80" s="41"/>
      <c r="B80" s="12"/>
      <c r="C80" s="48"/>
      <c r="D80" s="48">
        <v>71</v>
      </c>
      <c r="E80" s="49"/>
      <c r="F80" s="50"/>
      <c r="G80" s="50"/>
      <c r="H80" s="50"/>
      <c r="I80" s="50"/>
      <c r="J80" s="50"/>
      <c r="K80" s="50"/>
      <c r="L80" s="50"/>
      <c r="M80" s="50"/>
      <c r="N80" s="50"/>
      <c r="O80" s="50"/>
      <c r="P80" s="50"/>
      <c r="Q80" s="50"/>
      <c r="R80" s="50"/>
      <c r="S80" s="50"/>
      <c r="T80" s="50"/>
      <c r="U80" s="50"/>
      <c r="V80" s="50"/>
      <c r="W80" s="50"/>
      <c r="X80" s="50"/>
      <c r="Y80" s="50"/>
      <c r="Z80" s="43" t="str">
        <f t="shared" si="1"/>
        <v>Очікую</v>
      </c>
      <c r="AA80" s="22"/>
      <c r="AB80" s="40"/>
    </row>
    <row r="81" spans="1:28" s="11" customFormat="1" ht="15" customHeight="1" x14ac:dyDescent="0.25">
      <c r="A81" s="41"/>
      <c r="B81" s="12"/>
      <c r="C81" s="48"/>
      <c r="D81" s="48">
        <v>72</v>
      </c>
      <c r="E81" s="49"/>
      <c r="F81" s="50"/>
      <c r="G81" s="50"/>
      <c r="H81" s="50"/>
      <c r="I81" s="50"/>
      <c r="J81" s="50"/>
      <c r="K81" s="50"/>
      <c r="L81" s="50"/>
      <c r="M81" s="50"/>
      <c r="N81" s="50"/>
      <c r="O81" s="50"/>
      <c r="P81" s="50"/>
      <c r="Q81" s="50"/>
      <c r="R81" s="50"/>
      <c r="S81" s="50"/>
      <c r="T81" s="50"/>
      <c r="U81" s="50"/>
      <c r="V81" s="50"/>
      <c r="W81" s="50"/>
      <c r="X81" s="50"/>
      <c r="Y81" s="50"/>
      <c r="Z81" s="43" t="str">
        <f t="shared" si="1"/>
        <v>Очікую</v>
      </c>
      <c r="AA81" s="22"/>
      <c r="AB81" s="40"/>
    </row>
    <row r="82" spans="1:28" s="11" customFormat="1" ht="15" customHeight="1" x14ac:dyDescent="0.25">
      <c r="A82" s="41"/>
      <c r="B82" s="12"/>
      <c r="C82" s="48"/>
      <c r="D82" s="48">
        <v>73</v>
      </c>
      <c r="E82" s="49"/>
      <c r="F82" s="50"/>
      <c r="G82" s="50"/>
      <c r="H82" s="50"/>
      <c r="I82" s="50"/>
      <c r="J82" s="50"/>
      <c r="K82" s="50"/>
      <c r="L82" s="50"/>
      <c r="M82" s="50"/>
      <c r="N82" s="50"/>
      <c r="O82" s="50"/>
      <c r="P82" s="50"/>
      <c r="Q82" s="50"/>
      <c r="R82" s="50"/>
      <c r="S82" s="50"/>
      <c r="T82" s="50"/>
      <c r="U82" s="50"/>
      <c r="V82" s="50"/>
      <c r="W82" s="50"/>
      <c r="X82" s="50"/>
      <c r="Y82" s="50"/>
      <c r="Z82" s="43" t="str">
        <f t="shared" si="1"/>
        <v>Очікую</v>
      </c>
      <c r="AA82" s="22"/>
      <c r="AB82" s="40"/>
    </row>
    <row r="83" spans="1:28" s="11" customFormat="1" ht="15" customHeight="1" x14ac:dyDescent="0.25">
      <c r="A83" s="41"/>
      <c r="B83" s="12"/>
      <c r="C83" s="48"/>
      <c r="D83" s="48">
        <v>74</v>
      </c>
      <c r="E83" s="49"/>
      <c r="F83" s="50"/>
      <c r="G83" s="50"/>
      <c r="H83" s="50"/>
      <c r="I83" s="50"/>
      <c r="J83" s="50"/>
      <c r="K83" s="50"/>
      <c r="L83" s="50"/>
      <c r="M83" s="50"/>
      <c r="N83" s="50"/>
      <c r="O83" s="50"/>
      <c r="P83" s="50"/>
      <c r="Q83" s="50"/>
      <c r="R83" s="50"/>
      <c r="S83" s="50"/>
      <c r="T83" s="50"/>
      <c r="U83" s="50"/>
      <c r="V83" s="50"/>
      <c r="W83" s="50"/>
      <c r="X83" s="50"/>
      <c r="Y83" s="50"/>
      <c r="Z83" s="43" t="str">
        <f t="shared" si="1"/>
        <v>Очікую</v>
      </c>
      <c r="AA83" s="22"/>
      <c r="AB83" s="40"/>
    </row>
    <row r="84" spans="1:28" s="11" customFormat="1" ht="15" customHeight="1" x14ac:dyDescent="0.25">
      <c r="A84" s="41"/>
      <c r="B84" s="12"/>
      <c r="C84" s="48"/>
      <c r="D84" s="48">
        <v>75</v>
      </c>
      <c r="E84" s="49"/>
      <c r="F84" s="50"/>
      <c r="G84" s="50"/>
      <c r="H84" s="50"/>
      <c r="I84" s="50"/>
      <c r="J84" s="50"/>
      <c r="K84" s="50"/>
      <c r="L84" s="50"/>
      <c r="M84" s="50"/>
      <c r="N84" s="50"/>
      <c r="O84" s="50"/>
      <c r="P84" s="50"/>
      <c r="Q84" s="50"/>
      <c r="R84" s="50"/>
      <c r="S84" s="50"/>
      <c r="T84" s="50"/>
      <c r="U84" s="50"/>
      <c r="V84" s="50"/>
      <c r="W84" s="50"/>
      <c r="X84" s="50"/>
      <c r="Y84" s="50"/>
      <c r="Z84" s="43" t="str">
        <f t="shared" si="1"/>
        <v>Очікую</v>
      </c>
      <c r="AA84" s="22"/>
      <c r="AB84" s="40"/>
    </row>
    <row r="85" spans="1:28" s="11" customFormat="1" ht="15" customHeight="1" x14ac:dyDescent="0.25">
      <c r="A85" s="41"/>
      <c r="B85" s="12"/>
      <c r="C85" s="48"/>
      <c r="D85" s="48">
        <v>76</v>
      </c>
      <c r="E85" s="49"/>
      <c r="F85" s="50"/>
      <c r="G85" s="50"/>
      <c r="H85" s="50"/>
      <c r="I85" s="50"/>
      <c r="J85" s="50"/>
      <c r="K85" s="50"/>
      <c r="L85" s="50"/>
      <c r="M85" s="50"/>
      <c r="N85" s="50"/>
      <c r="O85" s="50"/>
      <c r="P85" s="50"/>
      <c r="Q85" s="50"/>
      <c r="R85" s="50"/>
      <c r="S85" s="50"/>
      <c r="T85" s="50"/>
      <c r="U85" s="50"/>
      <c r="V85" s="50"/>
      <c r="W85" s="50"/>
      <c r="X85" s="50"/>
      <c r="Y85" s="50"/>
      <c r="Z85" s="43" t="str">
        <f t="shared" si="1"/>
        <v>Очікую</v>
      </c>
      <c r="AA85" s="22"/>
      <c r="AB85" s="40"/>
    </row>
    <row r="86" spans="1:28" s="11" customFormat="1" ht="15" customHeight="1" x14ac:dyDescent="0.25">
      <c r="A86" s="41"/>
      <c r="B86" s="12"/>
      <c r="C86" s="48"/>
      <c r="D86" s="48">
        <v>77</v>
      </c>
      <c r="E86" s="49"/>
      <c r="F86" s="50"/>
      <c r="G86" s="50"/>
      <c r="H86" s="50"/>
      <c r="I86" s="50"/>
      <c r="J86" s="50"/>
      <c r="K86" s="50"/>
      <c r="L86" s="50"/>
      <c r="M86" s="50"/>
      <c r="N86" s="50"/>
      <c r="O86" s="50"/>
      <c r="P86" s="50"/>
      <c r="Q86" s="50"/>
      <c r="R86" s="50"/>
      <c r="S86" s="50"/>
      <c r="T86" s="50"/>
      <c r="U86" s="50"/>
      <c r="V86" s="50"/>
      <c r="W86" s="50"/>
      <c r="X86" s="50"/>
      <c r="Y86" s="50"/>
      <c r="Z86" s="43" t="str">
        <f t="shared" si="1"/>
        <v>Очікую</v>
      </c>
      <c r="AA86" s="22"/>
      <c r="AB86" s="40"/>
    </row>
    <row r="87" spans="1:28" s="11" customFormat="1" ht="15" customHeight="1" x14ac:dyDescent="0.25">
      <c r="A87" s="41"/>
      <c r="B87" s="12"/>
      <c r="C87" s="48"/>
      <c r="D87" s="48">
        <v>78</v>
      </c>
      <c r="E87" s="49"/>
      <c r="F87" s="50"/>
      <c r="G87" s="50"/>
      <c r="H87" s="50"/>
      <c r="I87" s="50"/>
      <c r="J87" s="50"/>
      <c r="K87" s="50"/>
      <c r="L87" s="50"/>
      <c r="M87" s="50"/>
      <c r="N87" s="50"/>
      <c r="O87" s="50"/>
      <c r="P87" s="50"/>
      <c r="Q87" s="50"/>
      <c r="R87" s="50"/>
      <c r="S87" s="50"/>
      <c r="T87" s="50"/>
      <c r="U87" s="50"/>
      <c r="V87" s="50"/>
      <c r="W87" s="50"/>
      <c r="X87" s="50"/>
      <c r="Y87" s="50"/>
      <c r="Z87" s="43" t="str">
        <f t="shared" si="1"/>
        <v>Очікую</v>
      </c>
      <c r="AA87" s="22"/>
      <c r="AB87" s="40"/>
    </row>
    <row r="88" spans="1:28" s="11" customFormat="1" ht="15" customHeight="1" x14ac:dyDescent="0.25">
      <c r="A88" s="41"/>
      <c r="B88" s="12"/>
      <c r="C88" s="48"/>
      <c r="D88" s="48">
        <v>79</v>
      </c>
      <c r="E88" s="49"/>
      <c r="F88" s="50"/>
      <c r="G88" s="50"/>
      <c r="H88" s="50"/>
      <c r="I88" s="50"/>
      <c r="J88" s="50"/>
      <c r="K88" s="50"/>
      <c r="L88" s="50"/>
      <c r="M88" s="50"/>
      <c r="N88" s="50"/>
      <c r="O88" s="50"/>
      <c r="P88" s="50"/>
      <c r="Q88" s="50"/>
      <c r="R88" s="50"/>
      <c r="S88" s="50"/>
      <c r="T88" s="50"/>
      <c r="U88" s="50"/>
      <c r="V88" s="50"/>
      <c r="W88" s="50"/>
      <c r="X88" s="50"/>
      <c r="Y88" s="50"/>
      <c r="Z88" s="43" t="str">
        <f t="shared" si="1"/>
        <v>Очікую</v>
      </c>
      <c r="AA88" s="22"/>
      <c r="AB88" s="40"/>
    </row>
    <row r="89" spans="1:28" s="11" customFormat="1" ht="15" customHeight="1" x14ac:dyDescent="0.25">
      <c r="A89" s="41"/>
      <c r="B89" s="12"/>
      <c r="C89" s="48"/>
      <c r="D89" s="48">
        <v>80</v>
      </c>
      <c r="E89" s="49"/>
      <c r="F89" s="50"/>
      <c r="G89" s="50"/>
      <c r="H89" s="50"/>
      <c r="I89" s="50"/>
      <c r="J89" s="50"/>
      <c r="K89" s="50"/>
      <c r="L89" s="50"/>
      <c r="M89" s="50"/>
      <c r="N89" s="50"/>
      <c r="O89" s="50"/>
      <c r="P89" s="50"/>
      <c r="Q89" s="50"/>
      <c r="R89" s="50"/>
      <c r="S89" s="50"/>
      <c r="T89" s="50"/>
      <c r="U89" s="50"/>
      <c r="V89" s="50"/>
      <c r="W89" s="50"/>
      <c r="X89" s="50"/>
      <c r="Y89" s="50"/>
      <c r="Z89" s="43" t="str">
        <f t="shared" si="1"/>
        <v>Очікую</v>
      </c>
      <c r="AA89" s="22"/>
      <c r="AB89" s="40"/>
    </row>
    <row r="90" spans="1:28" s="11" customFormat="1" ht="15" customHeight="1" x14ac:dyDescent="0.25">
      <c r="A90" s="41"/>
      <c r="B90" s="12"/>
      <c r="C90" s="48"/>
      <c r="D90" s="48">
        <v>81</v>
      </c>
      <c r="E90" s="49"/>
      <c r="F90" s="50"/>
      <c r="G90" s="50"/>
      <c r="H90" s="50"/>
      <c r="I90" s="50"/>
      <c r="J90" s="50"/>
      <c r="K90" s="50"/>
      <c r="L90" s="50"/>
      <c r="M90" s="50"/>
      <c r="N90" s="50"/>
      <c r="O90" s="50"/>
      <c r="P90" s="50"/>
      <c r="Q90" s="50"/>
      <c r="R90" s="50"/>
      <c r="S90" s="50"/>
      <c r="T90" s="50"/>
      <c r="U90" s="50"/>
      <c r="V90" s="50"/>
      <c r="W90" s="50"/>
      <c r="X90" s="50"/>
      <c r="Y90" s="50"/>
      <c r="Z90" s="43" t="str">
        <f t="shared" si="1"/>
        <v>Очікую</v>
      </c>
      <c r="AA90" s="22"/>
      <c r="AB90" s="40"/>
    </row>
    <row r="91" spans="1:28" s="11" customFormat="1" ht="15" customHeight="1" x14ac:dyDescent="0.25">
      <c r="A91" s="41"/>
      <c r="B91" s="12"/>
      <c r="C91" s="48"/>
      <c r="D91" s="48">
        <v>82</v>
      </c>
      <c r="E91" s="49"/>
      <c r="F91" s="50"/>
      <c r="G91" s="50"/>
      <c r="H91" s="50"/>
      <c r="I91" s="50"/>
      <c r="J91" s="50"/>
      <c r="K91" s="50"/>
      <c r="L91" s="50"/>
      <c r="M91" s="50"/>
      <c r="N91" s="50"/>
      <c r="O91" s="50"/>
      <c r="P91" s="50"/>
      <c r="Q91" s="50"/>
      <c r="R91" s="50"/>
      <c r="S91" s="50"/>
      <c r="T91" s="50"/>
      <c r="U91" s="50"/>
      <c r="V91" s="50"/>
      <c r="W91" s="50"/>
      <c r="X91" s="50"/>
      <c r="Y91" s="50"/>
      <c r="Z91" s="43" t="str">
        <f t="shared" si="1"/>
        <v>Очікую</v>
      </c>
      <c r="AA91" s="22"/>
      <c r="AB91" s="40"/>
    </row>
    <row r="92" spans="1:28" s="11" customFormat="1" ht="15" customHeight="1" x14ac:dyDescent="0.25">
      <c r="A92" s="41"/>
      <c r="B92" s="12"/>
      <c r="C92" s="48"/>
      <c r="D92" s="48">
        <v>83</v>
      </c>
      <c r="E92" s="49"/>
      <c r="F92" s="50"/>
      <c r="G92" s="50"/>
      <c r="H92" s="50"/>
      <c r="I92" s="50"/>
      <c r="J92" s="50"/>
      <c r="K92" s="50"/>
      <c r="L92" s="50"/>
      <c r="M92" s="50"/>
      <c r="N92" s="50"/>
      <c r="O92" s="50"/>
      <c r="P92" s="50"/>
      <c r="Q92" s="50"/>
      <c r="R92" s="50"/>
      <c r="S92" s="50"/>
      <c r="T92" s="50"/>
      <c r="U92" s="50"/>
      <c r="V92" s="50"/>
      <c r="W92" s="50"/>
      <c r="X92" s="50"/>
      <c r="Y92" s="50"/>
      <c r="Z92" s="43" t="str">
        <f t="shared" si="1"/>
        <v>Очікую</v>
      </c>
      <c r="AA92" s="22"/>
      <c r="AB92" s="40"/>
    </row>
    <row r="93" spans="1:28" s="11" customFormat="1" ht="15" customHeight="1" x14ac:dyDescent="0.25">
      <c r="A93" s="41"/>
      <c r="B93" s="12"/>
      <c r="C93" s="48"/>
      <c r="D93" s="48">
        <v>84</v>
      </c>
      <c r="E93" s="49"/>
      <c r="F93" s="50"/>
      <c r="G93" s="50"/>
      <c r="H93" s="50"/>
      <c r="I93" s="50"/>
      <c r="J93" s="50"/>
      <c r="K93" s="50"/>
      <c r="L93" s="50"/>
      <c r="M93" s="50"/>
      <c r="N93" s="50"/>
      <c r="O93" s="50"/>
      <c r="P93" s="50"/>
      <c r="Q93" s="50"/>
      <c r="R93" s="50"/>
      <c r="S93" s="50"/>
      <c r="T93" s="50"/>
      <c r="U93" s="50"/>
      <c r="V93" s="50"/>
      <c r="W93" s="50"/>
      <c r="X93" s="50"/>
      <c r="Y93" s="50"/>
      <c r="Z93" s="43" t="str">
        <f t="shared" si="1"/>
        <v>Очікую</v>
      </c>
      <c r="AA93" s="22"/>
      <c r="AB93" s="40"/>
    </row>
    <row r="94" spans="1:28" s="11" customFormat="1" ht="15" customHeight="1" x14ac:dyDescent="0.25">
      <c r="A94" s="41"/>
      <c r="B94" s="12"/>
      <c r="C94" s="48"/>
      <c r="D94" s="48">
        <v>85</v>
      </c>
      <c r="E94" s="49"/>
      <c r="F94" s="50"/>
      <c r="G94" s="50"/>
      <c r="H94" s="50"/>
      <c r="I94" s="50"/>
      <c r="J94" s="50"/>
      <c r="K94" s="50"/>
      <c r="L94" s="50"/>
      <c r="M94" s="50"/>
      <c r="N94" s="50"/>
      <c r="O94" s="50"/>
      <c r="P94" s="50"/>
      <c r="Q94" s="50"/>
      <c r="R94" s="50"/>
      <c r="S94" s="50"/>
      <c r="T94" s="50"/>
      <c r="U94" s="50"/>
      <c r="V94" s="50"/>
      <c r="W94" s="50"/>
      <c r="X94" s="50"/>
      <c r="Y94" s="50"/>
      <c r="Z94" s="43" t="str">
        <f t="shared" si="1"/>
        <v>Очікую</v>
      </c>
      <c r="AA94" s="22"/>
      <c r="AB94" s="40"/>
    </row>
    <row r="95" spans="1:28" s="11" customFormat="1" ht="15" customHeight="1" x14ac:dyDescent="0.25">
      <c r="A95" s="41"/>
      <c r="B95" s="12"/>
      <c r="C95" s="48"/>
      <c r="D95" s="48">
        <v>86</v>
      </c>
      <c r="E95" s="49"/>
      <c r="F95" s="50"/>
      <c r="G95" s="50"/>
      <c r="H95" s="50"/>
      <c r="I95" s="50"/>
      <c r="J95" s="50"/>
      <c r="K95" s="50"/>
      <c r="L95" s="50"/>
      <c r="M95" s="50"/>
      <c r="N95" s="50"/>
      <c r="O95" s="50"/>
      <c r="P95" s="50"/>
      <c r="Q95" s="50"/>
      <c r="R95" s="50"/>
      <c r="S95" s="50"/>
      <c r="T95" s="50"/>
      <c r="U95" s="50"/>
      <c r="V95" s="50"/>
      <c r="W95" s="50"/>
      <c r="X95" s="50"/>
      <c r="Y95" s="50"/>
      <c r="Z95" s="43" t="str">
        <f t="shared" si="1"/>
        <v>Очікую</v>
      </c>
      <c r="AA95" s="22"/>
      <c r="AB95" s="40"/>
    </row>
    <row r="96" spans="1:28" s="11" customFormat="1" ht="15" customHeight="1" x14ac:dyDescent="0.25">
      <c r="A96" s="41"/>
      <c r="B96" s="12"/>
      <c r="C96" s="48"/>
      <c r="D96" s="48">
        <v>87</v>
      </c>
      <c r="E96" s="49"/>
      <c r="F96" s="50"/>
      <c r="G96" s="50"/>
      <c r="H96" s="50"/>
      <c r="I96" s="50"/>
      <c r="J96" s="50"/>
      <c r="K96" s="50"/>
      <c r="L96" s="50"/>
      <c r="M96" s="50"/>
      <c r="N96" s="50"/>
      <c r="O96" s="50"/>
      <c r="P96" s="50"/>
      <c r="Q96" s="50"/>
      <c r="R96" s="50"/>
      <c r="S96" s="50"/>
      <c r="T96" s="50"/>
      <c r="U96" s="50"/>
      <c r="V96" s="50"/>
      <c r="W96" s="50"/>
      <c r="X96" s="50"/>
      <c r="Y96" s="50"/>
      <c r="Z96" s="43" t="str">
        <f t="shared" si="1"/>
        <v>Очікую</v>
      </c>
      <c r="AA96" s="22"/>
      <c r="AB96" s="40"/>
    </row>
    <row r="97" spans="1:28" s="11" customFormat="1" ht="15" customHeight="1" x14ac:dyDescent="0.25">
      <c r="A97" s="41"/>
      <c r="B97" s="12"/>
      <c r="C97" s="48"/>
      <c r="D97" s="48">
        <v>88</v>
      </c>
      <c r="E97" s="49"/>
      <c r="F97" s="50"/>
      <c r="G97" s="50"/>
      <c r="H97" s="50"/>
      <c r="I97" s="50"/>
      <c r="J97" s="50"/>
      <c r="K97" s="50"/>
      <c r="L97" s="50"/>
      <c r="M97" s="50"/>
      <c r="N97" s="50"/>
      <c r="O97" s="50"/>
      <c r="P97" s="50"/>
      <c r="Q97" s="50"/>
      <c r="R97" s="50"/>
      <c r="S97" s="50"/>
      <c r="T97" s="50"/>
      <c r="U97" s="50"/>
      <c r="V97" s="50"/>
      <c r="W97" s="50"/>
      <c r="X97" s="50"/>
      <c r="Y97" s="50"/>
      <c r="Z97" s="43" t="str">
        <f t="shared" si="1"/>
        <v>Очікую</v>
      </c>
      <c r="AA97" s="22"/>
      <c r="AB97" s="40"/>
    </row>
    <row r="98" spans="1:28" s="11" customFormat="1" ht="15" customHeight="1" x14ac:dyDescent="0.25">
      <c r="A98" s="41"/>
      <c r="B98" s="12"/>
      <c r="C98" s="48"/>
      <c r="D98" s="48">
        <v>89</v>
      </c>
      <c r="E98" s="49"/>
      <c r="F98" s="50"/>
      <c r="G98" s="50"/>
      <c r="H98" s="50"/>
      <c r="I98" s="50"/>
      <c r="J98" s="50"/>
      <c r="K98" s="50"/>
      <c r="L98" s="50"/>
      <c r="M98" s="50"/>
      <c r="N98" s="50"/>
      <c r="O98" s="50"/>
      <c r="P98" s="50"/>
      <c r="Q98" s="50"/>
      <c r="R98" s="50"/>
      <c r="S98" s="50"/>
      <c r="T98" s="50"/>
      <c r="U98" s="50"/>
      <c r="V98" s="50"/>
      <c r="W98" s="50"/>
      <c r="X98" s="50"/>
      <c r="Y98" s="50"/>
      <c r="Z98" s="43" t="str">
        <f t="shared" si="1"/>
        <v>Очікую</v>
      </c>
      <c r="AA98" s="22"/>
      <c r="AB98" s="40"/>
    </row>
    <row r="99" spans="1:28" s="11" customFormat="1" ht="15" customHeight="1" x14ac:dyDescent="0.25">
      <c r="A99" s="41"/>
      <c r="B99" s="12"/>
      <c r="C99" s="48"/>
      <c r="D99" s="48">
        <v>90</v>
      </c>
      <c r="E99" s="49"/>
      <c r="F99" s="50"/>
      <c r="G99" s="50"/>
      <c r="H99" s="50"/>
      <c r="I99" s="50"/>
      <c r="J99" s="50"/>
      <c r="K99" s="50"/>
      <c r="L99" s="50"/>
      <c r="M99" s="50"/>
      <c r="N99" s="50"/>
      <c r="O99" s="50"/>
      <c r="P99" s="50"/>
      <c r="Q99" s="50"/>
      <c r="R99" s="50"/>
      <c r="S99" s="50"/>
      <c r="T99" s="50"/>
      <c r="U99" s="50"/>
      <c r="V99" s="50"/>
      <c r="W99" s="50"/>
      <c r="X99" s="50"/>
      <c r="Y99" s="50"/>
      <c r="Z99" s="43" t="str">
        <f t="shared" si="1"/>
        <v>Очікую</v>
      </c>
      <c r="AA99" s="22"/>
      <c r="AB99" s="40"/>
    </row>
    <row r="100" spans="1:28" s="11" customFormat="1" ht="15" customHeight="1" x14ac:dyDescent="0.25">
      <c r="A100" s="41"/>
      <c r="B100" s="12"/>
      <c r="C100" s="48"/>
      <c r="D100" s="48">
        <v>91</v>
      </c>
      <c r="E100" s="49"/>
      <c r="F100" s="50"/>
      <c r="G100" s="50"/>
      <c r="H100" s="50"/>
      <c r="I100" s="50"/>
      <c r="J100" s="50"/>
      <c r="K100" s="50"/>
      <c r="L100" s="50"/>
      <c r="M100" s="50"/>
      <c r="N100" s="50"/>
      <c r="O100" s="50"/>
      <c r="P100" s="50"/>
      <c r="Q100" s="50"/>
      <c r="R100" s="50"/>
      <c r="S100" s="50"/>
      <c r="T100" s="50"/>
      <c r="U100" s="50"/>
      <c r="V100" s="50"/>
      <c r="W100" s="50"/>
      <c r="X100" s="50"/>
      <c r="Y100" s="50"/>
      <c r="Z100" s="43" t="str">
        <f t="shared" si="1"/>
        <v>Очікую</v>
      </c>
      <c r="AA100" s="22"/>
      <c r="AB100" s="40"/>
    </row>
    <row r="101" spans="1:28" s="11" customFormat="1" ht="15" customHeight="1" x14ac:dyDescent="0.25">
      <c r="A101" s="41"/>
      <c r="B101" s="12"/>
      <c r="C101" s="48"/>
      <c r="D101" s="48">
        <v>92</v>
      </c>
      <c r="E101" s="49"/>
      <c r="F101" s="50"/>
      <c r="G101" s="50"/>
      <c r="H101" s="50"/>
      <c r="I101" s="50"/>
      <c r="J101" s="50"/>
      <c r="K101" s="50"/>
      <c r="L101" s="50"/>
      <c r="M101" s="50"/>
      <c r="N101" s="50"/>
      <c r="O101" s="50"/>
      <c r="P101" s="50"/>
      <c r="Q101" s="50"/>
      <c r="R101" s="50"/>
      <c r="S101" s="50"/>
      <c r="T101" s="50"/>
      <c r="U101" s="50"/>
      <c r="V101" s="50"/>
      <c r="W101" s="50"/>
      <c r="X101" s="50"/>
      <c r="Y101" s="50"/>
      <c r="Z101" s="43" t="str">
        <f t="shared" si="1"/>
        <v>Очікую</v>
      </c>
      <c r="AA101" s="22"/>
      <c r="AB101" s="40"/>
    </row>
    <row r="102" spans="1:28" s="11" customFormat="1" ht="15" customHeight="1" x14ac:dyDescent="0.25">
      <c r="A102" s="41"/>
      <c r="B102" s="12"/>
      <c r="C102" s="48"/>
      <c r="D102" s="48">
        <v>93</v>
      </c>
      <c r="E102" s="49"/>
      <c r="F102" s="50"/>
      <c r="G102" s="50"/>
      <c r="H102" s="50"/>
      <c r="I102" s="50"/>
      <c r="J102" s="50"/>
      <c r="K102" s="50"/>
      <c r="L102" s="50"/>
      <c r="M102" s="50"/>
      <c r="N102" s="50"/>
      <c r="O102" s="50"/>
      <c r="P102" s="50"/>
      <c r="Q102" s="50"/>
      <c r="R102" s="50"/>
      <c r="S102" s="50"/>
      <c r="T102" s="50"/>
      <c r="U102" s="50"/>
      <c r="V102" s="50"/>
      <c r="W102" s="50"/>
      <c r="X102" s="50"/>
      <c r="Y102" s="50"/>
      <c r="Z102" s="43" t="str">
        <f t="shared" si="1"/>
        <v>Очікую</v>
      </c>
      <c r="AA102" s="22"/>
      <c r="AB102" s="40"/>
    </row>
    <row r="103" spans="1:28" s="11" customFormat="1" ht="15" customHeight="1" x14ac:dyDescent="0.25">
      <c r="A103" s="41"/>
      <c r="B103" s="12"/>
      <c r="C103" s="48"/>
      <c r="D103" s="48">
        <v>94</v>
      </c>
      <c r="E103" s="49"/>
      <c r="F103" s="50"/>
      <c r="G103" s="50"/>
      <c r="H103" s="50"/>
      <c r="I103" s="50"/>
      <c r="J103" s="50"/>
      <c r="K103" s="50"/>
      <c r="L103" s="50"/>
      <c r="M103" s="50"/>
      <c r="N103" s="50"/>
      <c r="O103" s="50"/>
      <c r="P103" s="50"/>
      <c r="Q103" s="50"/>
      <c r="R103" s="50"/>
      <c r="S103" s="50"/>
      <c r="T103" s="50"/>
      <c r="U103" s="50"/>
      <c r="V103" s="50"/>
      <c r="W103" s="50"/>
      <c r="X103" s="50"/>
      <c r="Y103" s="50"/>
      <c r="Z103" s="43" t="str">
        <f t="shared" si="1"/>
        <v>Очікую</v>
      </c>
      <c r="AA103" s="22"/>
      <c r="AB103" s="40"/>
    </row>
    <row r="104" spans="1:28" s="11" customFormat="1" ht="15" customHeight="1" x14ac:dyDescent="0.25">
      <c r="A104" s="41"/>
      <c r="B104" s="12"/>
      <c r="C104" s="48"/>
      <c r="D104" s="48">
        <v>95</v>
      </c>
      <c r="E104" s="49"/>
      <c r="F104" s="50"/>
      <c r="G104" s="50"/>
      <c r="H104" s="50"/>
      <c r="I104" s="50"/>
      <c r="J104" s="50"/>
      <c r="K104" s="50"/>
      <c r="L104" s="50"/>
      <c r="M104" s="50"/>
      <c r="N104" s="50"/>
      <c r="O104" s="50"/>
      <c r="P104" s="50"/>
      <c r="Q104" s="50"/>
      <c r="R104" s="50"/>
      <c r="S104" s="50"/>
      <c r="T104" s="50"/>
      <c r="U104" s="50"/>
      <c r="V104" s="50"/>
      <c r="W104" s="50"/>
      <c r="X104" s="50"/>
      <c r="Y104" s="50"/>
      <c r="Z104" s="43" t="str">
        <f t="shared" si="1"/>
        <v>Очікую</v>
      </c>
      <c r="AA104" s="22"/>
      <c r="AB104" s="40"/>
    </row>
    <row r="105" spans="1:28" s="11" customFormat="1" ht="15" customHeight="1" x14ac:dyDescent="0.25">
      <c r="A105" s="41"/>
      <c r="B105" s="12"/>
      <c r="C105" s="48"/>
      <c r="D105" s="48">
        <v>96</v>
      </c>
      <c r="E105" s="49"/>
      <c r="F105" s="50"/>
      <c r="G105" s="50"/>
      <c r="H105" s="50"/>
      <c r="I105" s="50"/>
      <c r="J105" s="50"/>
      <c r="K105" s="50"/>
      <c r="L105" s="50"/>
      <c r="M105" s="50"/>
      <c r="N105" s="50"/>
      <c r="O105" s="50"/>
      <c r="P105" s="50"/>
      <c r="Q105" s="50"/>
      <c r="R105" s="50"/>
      <c r="S105" s="50"/>
      <c r="T105" s="50"/>
      <c r="U105" s="50"/>
      <c r="V105" s="50"/>
      <c r="W105" s="50"/>
      <c r="X105" s="50"/>
      <c r="Y105" s="50"/>
      <c r="Z105" s="43" t="str">
        <f t="shared" si="1"/>
        <v>Очікую</v>
      </c>
      <c r="AA105" s="22"/>
      <c r="AB105" s="40"/>
    </row>
    <row r="106" spans="1:28" s="11" customFormat="1" ht="15" customHeight="1" x14ac:dyDescent="0.25">
      <c r="A106" s="41"/>
      <c r="B106" s="12"/>
      <c r="C106" s="48"/>
      <c r="D106" s="48">
        <v>97</v>
      </c>
      <c r="E106" s="49"/>
      <c r="F106" s="50"/>
      <c r="G106" s="50"/>
      <c r="H106" s="50"/>
      <c r="I106" s="50"/>
      <c r="J106" s="50"/>
      <c r="K106" s="50"/>
      <c r="L106" s="50"/>
      <c r="M106" s="50"/>
      <c r="N106" s="50"/>
      <c r="O106" s="50"/>
      <c r="P106" s="50"/>
      <c r="Q106" s="50"/>
      <c r="R106" s="50"/>
      <c r="S106" s="50"/>
      <c r="T106" s="50"/>
      <c r="U106" s="50"/>
      <c r="V106" s="50"/>
      <c r="W106" s="50"/>
      <c r="X106" s="50"/>
      <c r="Y106" s="50"/>
      <c r="Z106" s="43" t="str">
        <f t="shared" si="1"/>
        <v>Очікую</v>
      </c>
      <c r="AA106" s="22"/>
      <c r="AB106" s="40"/>
    </row>
    <row r="107" spans="1:28" s="11" customFormat="1" ht="15" customHeight="1" x14ac:dyDescent="0.25">
      <c r="A107" s="41"/>
      <c r="B107" s="12"/>
      <c r="C107" s="48"/>
      <c r="D107" s="48">
        <v>98</v>
      </c>
      <c r="E107" s="49"/>
      <c r="F107" s="50"/>
      <c r="G107" s="50"/>
      <c r="H107" s="50"/>
      <c r="I107" s="50"/>
      <c r="J107" s="50"/>
      <c r="K107" s="50"/>
      <c r="L107" s="50"/>
      <c r="M107" s="50"/>
      <c r="N107" s="50"/>
      <c r="O107" s="50"/>
      <c r="P107" s="50"/>
      <c r="Q107" s="50"/>
      <c r="R107" s="50"/>
      <c r="S107" s="50"/>
      <c r="T107" s="50"/>
      <c r="U107" s="50"/>
      <c r="V107" s="50"/>
      <c r="W107" s="50"/>
      <c r="X107" s="50"/>
      <c r="Y107" s="50"/>
      <c r="Z107" s="43" t="str">
        <f t="shared" si="1"/>
        <v>Очікую</v>
      </c>
      <c r="AA107" s="22"/>
      <c r="AB107" s="40"/>
    </row>
    <row r="108" spans="1:28" s="11" customFormat="1" ht="15" customHeight="1" x14ac:dyDescent="0.25">
      <c r="A108" s="41"/>
      <c r="B108" s="12"/>
      <c r="C108" s="48"/>
      <c r="D108" s="48">
        <v>99</v>
      </c>
      <c r="E108" s="49"/>
      <c r="F108" s="50"/>
      <c r="G108" s="50"/>
      <c r="H108" s="50"/>
      <c r="I108" s="50"/>
      <c r="J108" s="50"/>
      <c r="K108" s="50"/>
      <c r="L108" s="50"/>
      <c r="M108" s="50"/>
      <c r="N108" s="50"/>
      <c r="O108" s="50"/>
      <c r="P108" s="50"/>
      <c r="Q108" s="50"/>
      <c r="R108" s="50"/>
      <c r="S108" s="50"/>
      <c r="T108" s="50"/>
      <c r="U108" s="50"/>
      <c r="V108" s="50"/>
      <c r="W108" s="50"/>
      <c r="X108" s="50"/>
      <c r="Y108" s="50"/>
      <c r="Z108" s="43" t="str">
        <f t="shared" si="1"/>
        <v>Очікую</v>
      </c>
      <c r="AA108" s="22"/>
      <c r="AB108" s="40"/>
    </row>
    <row r="109" spans="1:28" s="11" customFormat="1" ht="15" customHeight="1" x14ac:dyDescent="0.25">
      <c r="A109" s="41"/>
      <c r="B109" s="12"/>
      <c r="C109" s="48"/>
      <c r="D109" s="48">
        <v>100</v>
      </c>
      <c r="E109" s="49"/>
      <c r="F109" s="50"/>
      <c r="G109" s="50"/>
      <c r="H109" s="50"/>
      <c r="I109" s="50"/>
      <c r="J109" s="50"/>
      <c r="K109" s="50"/>
      <c r="L109" s="50"/>
      <c r="M109" s="50"/>
      <c r="N109" s="50"/>
      <c r="O109" s="50"/>
      <c r="P109" s="50"/>
      <c r="Q109" s="50"/>
      <c r="R109" s="50"/>
      <c r="S109" s="50"/>
      <c r="T109" s="50"/>
      <c r="U109" s="50"/>
      <c r="V109" s="50"/>
      <c r="W109" s="50"/>
      <c r="X109" s="50"/>
      <c r="Y109" s="50"/>
      <c r="Z109" s="43" t="str">
        <f t="shared" si="1"/>
        <v>Очікую</v>
      </c>
      <c r="AA109" s="22"/>
      <c r="AB109" s="40"/>
    </row>
    <row r="110" spans="1:28" ht="15" customHeight="1" x14ac:dyDescent="0.25">
      <c r="A110" s="41"/>
      <c r="B110" s="12"/>
      <c r="C110" s="6"/>
      <c r="D110" s="6"/>
      <c r="E110" s="7" t="s">
        <v>4</v>
      </c>
      <c r="F110" s="8" t="str">
        <f>IF(SUM(F10:F109)=0,IF(COUNTA(F10:F109)=0,"Очікую",0),SUM(F10:F109)/$D109)</f>
        <v>Очікую</v>
      </c>
      <c r="G110" s="8" t="str">
        <f t="shared" ref="G110:Y110" si="2">IF(SUM(G10:G109)=0,IF(COUNTA(G10:G109)=0,"Очікую",0),SUM(G10:G109)/$D109)</f>
        <v>Очікую</v>
      </c>
      <c r="H110" s="8" t="str">
        <f t="shared" si="2"/>
        <v>Очікую</v>
      </c>
      <c r="I110" s="8" t="str">
        <f t="shared" si="2"/>
        <v>Очікую</v>
      </c>
      <c r="J110" s="8" t="str">
        <f t="shared" si="2"/>
        <v>Очікую</v>
      </c>
      <c r="K110" s="8" t="str">
        <f t="shared" si="2"/>
        <v>Очікую</v>
      </c>
      <c r="L110" s="8" t="str">
        <f t="shared" si="2"/>
        <v>Очікую</v>
      </c>
      <c r="M110" s="8" t="str">
        <f t="shared" si="2"/>
        <v>Очікую</v>
      </c>
      <c r="N110" s="8" t="str">
        <f t="shared" si="2"/>
        <v>Очікую</v>
      </c>
      <c r="O110" s="8" t="str">
        <f t="shared" si="2"/>
        <v>Очікую</v>
      </c>
      <c r="P110" s="8" t="str">
        <f t="shared" si="2"/>
        <v>Очікую</v>
      </c>
      <c r="Q110" s="8" t="str">
        <f t="shared" si="2"/>
        <v>Очікую</v>
      </c>
      <c r="R110" s="8" t="str">
        <f t="shared" si="2"/>
        <v>Очікую</v>
      </c>
      <c r="S110" s="8" t="str">
        <f t="shared" si="2"/>
        <v>Очікую</v>
      </c>
      <c r="T110" s="8" t="str">
        <f t="shared" si="2"/>
        <v>Очікую</v>
      </c>
      <c r="U110" s="8" t="str">
        <f t="shared" si="2"/>
        <v>Очікую</v>
      </c>
      <c r="V110" s="8" t="str">
        <f t="shared" si="2"/>
        <v>Очікую</v>
      </c>
      <c r="W110" s="8" t="str">
        <f t="shared" si="2"/>
        <v>Очікую</v>
      </c>
      <c r="X110" s="8" t="str">
        <f t="shared" si="2"/>
        <v>Очікую</v>
      </c>
      <c r="Y110" s="8" t="str">
        <f t="shared" si="2"/>
        <v>Очікую</v>
      </c>
      <c r="Z110" s="9" t="str">
        <f>IFERROR(AVERAGE(F110:Y110),"Очікую")</f>
        <v>Очікую</v>
      </c>
      <c r="AA110" s="20"/>
      <c r="AB110" s="40"/>
    </row>
    <row r="111" spans="1:28" ht="15" customHeight="1" x14ac:dyDescent="0.25">
      <c r="A111" s="41"/>
      <c r="B111" s="12"/>
      <c r="C111" s="6"/>
      <c r="D111" s="6"/>
      <c r="E111" s="7" t="s">
        <v>5</v>
      </c>
      <c r="F111" s="44" t="str">
        <f>IF(SUM(F10:F109)=0,IF(COUNTA(F10:F109)=0,"Очікую",0),IF(COUNTIF(F10:F109,"&gt;=4")=0,0,COUNTIF(F10:F109,"&gt;=4")/$D109*100))</f>
        <v>Очікую</v>
      </c>
      <c r="G111" s="44" t="str">
        <f t="shared" ref="G111:Y111" si="3">IF(SUM(G10:G109)=0,IF(COUNTA(G10:G109)=0,"Очікую",0),IF(COUNTIF(G10:G109,"&gt;=4")=0,0,COUNTIF(G10:G109,"&gt;=4")/$D109*100))</f>
        <v>Очікую</v>
      </c>
      <c r="H111" s="44" t="str">
        <f t="shared" si="3"/>
        <v>Очікую</v>
      </c>
      <c r="I111" s="44" t="str">
        <f t="shared" si="3"/>
        <v>Очікую</v>
      </c>
      <c r="J111" s="44" t="str">
        <f t="shared" si="3"/>
        <v>Очікую</v>
      </c>
      <c r="K111" s="44" t="str">
        <f t="shared" si="3"/>
        <v>Очікую</v>
      </c>
      <c r="L111" s="44" t="str">
        <f t="shared" si="3"/>
        <v>Очікую</v>
      </c>
      <c r="M111" s="44" t="str">
        <f t="shared" si="3"/>
        <v>Очікую</v>
      </c>
      <c r="N111" s="44" t="str">
        <f t="shared" si="3"/>
        <v>Очікую</v>
      </c>
      <c r="O111" s="44" t="str">
        <f t="shared" si="3"/>
        <v>Очікую</v>
      </c>
      <c r="P111" s="44" t="str">
        <f t="shared" si="3"/>
        <v>Очікую</v>
      </c>
      <c r="Q111" s="44" t="str">
        <f t="shared" si="3"/>
        <v>Очікую</v>
      </c>
      <c r="R111" s="44" t="str">
        <f t="shared" si="3"/>
        <v>Очікую</v>
      </c>
      <c r="S111" s="44" t="str">
        <f t="shared" si="3"/>
        <v>Очікую</v>
      </c>
      <c r="T111" s="44" t="str">
        <f t="shared" si="3"/>
        <v>Очікую</v>
      </c>
      <c r="U111" s="44" t="str">
        <f t="shared" si="3"/>
        <v>Очікую</v>
      </c>
      <c r="V111" s="44" t="str">
        <f t="shared" si="3"/>
        <v>Очікую</v>
      </c>
      <c r="W111" s="44" t="str">
        <f t="shared" si="3"/>
        <v>Очікую</v>
      </c>
      <c r="X111" s="44" t="str">
        <f t="shared" si="3"/>
        <v>Очікую</v>
      </c>
      <c r="Y111" s="44" t="str">
        <f t="shared" si="3"/>
        <v>Очікую</v>
      </c>
      <c r="Z111" s="6"/>
      <c r="AA111" s="20"/>
      <c r="AB111" s="40"/>
    </row>
    <row r="112" spans="1:28" ht="15" customHeight="1" x14ac:dyDescent="0.25">
      <c r="A112" s="41"/>
      <c r="B112" s="12"/>
      <c r="C112" s="6"/>
      <c r="D112" s="6"/>
      <c r="E112" s="7" t="s">
        <v>6</v>
      </c>
      <c r="F112" s="44" t="str">
        <f>IF(SUM(F10:F109)=0,IF(COUNTA(F10:F109)=0,"Очікую",0),IF(COUNTIF(F10:F109,"&gt;=7")=0,0,COUNTIF(F10:F109,"&gt;=7")/$D109*100))</f>
        <v>Очікую</v>
      </c>
      <c r="G112" s="44" t="str">
        <f t="shared" ref="G112:Y112" si="4">IF(SUM(G10:G109)=0,IF(COUNTA(G10:G109)=0,"Очікую",0),IF(COUNTIF(G10:G109,"&gt;=7")=0,0,COUNTIF(G10:G109,"&gt;=7")/$D109*100))</f>
        <v>Очікую</v>
      </c>
      <c r="H112" s="44" t="str">
        <f t="shared" si="4"/>
        <v>Очікую</v>
      </c>
      <c r="I112" s="44" t="str">
        <f t="shared" si="4"/>
        <v>Очікую</v>
      </c>
      <c r="J112" s="44" t="str">
        <f t="shared" si="4"/>
        <v>Очікую</v>
      </c>
      <c r="K112" s="44" t="str">
        <f t="shared" si="4"/>
        <v>Очікую</v>
      </c>
      <c r="L112" s="44" t="str">
        <f t="shared" si="4"/>
        <v>Очікую</v>
      </c>
      <c r="M112" s="44" t="str">
        <f>IF(SUM(M10:M109)=0,IF(COUNTA(M10:M109)=0,"Очікую",0),IF(COUNTIF(M10:M109,"&gt;=7")=0,0,COUNTIF(M10:M109,"&gt;=7")/$D109*100))</f>
        <v>Очікую</v>
      </c>
      <c r="N112" s="44" t="str">
        <f t="shared" si="4"/>
        <v>Очікую</v>
      </c>
      <c r="O112" s="44" t="str">
        <f t="shared" si="4"/>
        <v>Очікую</v>
      </c>
      <c r="P112" s="44" t="str">
        <f t="shared" si="4"/>
        <v>Очікую</v>
      </c>
      <c r="Q112" s="44" t="str">
        <f t="shared" si="4"/>
        <v>Очікую</v>
      </c>
      <c r="R112" s="44" t="str">
        <f t="shared" si="4"/>
        <v>Очікую</v>
      </c>
      <c r="S112" s="44" t="str">
        <f t="shared" si="4"/>
        <v>Очікую</v>
      </c>
      <c r="T112" s="44" t="str">
        <f t="shared" si="4"/>
        <v>Очікую</v>
      </c>
      <c r="U112" s="44" t="str">
        <f t="shared" si="4"/>
        <v>Очікую</v>
      </c>
      <c r="V112" s="44" t="str">
        <f t="shared" si="4"/>
        <v>Очікую</v>
      </c>
      <c r="W112" s="44" t="str">
        <f t="shared" si="4"/>
        <v>Очікую</v>
      </c>
      <c r="X112" s="44" t="str">
        <f t="shared" si="4"/>
        <v>Очікую</v>
      </c>
      <c r="Y112" s="44" t="str">
        <f t="shared" si="4"/>
        <v>Очікую</v>
      </c>
      <c r="Z112" s="6"/>
      <c r="AA112" s="20"/>
      <c r="AB112" s="40"/>
    </row>
    <row r="113" spans="1:28" ht="15" customHeight="1" x14ac:dyDescent="0.25">
      <c r="A113" s="41"/>
      <c r="B113" s="12"/>
      <c r="C113" s="6"/>
      <c r="D113" s="6"/>
      <c r="E113" s="7" t="s">
        <v>7</v>
      </c>
      <c r="F113" s="8" t="str">
        <f>IFERROR(AVERAGE(F111:Y111),"Очікую")</f>
        <v>Очікую</v>
      </c>
      <c r="G113" s="6"/>
      <c r="H113" s="6"/>
      <c r="I113" s="6"/>
      <c r="J113" s="6"/>
      <c r="K113" s="6"/>
      <c r="L113" s="6"/>
      <c r="M113" s="6"/>
      <c r="N113" s="6"/>
      <c r="O113" s="6"/>
      <c r="P113" s="6"/>
      <c r="Q113" s="6"/>
      <c r="R113" s="6"/>
      <c r="S113" s="6"/>
      <c r="T113" s="6"/>
      <c r="U113" s="6"/>
      <c r="V113" s="6"/>
      <c r="W113" s="6"/>
      <c r="X113" s="6"/>
      <c r="Y113" s="6"/>
      <c r="Z113" s="6"/>
      <c r="AA113" s="20"/>
      <c r="AB113" s="40"/>
    </row>
    <row r="114" spans="1:28" ht="15" customHeight="1" x14ac:dyDescent="0.25">
      <c r="A114" s="41"/>
      <c r="B114" s="12"/>
      <c r="C114" s="6"/>
      <c r="D114" s="6"/>
      <c r="E114" s="7" t="s">
        <v>8</v>
      </c>
      <c r="F114" s="8" t="str">
        <f>IFERROR(AVERAGE(F112:Y112),"Очікую")</f>
        <v>Очікую</v>
      </c>
      <c r="G114" s="6"/>
      <c r="H114" s="6"/>
      <c r="I114" s="6"/>
      <c r="J114" s="6"/>
      <c r="K114" s="6"/>
      <c r="L114" s="6"/>
      <c r="M114" s="6"/>
      <c r="N114" s="6"/>
      <c r="O114" s="6"/>
      <c r="P114" s="6"/>
      <c r="Q114" s="6"/>
      <c r="R114" s="6"/>
      <c r="S114" s="6"/>
      <c r="T114" s="6"/>
      <c r="U114" s="6"/>
      <c r="V114" s="6"/>
      <c r="W114" s="6"/>
      <c r="X114" s="6"/>
      <c r="Y114" s="6"/>
      <c r="Z114" s="6"/>
      <c r="AA114" s="20"/>
      <c r="AB114" s="40"/>
    </row>
    <row r="115" spans="1:28" ht="15" customHeight="1" x14ac:dyDescent="0.25">
      <c r="A115" s="41"/>
      <c r="B115" s="12"/>
      <c r="C115" s="6"/>
      <c r="D115" s="6"/>
      <c r="E115" s="7" t="s">
        <v>9</v>
      </c>
      <c r="F115" s="5" t="str">
        <f>IF(COUNTIF(C10:C109,"=Б")=0,IF(COUNTIF(C10:C109,"=К")=0,"Очікую",0),COUNTIF(C10:C109,"=Б"))</f>
        <v>Очікую</v>
      </c>
      <c r="G115" s="6"/>
      <c r="H115" s="6"/>
      <c r="I115" s="6"/>
      <c r="J115" s="6"/>
      <c r="K115" s="6"/>
      <c r="L115" s="6"/>
      <c r="M115" s="6"/>
      <c r="N115" s="6"/>
      <c r="O115" s="6"/>
      <c r="P115" s="6"/>
      <c r="Q115" s="6"/>
      <c r="R115" s="6"/>
      <c r="S115" s="6"/>
      <c r="T115" s="6"/>
      <c r="U115" s="6"/>
      <c r="V115" s="6"/>
      <c r="W115" s="60"/>
      <c r="X115" s="60"/>
      <c r="Y115" s="60"/>
      <c r="Z115" s="60"/>
      <c r="AA115" s="20"/>
      <c r="AB115" s="40"/>
    </row>
    <row r="116" spans="1:28" ht="15" customHeight="1" x14ac:dyDescent="0.3">
      <c r="A116" s="41"/>
      <c r="B116" s="12"/>
      <c r="C116" s="6"/>
      <c r="D116" s="6"/>
      <c r="E116" s="7" t="s">
        <v>10</v>
      </c>
      <c r="F116" s="5" t="str">
        <f>IF(COUNTIF(C10:C109,"=К")=0,IF(COUNTIF(C10:C109,"=Б")=0,"Очікую",0),COUNTIF(C10:C109,"=К"))</f>
        <v>Очікую</v>
      </c>
      <c r="G116" s="6"/>
      <c r="H116" s="63" t="s">
        <v>11</v>
      </c>
      <c r="I116" s="6"/>
      <c r="J116" s="6"/>
      <c r="K116" s="6"/>
      <c r="L116" s="6"/>
      <c r="M116" s="6"/>
      <c r="N116" s="63"/>
      <c r="O116" s="63"/>
      <c r="P116" s="63"/>
      <c r="Q116" s="63"/>
      <c r="R116" s="6"/>
      <c r="S116" s="6"/>
      <c r="T116" s="6"/>
      <c r="U116" s="64"/>
      <c r="V116" s="62"/>
      <c r="W116" s="62"/>
      <c r="X116" s="62"/>
      <c r="Y116" s="62"/>
      <c r="Z116" s="62"/>
      <c r="AA116" s="20"/>
      <c r="AB116" s="40"/>
    </row>
    <row r="117" spans="1:28" ht="15" customHeight="1" x14ac:dyDescent="0.25">
      <c r="A117" s="41"/>
      <c r="B117" s="12"/>
      <c r="C117" s="6"/>
      <c r="D117" s="6"/>
      <c r="E117" s="7" t="s">
        <v>12</v>
      </c>
      <c r="F117" s="4"/>
      <c r="G117" s="6"/>
      <c r="H117" s="63"/>
      <c r="I117" s="6"/>
      <c r="J117" s="6"/>
      <c r="K117" s="6"/>
      <c r="L117" s="6"/>
      <c r="M117" s="6"/>
      <c r="N117" s="63"/>
      <c r="O117" s="63"/>
      <c r="P117" s="63"/>
      <c r="Q117" s="63"/>
      <c r="R117" s="6"/>
      <c r="S117" s="6"/>
      <c r="T117" s="6"/>
      <c r="U117" s="64"/>
      <c r="V117" s="60"/>
      <c r="W117" s="60"/>
      <c r="X117" s="60"/>
      <c r="Y117" s="60"/>
      <c r="Z117" s="60"/>
      <c r="AA117" s="20"/>
      <c r="AB117" s="40"/>
    </row>
    <row r="118" spans="1:28" ht="15" customHeight="1" x14ac:dyDescent="0.3">
      <c r="A118" s="41"/>
      <c r="B118" s="12"/>
      <c r="C118" s="6"/>
      <c r="D118" s="6"/>
      <c r="E118" s="7" t="s">
        <v>13</v>
      </c>
      <c r="F118" s="5" t="str">
        <f>IF(F115="Очікую","Очікую",IF(F115-COUNTIF(Z10:Z109," - ")&lt;ROUNDDOWN(F115*0.4,0),F115-COUNTIF(Z10:Z109," - "),ROUNDDOWN(F115*0.4,0)))</f>
        <v>Очікую</v>
      </c>
      <c r="G118" s="6"/>
      <c r="H118" s="64" t="s">
        <v>14</v>
      </c>
      <c r="I118" s="6"/>
      <c r="J118" s="6"/>
      <c r="K118" s="6"/>
      <c r="L118" s="6"/>
      <c r="M118" s="6"/>
      <c r="N118" s="64"/>
      <c r="O118" s="64"/>
      <c r="P118" s="64"/>
      <c r="Q118" s="64"/>
      <c r="R118" s="6"/>
      <c r="S118" s="6"/>
      <c r="T118" s="6"/>
      <c r="U118" s="64"/>
      <c r="V118" s="62"/>
      <c r="W118" s="62"/>
      <c r="X118" s="62"/>
      <c r="Y118" s="62"/>
      <c r="Z118" s="62"/>
      <c r="AA118" s="20"/>
      <c r="AB118" s="40"/>
    </row>
    <row r="119" spans="1:28" ht="12" customHeight="1" thickBot="1" x14ac:dyDescent="0.3">
      <c r="A119" s="41"/>
      <c r="B119" s="21"/>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5"/>
      <c r="AB119" s="40"/>
    </row>
    <row r="120" spans="1:28" ht="12" customHeight="1" x14ac:dyDescent="0.25">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c r="AA120" s="39"/>
      <c r="AB120" s="40"/>
    </row>
  </sheetData>
  <sheetProtection insertRows="0" deleteRows="0"/>
  <mergeCells count="10">
    <mergeCell ref="C8:C9"/>
    <mergeCell ref="D8:D9"/>
    <mergeCell ref="E8:E9"/>
    <mergeCell ref="F8:Y8"/>
    <mergeCell ref="Z8:Z9"/>
    <mergeCell ref="C3:Z3"/>
    <mergeCell ref="C4:Z4"/>
    <mergeCell ref="C5:Z5"/>
    <mergeCell ref="C6:Z6"/>
    <mergeCell ref="C7:Z7"/>
  </mergeCells>
  <printOptions horizontalCentered="1"/>
  <pageMargins left="0.19685039370078741" right="0.19685039370078741" top="0.19685039370078741" bottom="0.19685039370078741" header="0" footer="0"/>
  <pageSetup paperSize="9" scale="3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A13CA-2BE8-4048-AFEB-AA7943841C57}">
  <sheetPr>
    <tabColor rgb="FFE26B0A"/>
    <pageSetUpPr fitToPage="1"/>
  </sheetPr>
  <dimension ref="A1:BQ115"/>
  <sheetViews>
    <sheetView zoomScaleNormal="100" workbookViewId="0"/>
  </sheetViews>
  <sheetFormatPr defaultColWidth="0" defaultRowHeight="0" customHeight="1" zeroHeight="1" x14ac:dyDescent="0.25"/>
  <cols>
    <col min="1" max="2" width="2.7109375" style="1" customWidth="1"/>
    <col min="3" max="3" width="4.140625" style="1" customWidth="1"/>
    <col min="4" max="4" width="6.5703125" style="1" customWidth="1"/>
    <col min="5" max="5" width="40.42578125" style="1" customWidth="1"/>
    <col min="6" max="25" width="6.7109375" style="1" customWidth="1"/>
    <col min="26" max="27" width="11.28515625" style="1" customWidth="1"/>
    <col min="28" max="29" width="2.7109375" style="1" customWidth="1"/>
    <col min="30" max="35" width="14.42578125" style="1" hidden="1" customWidth="1"/>
    <col min="36" max="36" width="14.85546875" style="1" hidden="1" customWidth="1"/>
    <col min="37" max="50" width="3.7109375" style="1" hidden="1" customWidth="1"/>
    <col min="51" max="69" width="5.7109375" style="1" hidden="1" customWidth="1"/>
    <col min="70" max="16384" width="14.42578125" style="1" hidden="1"/>
  </cols>
  <sheetData>
    <row r="1" spans="1:29" ht="12" customHeight="1" thickBot="1" x14ac:dyDescent="0.3">
      <c r="A1" s="38" t="s">
        <v>18</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row>
    <row r="2" spans="1:29" ht="12" customHeight="1" x14ac:dyDescent="0.25">
      <c r="A2" s="41"/>
      <c r="B2" s="17"/>
      <c r="C2" s="18"/>
      <c r="D2" s="18"/>
      <c r="E2" s="18"/>
      <c r="F2" s="18"/>
      <c r="G2" s="18"/>
      <c r="H2" s="18"/>
      <c r="I2" s="18"/>
      <c r="J2" s="18"/>
      <c r="K2" s="18"/>
      <c r="L2" s="18"/>
      <c r="M2" s="18"/>
      <c r="N2" s="18"/>
      <c r="O2" s="18"/>
      <c r="P2" s="18"/>
      <c r="Q2" s="18"/>
      <c r="R2" s="18"/>
      <c r="S2" s="18"/>
      <c r="T2" s="18"/>
      <c r="U2" s="18"/>
      <c r="V2" s="18"/>
      <c r="W2" s="18"/>
      <c r="X2" s="18"/>
      <c r="Y2" s="18"/>
      <c r="Z2" s="18"/>
      <c r="AA2" s="18"/>
      <c r="AB2" s="19"/>
      <c r="AC2" s="40"/>
    </row>
    <row r="3" spans="1:29" s="2" customFormat="1" ht="54.95" customHeight="1" x14ac:dyDescent="0.3">
      <c r="A3" s="41"/>
      <c r="B3" s="12"/>
      <c r="C3" s="70" t="s">
        <v>19</v>
      </c>
      <c r="D3" s="70"/>
      <c r="E3" s="70"/>
      <c r="F3" s="70"/>
      <c r="G3" s="70"/>
      <c r="H3" s="70"/>
      <c r="I3" s="70"/>
      <c r="J3" s="70"/>
      <c r="K3" s="70"/>
      <c r="L3" s="70"/>
      <c r="M3" s="70"/>
      <c r="N3" s="70"/>
      <c r="O3" s="70"/>
      <c r="P3" s="70"/>
      <c r="Q3" s="70"/>
      <c r="R3" s="70"/>
      <c r="S3" s="70"/>
      <c r="T3" s="70"/>
      <c r="U3" s="70"/>
      <c r="V3" s="70"/>
      <c r="W3" s="70"/>
      <c r="X3" s="70"/>
      <c r="Y3" s="70"/>
      <c r="Z3" s="70"/>
      <c r="AA3" s="70"/>
      <c r="AB3" s="20"/>
      <c r="AC3" s="40"/>
    </row>
    <row r="4" spans="1:29" s="3" customFormat="1" ht="15" customHeight="1" x14ac:dyDescent="0.25">
      <c r="A4" s="41"/>
      <c r="B4" s="12"/>
      <c r="C4" s="84" t="s">
        <v>23</v>
      </c>
      <c r="D4" s="84"/>
      <c r="E4" s="84"/>
      <c r="F4" s="84"/>
      <c r="G4" s="84"/>
      <c r="H4" s="84"/>
      <c r="I4" s="84"/>
      <c r="J4" s="84"/>
      <c r="K4" s="84"/>
      <c r="L4" s="84"/>
      <c r="M4" s="84"/>
      <c r="N4" s="84"/>
      <c r="O4" s="84"/>
      <c r="P4" s="84"/>
      <c r="Q4" s="84"/>
      <c r="R4" s="84"/>
      <c r="S4" s="84"/>
      <c r="T4" s="84"/>
      <c r="U4" s="84"/>
      <c r="V4" s="84"/>
      <c r="W4" s="84"/>
      <c r="X4" s="84"/>
      <c r="Y4" s="84"/>
      <c r="Z4" s="84"/>
      <c r="AA4" s="84"/>
      <c r="AB4" s="20"/>
      <c r="AC4" s="40"/>
    </row>
    <row r="5" spans="1:29" s="2" customFormat="1" ht="15" customHeight="1" x14ac:dyDescent="0.25">
      <c r="A5" s="41"/>
      <c r="B5" s="12"/>
      <c r="C5" s="72" t="str">
        <f>ЛЗ1!C5</f>
        <v>Успішності студентів спеціальності XXX «XXXXX»</v>
      </c>
      <c r="D5" s="72"/>
      <c r="E5" s="72"/>
      <c r="F5" s="72"/>
      <c r="G5" s="72"/>
      <c r="H5" s="72"/>
      <c r="I5" s="72"/>
      <c r="J5" s="72"/>
      <c r="K5" s="72"/>
      <c r="L5" s="72"/>
      <c r="M5" s="72"/>
      <c r="N5" s="72"/>
      <c r="O5" s="72"/>
      <c r="P5" s="72"/>
      <c r="Q5" s="72"/>
      <c r="R5" s="72"/>
      <c r="S5" s="72"/>
      <c r="T5" s="72"/>
      <c r="U5" s="72"/>
      <c r="V5" s="72"/>
      <c r="W5" s="72"/>
      <c r="X5" s="72"/>
      <c r="Y5" s="72"/>
      <c r="Z5" s="72"/>
      <c r="AA5" s="72"/>
      <c r="AB5" s="20"/>
      <c r="AC5" s="40"/>
    </row>
    <row r="6" spans="1:29" s="2" customFormat="1" ht="15" customHeight="1" x14ac:dyDescent="0.25">
      <c r="A6" s="41"/>
      <c r="B6" s="12"/>
      <c r="C6" s="72" t="str">
        <f>ЛЗ1!C6</f>
        <v>За X семестр XXXX-XXXX н.р.</v>
      </c>
      <c r="D6" s="72"/>
      <c r="E6" s="72"/>
      <c r="F6" s="72"/>
      <c r="G6" s="72"/>
      <c r="H6" s="72"/>
      <c r="I6" s="72"/>
      <c r="J6" s="72"/>
      <c r="K6" s="72"/>
      <c r="L6" s="72"/>
      <c r="M6" s="72"/>
      <c r="N6" s="72"/>
      <c r="O6" s="72"/>
      <c r="P6" s="72"/>
      <c r="Q6" s="72"/>
      <c r="R6" s="72"/>
      <c r="S6" s="72"/>
      <c r="T6" s="72"/>
      <c r="U6" s="72"/>
      <c r="V6" s="72"/>
      <c r="W6" s="72"/>
      <c r="X6" s="72"/>
      <c r="Y6" s="72"/>
      <c r="Z6" s="72"/>
      <c r="AA6" s="72"/>
      <c r="AB6" s="20"/>
      <c r="AC6" s="40"/>
    </row>
    <row r="7" spans="1:29" s="2" customFormat="1" ht="15" customHeight="1" x14ac:dyDescent="0.25">
      <c r="A7" s="41"/>
      <c r="B7" s="12"/>
      <c r="C7" s="73" t="str">
        <f>ЛЗ1!C7</f>
        <v>Група XXXX курс X</v>
      </c>
      <c r="D7" s="73"/>
      <c r="E7" s="73"/>
      <c r="F7" s="73"/>
      <c r="G7" s="73"/>
      <c r="H7" s="73"/>
      <c r="I7" s="73"/>
      <c r="J7" s="73"/>
      <c r="K7" s="73"/>
      <c r="L7" s="73"/>
      <c r="M7" s="73"/>
      <c r="N7" s="73"/>
      <c r="O7" s="73"/>
      <c r="P7" s="73"/>
      <c r="Q7" s="73"/>
      <c r="R7" s="73"/>
      <c r="S7" s="73"/>
      <c r="T7" s="73"/>
      <c r="U7" s="73"/>
      <c r="V7" s="73"/>
      <c r="W7" s="73"/>
      <c r="X7" s="73"/>
      <c r="Y7" s="73"/>
      <c r="Z7" s="73"/>
      <c r="AA7" s="73"/>
      <c r="AB7" s="20"/>
      <c r="AC7" s="40"/>
    </row>
    <row r="8" spans="1:29" ht="15" customHeight="1" x14ac:dyDescent="0.25">
      <c r="A8" s="41"/>
      <c r="B8" s="12"/>
      <c r="C8" s="74" t="s">
        <v>0</v>
      </c>
      <c r="D8" s="76" t="s">
        <v>1</v>
      </c>
      <c r="E8" s="76" t="s">
        <v>2</v>
      </c>
      <c r="F8" s="77" t="s">
        <v>17</v>
      </c>
      <c r="G8" s="78"/>
      <c r="H8" s="78"/>
      <c r="I8" s="78"/>
      <c r="J8" s="78"/>
      <c r="K8" s="78"/>
      <c r="L8" s="78"/>
      <c r="M8" s="78"/>
      <c r="N8" s="78"/>
      <c r="O8" s="78"/>
      <c r="P8" s="78"/>
      <c r="Q8" s="78"/>
      <c r="R8" s="78"/>
      <c r="S8" s="78"/>
      <c r="T8" s="78"/>
      <c r="U8" s="78"/>
      <c r="V8" s="78"/>
      <c r="W8" s="78"/>
      <c r="X8" s="78"/>
      <c r="Y8" s="79"/>
      <c r="Z8" s="80" t="s">
        <v>3</v>
      </c>
      <c r="AA8" s="80" t="s">
        <v>24</v>
      </c>
      <c r="AB8" s="20"/>
      <c r="AC8" s="40"/>
    </row>
    <row r="9" spans="1:29" ht="125.1" customHeight="1" x14ac:dyDescent="0.25">
      <c r="A9" s="41"/>
      <c r="B9" s="12"/>
      <c r="C9" s="75"/>
      <c r="D9" s="75"/>
      <c r="E9" s="75"/>
      <c r="F9" s="13">
        <v>1</v>
      </c>
      <c r="G9" s="13">
        <v>2</v>
      </c>
      <c r="H9" s="13">
        <v>3</v>
      </c>
      <c r="I9" s="13">
        <v>4</v>
      </c>
      <c r="J9" s="13">
        <v>5</v>
      </c>
      <c r="K9" s="13">
        <v>6</v>
      </c>
      <c r="L9" s="13">
        <v>7</v>
      </c>
      <c r="M9" s="13">
        <v>8</v>
      </c>
      <c r="N9" s="13">
        <v>9</v>
      </c>
      <c r="O9" s="13">
        <v>10</v>
      </c>
      <c r="P9" s="13">
        <v>11</v>
      </c>
      <c r="Q9" s="13">
        <v>12</v>
      </c>
      <c r="R9" s="13">
        <v>13</v>
      </c>
      <c r="S9" s="13">
        <v>14</v>
      </c>
      <c r="T9" s="13">
        <v>15</v>
      </c>
      <c r="U9" s="13">
        <v>16</v>
      </c>
      <c r="V9" s="13">
        <v>17</v>
      </c>
      <c r="W9" s="13">
        <v>18</v>
      </c>
      <c r="X9" s="13">
        <v>19</v>
      </c>
      <c r="Y9" s="13">
        <v>20</v>
      </c>
      <c r="Z9" s="81"/>
      <c r="AA9" s="81"/>
      <c r="AB9" s="20"/>
      <c r="AC9" s="40"/>
    </row>
    <row r="10" spans="1:29" s="11" customFormat="1" ht="15" customHeight="1" x14ac:dyDescent="0.25">
      <c r="A10" s="41"/>
      <c r="B10" s="12"/>
      <c r="C10" s="48"/>
      <c r="D10" s="48">
        <v>1</v>
      </c>
      <c r="E10" s="49"/>
      <c r="F10" s="50"/>
      <c r="G10" s="50"/>
      <c r="H10" s="50"/>
      <c r="I10" s="50"/>
      <c r="J10" s="50"/>
      <c r="K10" s="50"/>
      <c r="L10" s="50"/>
      <c r="M10" s="50"/>
      <c r="N10" s="50"/>
      <c r="O10" s="50"/>
      <c r="P10" s="50"/>
      <c r="Q10" s="50"/>
      <c r="R10" s="50"/>
      <c r="S10" s="50"/>
      <c r="T10" s="50"/>
      <c r="U10" s="50"/>
      <c r="V10" s="50"/>
      <c r="W10" s="50"/>
      <c r="X10" s="50"/>
      <c r="Y10" s="50"/>
      <c r="Z10" s="65" t="str">
        <f>IF(COUNTIF(F10:Y10,"=*")&gt;0,IF($C10="К","-"," - "),IF(COUNTIF(F10:Y10,"&lt;4")&gt;0,IF(C10="К","-"," - "),(IFERROR(AVERAGE(F10:Y10),"Очікую"))))</f>
        <v>Очікую</v>
      </c>
      <c r="AA10" s="65" t="str">
        <f>IFERROR(Z10/12*90,"Очікую")</f>
        <v>Очікую</v>
      </c>
      <c r="AB10" s="22"/>
      <c r="AC10" s="40"/>
    </row>
    <row r="11" spans="1:29" s="11" customFormat="1" ht="15" customHeight="1" x14ac:dyDescent="0.25">
      <c r="A11" s="41"/>
      <c r="B11" s="12"/>
      <c r="C11" s="48"/>
      <c r="D11" s="48">
        <v>2</v>
      </c>
      <c r="E11" s="49"/>
      <c r="F11" s="50"/>
      <c r="G11" s="50"/>
      <c r="H11" s="50"/>
      <c r="I11" s="50"/>
      <c r="J11" s="50"/>
      <c r="K11" s="50"/>
      <c r="L11" s="50"/>
      <c r="M11" s="50"/>
      <c r="N11" s="50"/>
      <c r="O11" s="50"/>
      <c r="P11" s="50"/>
      <c r="Q11" s="50"/>
      <c r="R11" s="50"/>
      <c r="S11" s="50"/>
      <c r="T11" s="50"/>
      <c r="U11" s="50"/>
      <c r="V11" s="50"/>
      <c r="W11" s="50"/>
      <c r="X11" s="50"/>
      <c r="Y11" s="50"/>
      <c r="Z11" s="65" t="str">
        <f t="shared" ref="Z11:Z74" si="0">IF(COUNTIF(E11:X11,"=*")&gt;0,IF($C11="К","-"," - "),IF(COUNTIF(E11:X11,"&lt;4")&gt;0,IF(B11="К","-"," - "),(IFERROR(AVERAGE(E11:X11),"Очікую"))))</f>
        <v>Очікую</v>
      </c>
      <c r="AA11" s="65" t="str">
        <f t="shared" ref="AA11:AA74" si="1">IFERROR(Z11/12*90,"Очікую")</f>
        <v>Очікую</v>
      </c>
      <c r="AB11" s="22"/>
      <c r="AC11" s="40"/>
    </row>
    <row r="12" spans="1:29" s="11" customFormat="1" ht="15" customHeight="1" x14ac:dyDescent="0.25">
      <c r="A12" s="41"/>
      <c r="B12" s="12"/>
      <c r="C12" s="48"/>
      <c r="D12" s="48">
        <v>3</v>
      </c>
      <c r="E12" s="49"/>
      <c r="F12" s="50"/>
      <c r="G12" s="50"/>
      <c r="H12" s="50"/>
      <c r="I12" s="50"/>
      <c r="J12" s="50"/>
      <c r="K12" s="50"/>
      <c r="L12" s="50"/>
      <c r="M12" s="50"/>
      <c r="N12" s="50"/>
      <c r="O12" s="50"/>
      <c r="P12" s="50"/>
      <c r="Q12" s="50"/>
      <c r="R12" s="50"/>
      <c r="S12" s="50"/>
      <c r="T12" s="50"/>
      <c r="U12" s="50"/>
      <c r="V12" s="50"/>
      <c r="W12" s="50"/>
      <c r="X12" s="50"/>
      <c r="Y12" s="50"/>
      <c r="Z12" s="65" t="str">
        <f t="shared" si="0"/>
        <v>Очікую</v>
      </c>
      <c r="AA12" s="65" t="str">
        <f t="shared" si="1"/>
        <v>Очікую</v>
      </c>
      <c r="AB12" s="22"/>
      <c r="AC12" s="40"/>
    </row>
    <row r="13" spans="1:29" s="11" customFormat="1" ht="15" customHeight="1" x14ac:dyDescent="0.25">
      <c r="A13" s="41"/>
      <c r="B13" s="12"/>
      <c r="C13" s="48"/>
      <c r="D13" s="48">
        <v>4</v>
      </c>
      <c r="E13" s="49"/>
      <c r="F13" s="50"/>
      <c r="G13" s="50"/>
      <c r="H13" s="50"/>
      <c r="I13" s="50"/>
      <c r="J13" s="50"/>
      <c r="K13" s="50"/>
      <c r="L13" s="50"/>
      <c r="M13" s="50"/>
      <c r="N13" s="50"/>
      <c r="O13" s="50"/>
      <c r="P13" s="50"/>
      <c r="Q13" s="50"/>
      <c r="R13" s="50"/>
      <c r="S13" s="50"/>
      <c r="T13" s="50"/>
      <c r="U13" s="50"/>
      <c r="V13" s="50"/>
      <c r="W13" s="50"/>
      <c r="X13" s="50"/>
      <c r="Y13" s="50"/>
      <c r="Z13" s="65" t="str">
        <f t="shared" si="0"/>
        <v>Очікую</v>
      </c>
      <c r="AA13" s="65" t="str">
        <f t="shared" si="1"/>
        <v>Очікую</v>
      </c>
      <c r="AB13" s="22"/>
      <c r="AC13" s="40"/>
    </row>
    <row r="14" spans="1:29" s="11" customFormat="1" ht="15" customHeight="1" x14ac:dyDescent="0.25">
      <c r="A14" s="41"/>
      <c r="B14" s="12"/>
      <c r="C14" s="48"/>
      <c r="D14" s="48">
        <v>5</v>
      </c>
      <c r="E14" s="49"/>
      <c r="F14" s="50"/>
      <c r="G14" s="50"/>
      <c r="H14" s="50"/>
      <c r="I14" s="50"/>
      <c r="J14" s="50"/>
      <c r="K14" s="50"/>
      <c r="L14" s="50"/>
      <c r="M14" s="50"/>
      <c r="N14" s="50"/>
      <c r="O14" s="50"/>
      <c r="P14" s="50"/>
      <c r="Q14" s="50"/>
      <c r="R14" s="50"/>
      <c r="S14" s="50"/>
      <c r="T14" s="50"/>
      <c r="U14" s="50"/>
      <c r="V14" s="50"/>
      <c r="W14" s="50"/>
      <c r="X14" s="50"/>
      <c r="Y14" s="50"/>
      <c r="Z14" s="65" t="str">
        <f t="shared" si="0"/>
        <v>Очікую</v>
      </c>
      <c r="AA14" s="65" t="str">
        <f t="shared" si="1"/>
        <v>Очікую</v>
      </c>
      <c r="AB14" s="22"/>
      <c r="AC14" s="40"/>
    </row>
    <row r="15" spans="1:29" s="11" customFormat="1" ht="15" customHeight="1" x14ac:dyDescent="0.25">
      <c r="A15" s="41"/>
      <c r="B15" s="12"/>
      <c r="C15" s="48"/>
      <c r="D15" s="48">
        <v>6</v>
      </c>
      <c r="E15" s="49"/>
      <c r="F15" s="50"/>
      <c r="G15" s="50"/>
      <c r="H15" s="50"/>
      <c r="I15" s="50"/>
      <c r="J15" s="50"/>
      <c r="K15" s="50"/>
      <c r="L15" s="50"/>
      <c r="M15" s="50"/>
      <c r="N15" s="50"/>
      <c r="O15" s="50"/>
      <c r="P15" s="50"/>
      <c r="Q15" s="50"/>
      <c r="R15" s="50"/>
      <c r="S15" s="50"/>
      <c r="T15" s="50"/>
      <c r="U15" s="50"/>
      <c r="V15" s="50"/>
      <c r="W15" s="50"/>
      <c r="X15" s="50"/>
      <c r="Y15" s="50"/>
      <c r="Z15" s="65" t="str">
        <f t="shared" si="0"/>
        <v>Очікую</v>
      </c>
      <c r="AA15" s="65" t="str">
        <f t="shared" si="1"/>
        <v>Очікую</v>
      </c>
      <c r="AB15" s="22"/>
      <c r="AC15" s="40"/>
    </row>
    <row r="16" spans="1:29" s="11" customFormat="1" ht="15" customHeight="1" x14ac:dyDescent="0.25">
      <c r="A16" s="41"/>
      <c r="B16" s="12"/>
      <c r="C16" s="48"/>
      <c r="D16" s="48">
        <v>7</v>
      </c>
      <c r="E16" s="49"/>
      <c r="F16" s="50"/>
      <c r="G16" s="50"/>
      <c r="H16" s="50"/>
      <c r="I16" s="50"/>
      <c r="J16" s="50"/>
      <c r="K16" s="50"/>
      <c r="L16" s="50"/>
      <c r="M16" s="50"/>
      <c r="N16" s="50"/>
      <c r="O16" s="50"/>
      <c r="P16" s="50"/>
      <c r="Q16" s="50"/>
      <c r="R16" s="50"/>
      <c r="S16" s="50"/>
      <c r="T16" s="50"/>
      <c r="U16" s="50"/>
      <c r="V16" s="50"/>
      <c r="W16" s="50"/>
      <c r="X16" s="50"/>
      <c r="Y16" s="50"/>
      <c r="Z16" s="65" t="str">
        <f t="shared" si="0"/>
        <v>Очікую</v>
      </c>
      <c r="AA16" s="65" t="str">
        <f t="shared" si="1"/>
        <v>Очікую</v>
      </c>
      <c r="AB16" s="22"/>
      <c r="AC16" s="40"/>
    </row>
    <row r="17" spans="1:29" s="11" customFormat="1" ht="15" customHeight="1" x14ac:dyDescent="0.25">
      <c r="A17" s="41"/>
      <c r="B17" s="12"/>
      <c r="C17" s="48"/>
      <c r="D17" s="48">
        <v>8</v>
      </c>
      <c r="E17" s="49"/>
      <c r="F17" s="50"/>
      <c r="G17" s="50"/>
      <c r="H17" s="50"/>
      <c r="I17" s="50"/>
      <c r="J17" s="50"/>
      <c r="K17" s="50"/>
      <c r="L17" s="50"/>
      <c r="M17" s="50"/>
      <c r="N17" s="50"/>
      <c r="O17" s="50"/>
      <c r="P17" s="50"/>
      <c r="Q17" s="50"/>
      <c r="R17" s="50"/>
      <c r="S17" s="50"/>
      <c r="T17" s="50"/>
      <c r="U17" s="50"/>
      <c r="V17" s="50"/>
      <c r="W17" s="50"/>
      <c r="X17" s="50"/>
      <c r="Y17" s="50"/>
      <c r="Z17" s="65" t="str">
        <f t="shared" si="0"/>
        <v>Очікую</v>
      </c>
      <c r="AA17" s="65" t="str">
        <f t="shared" si="1"/>
        <v>Очікую</v>
      </c>
      <c r="AB17" s="22"/>
      <c r="AC17" s="40"/>
    </row>
    <row r="18" spans="1:29" s="11" customFormat="1" ht="15" customHeight="1" x14ac:dyDescent="0.25">
      <c r="A18" s="41"/>
      <c r="B18" s="12"/>
      <c r="C18" s="48"/>
      <c r="D18" s="48">
        <v>9</v>
      </c>
      <c r="E18" s="49"/>
      <c r="F18" s="50"/>
      <c r="G18" s="50"/>
      <c r="H18" s="50"/>
      <c r="I18" s="50"/>
      <c r="J18" s="50"/>
      <c r="K18" s="50"/>
      <c r="L18" s="50"/>
      <c r="M18" s="50"/>
      <c r="N18" s="50"/>
      <c r="O18" s="50"/>
      <c r="P18" s="50"/>
      <c r="Q18" s="50"/>
      <c r="R18" s="50"/>
      <c r="S18" s="50"/>
      <c r="T18" s="50"/>
      <c r="U18" s="50"/>
      <c r="V18" s="50"/>
      <c r="W18" s="50"/>
      <c r="X18" s="50"/>
      <c r="Y18" s="50"/>
      <c r="Z18" s="65" t="str">
        <f t="shared" si="0"/>
        <v>Очікую</v>
      </c>
      <c r="AA18" s="65" t="str">
        <f t="shared" si="1"/>
        <v>Очікую</v>
      </c>
      <c r="AB18" s="22"/>
      <c r="AC18" s="40"/>
    </row>
    <row r="19" spans="1:29" s="11" customFormat="1" ht="15" customHeight="1" x14ac:dyDescent="0.25">
      <c r="A19" s="41"/>
      <c r="B19" s="12"/>
      <c r="C19" s="48"/>
      <c r="D19" s="48">
        <v>10</v>
      </c>
      <c r="E19" s="49"/>
      <c r="F19" s="50"/>
      <c r="G19" s="50"/>
      <c r="H19" s="50"/>
      <c r="I19" s="50"/>
      <c r="J19" s="50"/>
      <c r="K19" s="50"/>
      <c r="L19" s="50"/>
      <c r="M19" s="50"/>
      <c r="N19" s="50"/>
      <c r="O19" s="50"/>
      <c r="P19" s="50"/>
      <c r="Q19" s="50"/>
      <c r="R19" s="50"/>
      <c r="S19" s="50"/>
      <c r="T19" s="50"/>
      <c r="U19" s="50"/>
      <c r="V19" s="50"/>
      <c r="W19" s="50"/>
      <c r="X19" s="50"/>
      <c r="Y19" s="50"/>
      <c r="Z19" s="65" t="str">
        <f t="shared" si="0"/>
        <v>Очікую</v>
      </c>
      <c r="AA19" s="65" t="str">
        <f t="shared" si="1"/>
        <v>Очікую</v>
      </c>
      <c r="AB19" s="22"/>
      <c r="AC19" s="40"/>
    </row>
    <row r="20" spans="1:29" s="11" customFormat="1" ht="15" customHeight="1" x14ac:dyDescent="0.25">
      <c r="A20" s="41"/>
      <c r="B20" s="12"/>
      <c r="C20" s="48"/>
      <c r="D20" s="48">
        <v>11</v>
      </c>
      <c r="E20" s="49"/>
      <c r="F20" s="50"/>
      <c r="G20" s="50"/>
      <c r="H20" s="50"/>
      <c r="I20" s="50"/>
      <c r="J20" s="50"/>
      <c r="K20" s="50"/>
      <c r="L20" s="50"/>
      <c r="M20" s="50"/>
      <c r="N20" s="50"/>
      <c r="O20" s="50"/>
      <c r="P20" s="50"/>
      <c r="Q20" s="50"/>
      <c r="R20" s="50"/>
      <c r="S20" s="50"/>
      <c r="T20" s="50"/>
      <c r="U20" s="50"/>
      <c r="V20" s="50"/>
      <c r="W20" s="50"/>
      <c r="X20" s="50"/>
      <c r="Y20" s="50"/>
      <c r="Z20" s="65" t="str">
        <f t="shared" si="0"/>
        <v>Очікую</v>
      </c>
      <c r="AA20" s="65" t="str">
        <f t="shared" si="1"/>
        <v>Очікую</v>
      </c>
      <c r="AB20" s="22"/>
      <c r="AC20" s="40"/>
    </row>
    <row r="21" spans="1:29" s="11" customFormat="1" ht="15" customHeight="1" x14ac:dyDescent="0.25">
      <c r="A21" s="41"/>
      <c r="B21" s="12"/>
      <c r="C21" s="48"/>
      <c r="D21" s="48">
        <v>12</v>
      </c>
      <c r="E21" s="49"/>
      <c r="F21" s="50"/>
      <c r="G21" s="50"/>
      <c r="H21" s="50"/>
      <c r="I21" s="50"/>
      <c r="J21" s="50"/>
      <c r="K21" s="50"/>
      <c r="L21" s="50"/>
      <c r="M21" s="50"/>
      <c r="N21" s="50"/>
      <c r="O21" s="50"/>
      <c r="P21" s="50"/>
      <c r="Q21" s="50"/>
      <c r="R21" s="50"/>
      <c r="S21" s="50"/>
      <c r="T21" s="50"/>
      <c r="U21" s="50"/>
      <c r="V21" s="50"/>
      <c r="W21" s="50"/>
      <c r="X21" s="50"/>
      <c r="Y21" s="50"/>
      <c r="Z21" s="65" t="str">
        <f t="shared" si="0"/>
        <v>Очікую</v>
      </c>
      <c r="AA21" s="65" t="str">
        <f t="shared" si="1"/>
        <v>Очікую</v>
      </c>
      <c r="AB21" s="22"/>
      <c r="AC21" s="40"/>
    </row>
    <row r="22" spans="1:29" s="11" customFormat="1" ht="15" customHeight="1" x14ac:dyDescent="0.25">
      <c r="A22" s="41"/>
      <c r="B22" s="12"/>
      <c r="C22" s="48"/>
      <c r="D22" s="48">
        <v>13</v>
      </c>
      <c r="E22" s="49"/>
      <c r="F22" s="50"/>
      <c r="G22" s="50"/>
      <c r="H22" s="50"/>
      <c r="I22" s="50"/>
      <c r="J22" s="50"/>
      <c r="K22" s="50"/>
      <c r="L22" s="50"/>
      <c r="M22" s="50"/>
      <c r="N22" s="50"/>
      <c r="O22" s="50"/>
      <c r="P22" s="50"/>
      <c r="Q22" s="50"/>
      <c r="R22" s="50"/>
      <c r="S22" s="50"/>
      <c r="T22" s="50"/>
      <c r="U22" s="50"/>
      <c r="V22" s="50"/>
      <c r="W22" s="50"/>
      <c r="X22" s="50"/>
      <c r="Y22" s="50"/>
      <c r="Z22" s="65" t="str">
        <f t="shared" si="0"/>
        <v>Очікую</v>
      </c>
      <c r="AA22" s="65" t="str">
        <f t="shared" si="1"/>
        <v>Очікую</v>
      </c>
      <c r="AB22" s="22"/>
      <c r="AC22" s="40"/>
    </row>
    <row r="23" spans="1:29" s="11" customFormat="1" ht="15" customHeight="1" x14ac:dyDescent="0.25">
      <c r="A23" s="41"/>
      <c r="B23" s="12"/>
      <c r="C23" s="48"/>
      <c r="D23" s="48">
        <v>14</v>
      </c>
      <c r="E23" s="49"/>
      <c r="F23" s="50"/>
      <c r="G23" s="50"/>
      <c r="H23" s="50"/>
      <c r="I23" s="50"/>
      <c r="J23" s="50"/>
      <c r="K23" s="50"/>
      <c r="L23" s="50"/>
      <c r="M23" s="50"/>
      <c r="N23" s="50"/>
      <c r="O23" s="50"/>
      <c r="P23" s="50"/>
      <c r="Q23" s="50"/>
      <c r="R23" s="50"/>
      <c r="S23" s="50"/>
      <c r="T23" s="50"/>
      <c r="U23" s="50"/>
      <c r="V23" s="50"/>
      <c r="W23" s="50"/>
      <c r="X23" s="50"/>
      <c r="Y23" s="50"/>
      <c r="Z23" s="65" t="str">
        <f t="shared" si="0"/>
        <v>Очікую</v>
      </c>
      <c r="AA23" s="65" t="str">
        <f t="shared" si="1"/>
        <v>Очікую</v>
      </c>
      <c r="AB23" s="22"/>
      <c r="AC23" s="40"/>
    </row>
    <row r="24" spans="1:29" s="11" customFormat="1" ht="15" customHeight="1" x14ac:dyDescent="0.25">
      <c r="A24" s="41"/>
      <c r="B24" s="12"/>
      <c r="C24" s="48"/>
      <c r="D24" s="48">
        <v>15</v>
      </c>
      <c r="E24" s="49"/>
      <c r="F24" s="50"/>
      <c r="G24" s="50"/>
      <c r="H24" s="50"/>
      <c r="I24" s="50"/>
      <c r="J24" s="50"/>
      <c r="K24" s="50"/>
      <c r="L24" s="50"/>
      <c r="M24" s="50"/>
      <c r="N24" s="50"/>
      <c r="O24" s="50"/>
      <c r="P24" s="50"/>
      <c r="Q24" s="50"/>
      <c r="R24" s="50"/>
      <c r="S24" s="50"/>
      <c r="T24" s="50"/>
      <c r="U24" s="50"/>
      <c r="V24" s="50"/>
      <c r="W24" s="50"/>
      <c r="X24" s="50"/>
      <c r="Y24" s="50"/>
      <c r="Z24" s="65" t="str">
        <f t="shared" si="0"/>
        <v>Очікую</v>
      </c>
      <c r="AA24" s="65" t="str">
        <f t="shared" si="1"/>
        <v>Очікую</v>
      </c>
      <c r="AB24" s="22"/>
      <c r="AC24" s="40"/>
    </row>
    <row r="25" spans="1:29" s="11" customFormat="1" ht="15" customHeight="1" x14ac:dyDescent="0.25">
      <c r="A25" s="41"/>
      <c r="B25" s="12"/>
      <c r="C25" s="48"/>
      <c r="D25" s="48">
        <v>16</v>
      </c>
      <c r="E25" s="49"/>
      <c r="F25" s="50"/>
      <c r="G25" s="50"/>
      <c r="H25" s="50"/>
      <c r="I25" s="50"/>
      <c r="J25" s="50"/>
      <c r="K25" s="50"/>
      <c r="L25" s="50"/>
      <c r="M25" s="50"/>
      <c r="N25" s="50"/>
      <c r="O25" s="50"/>
      <c r="P25" s="50"/>
      <c r="Q25" s="50"/>
      <c r="R25" s="50"/>
      <c r="S25" s="50"/>
      <c r="T25" s="50"/>
      <c r="U25" s="50"/>
      <c r="V25" s="50"/>
      <c r="W25" s="50"/>
      <c r="X25" s="50"/>
      <c r="Y25" s="50"/>
      <c r="Z25" s="65" t="str">
        <f t="shared" si="0"/>
        <v>Очікую</v>
      </c>
      <c r="AA25" s="65" t="str">
        <f t="shared" si="1"/>
        <v>Очікую</v>
      </c>
      <c r="AB25" s="22"/>
      <c r="AC25" s="40"/>
    </row>
    <row r="26" spans="1:29" s="11" customFormat="1" ht="15" customHeight="1" x14ac:dyDescent="0.25">
      <c r="A26" s="41"/>
      <c r="B26" s="12"/>
      <c r="C26" s="48"/>
      <c r="D26" s="48">
        <v>17</v>
      </c>
      <c r="E26" s="49"/>
      <c r="F26" s="50"/>
      <c r="G26" s="50"/>
      <c r="H26" s="50"/>
      <c r="I26" s="50"/>
      <c r="J26" s="50"/>
      <c r="K26" s="50"/>
      <c r="L26" s="50"/>
      <c r="M26" s="50"/>
      <c r="N26" s="50"/>
      <c r="O26" s="50"/>
      <c r="P26" s="50"/>
      <c r="Q26" s="50"/>
      <c r="R26" s="50"/>
      <c r="S26" s="50"/>
      <c r="T26" s="50"/>
      <c r="U26" s="50"/>
      <c r="V26" s="50"/>
      <c r="W26" s="50"/>
      <c r="X26" s="50"/>
      <c r="Y26" s="50"/>
      <c r="Z26" s="65" t="str">
        <f t="shared" si="0"/>
        <v>Очікую</v>
      </c>
      <c r="AA26" s="65" t="str">
        <f t="shared" si="1"/>
        <v>Очікую</v>
      </c>
      <c r="AB26" s="22"/>
      <c r="AC26" s="40"/>
    </row>
    <row r="27" spans="1:29" s="11" customFormat="1" ht="15" customHeight="1" x14ac:dyDescent="0.25">
      <c r="A27" s="41"/>
      <c r="B27" s="12"/>
      <c r="C27" s="48"/>
      <c r="D27" s="48">
        <v>18</v>
      </c>
      <c r="E27" s="49"/>
      <c r="F27" s="50"/>
      <c r="G27" s="50"/>
      <c r="H27" s="50"/>
      <c r="I27" s="50"/>
      <c r="J27" s="50"/>
      <c r="K27" s="50"/>
      <c r="L27" s="50"/>
      <c r="M27" s="50"/>
      <c r="N27" s="50"/>
      <c r="O27" s="50"/>
      <c r="P27" s="50"/>
      <c r="Q27" s="50"/>
      <c r="R27" s="50"/>
      <c r="S27" s="50"/>
      <c r="T27" s="50"/>
      <c r="U27" s="50"/>
      <c r="V27" s="50"/>
      <c r="W27" s="50"/>
      <c r="X27" s="50"/>
      <c r="Y27" s="50"/>
      <c r="Z27" s="65" t="str">
        <f t="shared" si="0"/>
        <v>Очікую</v>
      </c>
      <c r="AA27" s="65" t="str">
        <f t="shared" si="1"/>
        <v>Очікую</v>
      </c>
      <c r="AB27" s="22"/>
      <c r="AC27" s="40"/>
    </row>
    <row r="28" spans="1:29" s="11" customFormat="1" ht="15" customHeight="1" x14ac:dyDescent="0.25">
      <c r="A28" s="41"/>
      <c r="B28" s="12"/>
      <c r="C28" s="48"/>
      <c r="D28" s="48">
        <v>19</v>
      </c>
      <c r="E28" s="49"/>
      <c r="F28" s="50"/>
      <c r="G28" s="50"/>
      <c r="H28" s="50"/>
      <c r="I28" s="50"/>
      <c r="J28" s="50"/>
      <c r="K28" s="50"/>
      <c r="L28" s="50"/>
      <c r="M28" s="50"/>
      <c r="N28" s="50"/>
      <c r="O28" s="50"/>
      <c r="P28" s="50"/>
      <c r="Q28" s="50"/>
      <c r="R28" s="50"/>
      <c r="S28" s="50"/>
      <c r="T28" s="50"/>
      <c r="U28" s="50"/>
      <c r="V28" s="50"/>
      <c r="W28" s="50"/>
      <c r="X28" s="50"/>
      <c r="Y28" s="50"/>
      <c r="Z28" s="65" t="str">
        <f t="shared" si="0"/>
        <v>Очікую</v>
      </c>
      <c r="AA28" s="65" t="str">
        <f t="shared" si="1"/>
        <v>Очікую</v>
      </c>
      <c r="AB28" s="22"/>
      <c r="AC28" s="40"/>
    </row>
    <row r="29" spans="1:29" s="11" customFormat="1" ht="15" customHeight="1" x14ac:dyDescent="0.25">
      <c r="A29" s="41"/>
      <c r="B29" s="12"/>
      <c r="C29" s="48"/>
      <c r="D29" s="48">
        <v>20</v>
      </c>
      <c r="E29" s="49"/>
      <c r="F29" s="50"/>
      <c r="G29" s="50"/>
      <c r="H29" s="50"/>
      <c r="I29" s="50"/>
      <c r="J29" s="50"/>
      <c r="K29" s="50"/>
      <c r="L29" s="50"/>
      <c r="M29" s="50"/>
      <c r="N29" s="50"/>
      <c r="O29" s="50"/>
      <c r="P29" s="50"/>
      <c r="Q29" s="50"/>
      <c r="R29" s="50"/>
      <c r="S29" s="50"/>
      <c r="T29" s="50"/>
      <c r="U29" s="50"/>
      <c r="V29" s="50"/>
      <c r="W29" s="50"/>
      <c r="X29" s="50"/>
      <c r="Y29" s="50"/>
      <c r="Z29" s="65" t="str">
        <f t="shared" si="0"/>
        <v>Очікую</v>
      </c>
      <c r="AA29" s="65" t="str">
        <f t="shared" si="1"/>
        <v>Очікую</v>
      </c>
      <c r="AB29" s="22"/>
      <c r="AC29" s="40"/>
    </row>
    <row r="30" spans="1:29" s="11" customFormat="1" ht="15" customHeight="1" x14ac:dyDescent="0.25">
      <c r="A30" s="41"/>
      <c r="B30" s="12"/>
      <c r="C30" s="48"/>
      <c r="D30" s="48">
        <v>21</v>
      </c>
      <c r="E30" s="49"/>
      <c r="F30" s="50"/>
      <c r="G30" s="50"/>
      <c r="H30" s="50"/>
      <c r="I30" s="50"/>
      <c r="J30" s="50"/>
      <c r="K30" s="50"/>
      <c r="L30" s="50"/>
      <c r="M30" s="50"/>
      <c r="N30" s="50"/>
      <c r="O30" s="50"/>
      <c r="P30" s="50"/>
      <c r="Q30" s="50"/>
      <c r="R30" s="50"/>
      <c r="S30" s="50"/>
      <c r="T30" s="50"/>
      <c r="U30" s="50"/>
      <c r="V30" s="50"/>
      <c r="W30" s="50"/>
      <c r="X30" s="50"/>
      <c r="Y30" s="50"/>
      <c r="Z30" s="65" t="str">
        <f t="shared" si="0"/>
        <v>Очікую</v>
      </c>
      <c r="AA30" s="65" t="str">
        <f t="shared" si="1"/>
        <v>Очікую</v>
      </c>
      <c r="AB30" s="22"/>
      <c r="AC30" s="40"/>
    </row>
    <row r="31" spans="1:29" s="11" customFormat="1" ht="15" customHeight="1" x14ac:dyDescent="0.25">
      <c r="A31" s="41"/>
      <c r="B31" s="12"/>
      <c r="C31" s="48"/>
      <c r="D31" s="48">
        <v>22</v>
      </c>
      <c r="E31" s="49"/>
      <c r="F31" s="50"/>
      <c r="G31" s="50"/>
      <c r="H31" s="50"/>
      <c r="I31" s="50"/>
      <c r="J31" s="50"/>
      <c r="K31" s="50"/>
      <c r="L31" s="50"/>
      <c r="M31" s="50"/>
      <c r="N31" s="50"/>
      <c r="O31" s="50"/>
      <c r="P31" s="50"/>
      <c r="Q31" s="50"/>
      <c r="R31" s="50"/>
      <c r="S31" s="50"/>
      <c r="T31" s="50"/>
      <c r="U31" s="50"/>
      <c r="V31" s="50"/>
      <c r="W31" s="50"/>
      <c r="X31" s="50"/>
      <c r="Y31" s="50"/>
      <c r="Z31" s="65" t="str">
        <f t="shared" si="0"/>
        <v>Очікую</v>
      </c>
      <c r="AA31" s="65" t="str">
        <f t="shared" si="1"/>
        <v>Очікую</v>
      </c>
      <c r="AB31" s="22"/>
      <c r="AC31" s="40"/>
    </row>
    <row r="32" spans="1:29" s="11" customFormat="1" ht="15" customHeight="1" x14ac:dyDescent="0.25">
      <c r="A32" s="41"/>
      <c r="B32" s="12"/>
      <c r="C32" s="48"/>
      <c r="D32" s="48">
        <v>23</v>
      </c>
      <c r="E32" s="49"/>
      <c r="F32" s="50"/>
      <c r="G32" s="50"/>
      <c r="H32" s="50"/>
      <c r="I32" s="50"/>
      <c r="J32" s="50"/>
      <c r="K32" s="50"/>
      <c r="L32" s="50"/>
      <c r="M32" s="50"/>
      <c r="N32" s="50"/>
      <c r="O32" s="50"/>
      <c r="P32" s="50"/>
      <c r="Q32" s="50"/>
      <c r="R32" s="50"/>
      <c r="S32" s="50"/>
      <c r="T32" s="50"/>
      <c r="U32" s="50"/>
      <c r="V32" s="50"/>
      <c r="W32" s="50"/>
      <c r="X32" s="50"/>
      <c r="Y32" s="50"/>
      <c r="Z32" s="65" t="str">
        <f t="shared" si="0"/>
        <v>Очікую</v>
      </c>
      <c r="AA32" s="65" t="str">
        <f t="shared" si="1"/>
        <v>Очікую</v>
      </c>
      <c r="AB32" s="22"/>
      <c r="AC32" s="40"/>
    </row>
    <row r="33" spans="1:29" s="11" customFormat="1" ht="15" customHeight="1" x14ac:dyDescent="0.25">
      <c r="A33" s="41"/>
      <c r="B33" s="12"/>
      <c r="C33" s="48"/>
      <c r="D33" s="48">
        <v>24</v>
      </c>
      <c r="E33" s="49"/>
      <c r="F33" s="50"/>
      <c r="G33" s="50"/>
      <c r="H33" s="50"/>
      <c r="I33" s="50"/>
      <c r="J33" s="50"/>
      <c r="K33" s="50"/>
      <c r="L33" s="50"/>
      <c r="M33" s="50"/>
      <c r="N33" s="50"/>
      <c r="O33" s="50"/>
      <c r="P33" s="50"/>
      <c r="Q33" s="50"/>
      <c r="R33" s="50"/>
      <c r="S33" s="50"/>
      <c r="T33" s="50"/>
      <c r="U33" s="50"/>
      <c r="V33" s="50"/>
      <c r="W33" s="50"/>
      <c r="X33" s="50"/>
      <c r="Y33" s="50"/>
      <c r="Z33" s="65" t="str">
        <f t="shared" si="0"/>
        <v>Очікую</v>
      </c>
      <c r="AA33" s="65" t="str">
        <f t="shared" si="1"/>
        <v>Очікую</v>
      </c>
      <c r="AB33" s="22"/>
      <c r="AC33" s="40"/>
    </row>
    <row r="34" spans="1:29" s="11" customFormat="1" ht="15" customHeight="1" x14ac:dyDescent="0.25">
      <c r="A34" s="41"/>
      <c r="B34" s="12"/>
      <c r="C34" s="48"/>
      <c r="D34" s="48">
        <v>25</v>
      </c>
      <c r="E34" s="49"/>
      <c r="F34" s="50"/>
      <c r="G34" s="50"/>
      <c r="H34" s="50"/>
      <c r="I34" s="50"/>
      <c r="J34" s="50"/>
      <c r="K34" s="50"/>
      <c r="L34" s="50"/>
      <c r="M34" s="50"/>
      <c r="N34" s="50"/>
      <c r="O34" s="50"/>
      <c r="P34" s="50"/>
      <c r="Q34" s="50"/>
      <c r="R34" s="50"/>
      <c r="S34" s="50"/>
      <c r="T34" s="50"/>
      <c r="U34" s="50"/>
      <c r="V34" s="50"/>
      <c r="W34" s="50"/>
      <c r="X34" s="50"/>
      <c r="Y34" s="50"/>
      <c r="Z34" s="65" t="str">
        <f t="shared" si="0"/>
        <v>Очікую</v>
      </c>
      <c r="AA34" s="65" t="str">
        <f t="shared" si="1"/>
        <v>Очікую</v>
      </c>
      <c r="AB34" s="22"/>
      <c r="AC34" s="40"/>
    </row>
    <row r="35" spans="1:29" s="11" customFormat="1" ht="15" customHeight="1" x14ac:dyDescent="0.25">
      <c r="A35" s="41"/>
      <c r="B35" s="12"/>
      <c r="C35" s="48"/>
      <c r="D35" s="48">
        <v>26</v>
      </c>
      <c r="E35" s="49"/>
      <c r="F35" s="50"/>
      <c r="G35" s="50"/>
      <c r="H35" s="50"/>
      <c r="I35" s="50"/>
      <c r="J35" s="50"/>
      <c r="K35" s="50"/>
      <c r="L35" s="50"/>
      <c r="M35" s="50"/>
      <c r="N35" s="50"/>
      <c r="O35" s="50"/>
      <c r="P35" s="50"/>
      <c r="Q35" s="50"/>
      <c r="R35" s="50"/>
      <c r="S35" s="50"/>
      <c r="T35" s="50"/>
      <c r="U35" s="50"/>
      <c r="V35" s="50"/>
      <c r="W35" s="50"/>
      <c r="X35" s="50"/>
      <c r="Y35" s="50"/>
      <c r="Z35" s="65" t="str">
        <f t="shared" si="0"/>
        <v>Очікую</v>
      </c>
      <c r="AA35" s="65" t="str">
        <f t="shared" si="1"/>
        <v>Очікую</v>
      </c>
      <c r="AB35" s="22"/>
      <c r="AC35" s="40"/>
    </row>
    <row r="36" spans="1:29" s="11" customFormat="1" ht="15" customHeight="1" x14ac:dyDescent="0.25">
      <c r="A36" s="41"/>
      <c r="B36" s="12"/>
      <c r="C36" s="48"/>
      <c r="D36" s="48">
        <v>27</v>
      </c>
      <c r="E36" s="49"/>
      <c r="F36" s="50"/>
      <c r="G36" s="50"/>
      <c r="H36" s="50"/>
      <c r="I36" s="50"/>
      <c r="J36" s="50"/>
      <c r="K36" s="50"/>
      <c r="L36" s="50"/>
      <c r="M36" s="50"/>
      <c r="N36" s="50"/>
      <c r="O36" s="50"/>
      <c r="P36" s="50"/>
      <c r="Q36" s="50"/>
      <c r="R36" s="50"/>
      <c r="S36" s="50"/>
      <c r="T36" s="50"/>
      <c r="U36" s="50"/>
      <c r="V36" s="50"/>
      <c r="W36" s="50"/>
      <c r="X36" s="50"/>
      <c r="Y36" s="50"/>
      <c r="Z36" s="65" t="str">
        <f t="shared" si="0"/>
        <v>Очікую</v>
      </c>
      <c r="AA36" s="65" t="str">
        <f t="shared" si="1"/>
        <v>Очікую</v>
      </c>
      <c r="AB36" s="22"/>
      <c r="AC36" s="40"/>
    </row>
    <row r="37" spans="1:29" s="11" customFormat="1" ht="15" customHeight="1" x14ac:dyDescent="0.25">
      <c r="A37" s="41"/>
      <c r="B37" s="12"/>
      <c r="C37" s="48"/>
      <c r="D37" s="48">
        <v>28</v>
      </c>
      <c r="E37" s="49"/>
      <c r="F37" s="50"/>
      <c r="G37" s="50"/>
      <c r="H37" s="50"/>
      <c r="I37" s="50"/>
      <c r="J37" s="50"/>
      <c r="K37" s="50"/>
      <c r="L37" s="50"/>
      <c r="M37" s="50"/>
      <c r="N37" s="50"/>
      <c r="O37" s="50"/>
      <c r="P37" s="50"/>
      <c r="Q37" s="50"/>
      <c r="R37" s="50"/>
      <c r="S37" s="50"/>
      <c r="T37" s="50"/>
      <c r="U37" s="50"/>
      <c r="V37" s="50"/>
      <c r="W37" s="50"/>
      <c r="X37" s="50"/>
      <c r="Y37" s="50"/>
      <c r="Z37" s="65" t="str">
        <f t="shared" si="0"/>
        <v>Очікую</v>
      </c>
      <c r="AA37" s="65" t="str">
        <f t="shared" si="1"/>
        <v>Очікую</v>
      </c>
      <c r="AB37" s="22"/>
      <c r="AC37" s="40"/>
    </row>
    <row r="38" spans="1:29" s="11" customFormat="1" ht="15" customHeight="1" x14ac:dyDescent="0.25">
      <c r="A38" s="41"/>
      <c r="B38" s="12"/>
      <c r="C38" s="48"/>
      <c r="D38" s="48">
        <v>29</v>
      </c>
      <c r="E38" s="49"/>
      <c r="F38" s="50"/>
      <c r="G38" s="50"/>
      <c r="H38" s="50"/>
      <c r="I38" s="50"/>
      <c r="J38" s="50"/>
      <c r="K38" s="50"/>
      <c r="L38" s="50"/>
      <c r="M38" s="50"/>
      <c r="N38" s="50"/>
      <c r="O38" s="50"/>
      <c r="P38" s="50"/>
      <c r="Q38" s="50"/>
      <c r="R38" s="50"/>
      <c r="S38" s="50"/>
      <c r="T38" s="50"/>
      <c r="U38" s="50"/>
      <c r="V38" s="50"/>
      <c r="W38" s="50"/>
      <c r="X38" s="50"/>
      <c r="Y38" s="50"/>
      <c r="Z38" s="65" t="str">
        <f t="shared" si="0"/>
        <v>Очікую</v>
      </c>
      <c r="AA38" s="65" t="str">
        <f t="shared" si="1"/>
        <v>Очікую</v>
      </c>
      <c r="AB38" s="22"/>
      <c r="AC38" s="40"/>
    </row>
    <row r="39" spans="1:29" s="11" customFormat="1" ht="15" customHeight="1" x14ac:dyDescent="0.25">
      <c r="A39" s="41"/>
      <c r="B39" s="12"/>
      <c r="C39" s="48"/>
      <c r="D39" s="48">
        <v>30</v>
      </c>
      <c r="E39" s="49"/>
      <c r="F39" s="50"/>
      <c r="G39" s="50"/>
      <c r="H39" s="50"/>
      <c r="I39" s="50"/>
      <c r="J39" s="50"/>
      <c r="K39" s="50"/>
      <c r="L39" s="50"/>
      <c r="M39" s="50"/>
      <c r="N39" s="50"/>
      <c r="O39" s="50"/>
      <c r="P39" s="50"/>
      <c r="Q39" s="50"/>
      <c r="R39" s="50"/>
      <c r="S39" s="50"/>
      <c r="T39" s="50"/>
      <c r="U39" s="50"/>
      <c r="V39" s="50"/>
      <c r="W39" s="50"/>
      <c r="X39" s="50"/>
      <c r="Y39" s="50"/>
      <c r="Z39" s="65" t="str">
        <f t="shared" si="0"/>
        <v>Очікую</v>
      </c>
      <c r="AA39" s="65" t="str">
        <f t="shared" si="1"/>
        <v>Очікую</v>
      </c>
      <c r="AB39" s="22"/>
      <c r="AC39" s="40"/>
    </row>
    <row r="40" spans="1:29" s="11" customFormat="1" ht="15" customHeight="1" x14ac:dyDescent="0.25">
      <c r="A40" s="41"/>
      <c r="B40" s="12"/>
      <c r="C40" s="48"/>
      <c r="D40" s="48">
        <v>31</v>
      </c>
      <c r="E40" s="49"/>
      <c r="F40" s="50"/>
      <c r="G40" s="50"/>
      <c r="H40" s="50"/>
      <c r="I40" s="50"/>
      <c r="J40" s="50"/>
      <c r="K40" s="50"/>
      <c r="L40" s="50"/>
      <c r="M40" s="50"/>
      <c r="N40" s="50"/>
      <c r="O40" s="50"/>
      <c r="P40" s="50"/>
      <c r="Q40" s="50"/>
      <c r="R40" s="50"/>
      <c r="S40" s="50"/>
      <c r="T40" s="50"/>
      <c r="U40" s="50"/>
      <c r="V40" s="50"/>
      <c r="W40" s="50"/>
      <c r="X40" s="50"/>
      <c r="Y40" s="50"/>
      <c r="Z40" s="65" t="str">
        <f t="shared" si="0"/>
        <v>Очікую</v>
      </c>
      <c r="AA40" s="65" t="str">
        <f t="shared" si="1"/>
        <v>Очікую</v>
      </c>
      <c r="AB40" s="22"/>
      <c r="AC40" s="40"/>
    </row>
    <row r="41" spans="1:29" s="11" customFormat="1" ht="15" customHeight="1" x14ac:dyDescent="0.25">
      <c r="A41" s="41"/>
      <c r="B41" s="12"/>
      <c r="C41" s="48"/>
      <c r="D41" s="48">
        <v>32</v>
      </c>
      <c r="E41" s="49"/>
      <c r="F41" s="50"/>
      <c r="G41" s="50"/>
      <c r="H41" s="50"/>
      <c r="I41" s="50"/>
      <c r="J41" s="50"/>
      <c r="K41" s="50"/>
      <c r="L41" s="50"/>
      <c r="M41" s="50"/>
      <c r="N41" s="50"/>
      <c r="O41" s="50"/>
      <c r="P41" s="50"/>
      <c r="Q41" s="50"/>
      <c r="R41" s="50"/>
      <c r="S41" s="50"/>
      <c r="T41" s="50"/>
      <c r="U41" s="50"/>
      <c r="V41" s="50"/>
      <c r="W41" s="50"/>
      <c r="X41" s="50"/>
      <c r="Y41" s="50"/>
      <c r="Z41" s="65" t="str">
        <f t="shared" si="0"/>
        <v>Очікую</v>
      </c>
      <c r="AA41" s="65" t="str">
        <f t="shared" si="1"/>
        <v>Очікую</v>
      </c>
      <c r="AB41" s="22"/>
      <c r="AC41" s="40"/>
    </row>
    <row r="42" spans="1:29" s="11" customFormat="1" ht="15" customHeight="1" x14ac:dyDescent="0.25">
      <c r="A42" s="41"/>
      <c r="B42" s="12"/>
      <c r="C42" s="48"/>
      <c r="D42" s="48">
        <v>33</v>
      </c>
      <c r="E42" s="49"/>
      <c r="F42" s="50"/>
      <c r="G42" s="50"/>
      <c r="H42" s="50"/>
      <c r="I42" s="50"/>
      <c r="J42" s="50"/>
      <c r="K42" s="50"/>
      <c r="L42" s="50"/>
      <c r="M42" s="50"/>
      <c r="N42" s="50"/>
      <c r="O42" s="50"/>
      <c r="P42" s="50"/>
      <c r="Q42" s="50"/>
      <c r="R42" s="50"/>
      <c r="S42" s="50"/>
      <c r="T42" s="50"/>
      <c r="U42" s="50"/>
      <c r="V42" s="50"/>
      <c r="W42" s="50"/>
      <c r="X42" s="50"/>
      <c r="Y42" s="50"/>
      <c r="Z42" s="65" t="str">
        <f t="shared" si="0"/>
        <v>Очікую</v>
      </c>
      <c r="AA42" s="65" t="str">
        <f t="shared" si="1"/>
        <v>Очікую</v>
      </c>
      <c r="AB42" s="22"/>
      <c r="AC42" s="40"/>
    </row>
    <row r="43" spans="1:29" s="11" customFormat="1" ht="15" customHeight="1" x14ac:dyDescent="0.25">
      <c r="A43" s="41"/>
      <c r="B43" s="12"/>
      <c r="C43" s="48"/>
      <c r="D43" s="48">
        <v>34</v>
      </c>
      <c r="E43" s="49"/>
      <c r="F43" s="50"/>
      <c r="G43" s="50"/>
      <c r="H43" s="50"/>
      <c r="I43" s="50"/>
      <c r="J43" s="50"/>
      <c r="K43" s="50"/>
      <c r="L43" s="50"/>
      <c r="M43" s="50"/>
      <c r="N43" s="50"/>
      <c r="O43" s="50"/>
      <c r="P43" s="50"/>
      <c r="Q43" s="50"/>
      <c r="R43" s="50"/>
      <c r="S43" s="50"/>
      <c r="T43" s="50"/>
      <c r="U43" s="50"/>
      <c r="V43" s="50"/>
      <c r="W43" s="50"/>
      <c r="X43" s="50"/>
      <c r="Y43" s="50"/>
      <c r="Z43" s="65" t="str">
        <f t="shared" si="0"/>
        <v>Очікую</v>
      </c>
      <c r="AA43" s="65" t="str">
        <f t="shared" si="1"/>
        <v>Очікую</v>
      </c>
      <c r="AB43" s="22"/>
      <c r="AC43" s="40"/>
    </row>
    <row r="44" spans="1:29" s="11" customFormat="1" ht="15" customHeight="1" x14ac:dyDescent="0.25">
      <c r="A44" s="41"/>
      <c r="B44" s="12"/>
      <c r="C44" s="48"/>
      <c r="D44" s="48">
        <v>35</v>
      </c>
      <c r="E44" s="49"/>
      <c r="F44" s="50"/>
      <c r="G44" s="50"/>
      <c r="H44" s="50"/>
      <c r="I44" s="50"/>
      <c r="J44" s="50"/>
      <c r="K44" s="50"/>
      <c r="L44" s="50"/>
      <c r="M44" s="50"/>
      <c r="N44" s="50"/>
      <c r="O44" s="50"/>
      <c r="P44" s="50"/>
      <c r="Q44" s="50"/>
      <c r="R44" s="50"/>
      <c r="S44" s="50"/>
      <c r="T44" s="50"/>
      <c r="U44" s="50"/>
      <c r="V44" s="50"/>
      <c r="W44" s="50"/>
      <c r="X44" s="50"/>
      <c r="Y44" s="50"/>
      <c r="Z44" s="65" t="str">
        <f t="shared" si="0"/>
        <v>Очікую</v>
      </c>
      <c r="AA44" s="65" t="str">
        <f t="shared" si="1"/>
        <v>Очікую</v>
      </c>
      <c r="AB44" s="22"/>
      <c r="AC44" s="40"/>
    </row>
    <row r="45" spans="1:29" s="11" customFormat="1" ht="15" customHeight="1" x14ac:dyDescent="0.25">
      <c r="A45" s="41"/>
      <c r="B45" s="12"/>
      <c r="C45" s="48"/>
      <c r="D45" s="48">
        <v>36</v>
      </c>
      <c r="E45" s="49"/>
      <c r="F45" s="50"/>
      <c r="G45" s="50"/>
      <c r="H45" s="50"/>
      <c r="I45" s="50"/>
      <c r="J45" s="50"/>
      <c r="K45" s="50"/>
      <c r="L45" s="50"/>
      <c r="M45" s="50"/>
      <c r="N45" s="50"/>
      <c r="O45" s="50"/>
      <c r="P45" s="50"/>
      <c r="Q45" s="50"/>
      <c r="R45" s="50"/>
      <c r="S45" s="50"/>
      <c r="T45" s="50"/>
      <c r="U45" s="50"/>
      <c r="V45" s="50"/>
      <c r="W45" s="50"/>
      <c r="X45" s="50"/>
      <c r="Y45" s="50"/>
      <c r="Z45" s="65" t="str">
        <f t="shared" si="0"/>
        <v>Очікую</v>
      </c>
      <c r="AA45" s="65" t="str">
        <f t="shared" si="1"/>
        <v>Очікую</v>
      </c>
      <c r="AB45" s="22"/>
      <c r="AC45" s="40"/>
    </row>
    <row r="46" spans="1:29" s="11" customFormat="1" ht="15" customHeight="1" x14ac:dyDescent="0.25">
      <c r="A46" s="41"/>
      <c r="B46" s="12"/>
      <c r="C46" s="48"/>
      <c r="D46" s="48">
        <v>37</v>
      </c>
      <c r="E46" s="49"/>
      <c r="F46" s="50"/>
      <c r="G46" s="50"/>
      <c r="H46" s="50"/>
      <c r="I46" s="50"/>
      <c r="J46" s="50"/>
      <c r="K46" s="50"/>
      <c r="L46" s="50"/>
      <c r="M46" s="50"/>
      <c r="N46" s="50"/>
      <c r="O46" s="50"/>
      <c r="P46" s="50"/>
      <c r="Q46" s="50"/>
      <c r="R46" s="50"/>
      <c r="S46" s="50"/>
      <c r="T46" s="50"/>
      <c r="U46" s="50"/>
      <c r="V46" s="50"/>
      <c r="W46" s="50"/>
      <c r="X46" s="50"/>
      <c r="Y46" s="50"/>
      <c r="Z46" s="65" t="str">
        <f t="shared" si="0"/>
        <v>Очікую</v>
      </c>
      <c r="AA46" s="65" t="str">
        <f t="shared" si="1"/>
        <v>Очікую</v>
      </c>
      <c r="AB46" s="22"/>
      <c r="AC46" s="40"/>
    </row>
    <row r="47" spans="1:29" s="11" customFormat="1" ht="15" customHeight="1" x14ac:dyDescent="0.25">
      <c r="A47" s="41"/>
      <c r="B47" s="12"/>
      <c r="C47" s="48"/>
      <c r="D47" s="48">
        <v>38</v>
      </c>
      <c r="E47" s="49"/>
      <c r="F47" s="50"/>
      <c r="G47" s="50"/>
      <c r="H47" s="50"/>
      <c r="I47" s="50"/>
      <c r="J47" s="50"/>
      <c r="K47" s="50"/>
      <c r="L47" s="50"/>
      <c r="M47" s="50"/>
      <c r="N47" s="50"/>
      <c r="O47" s="50"/>
      <c r="P47" s="50"/>
      <c r="Q47" s="50"/>
      <c r="R47" s="50"/>
      <c r="S47" s="50"/>
      <c r="T47" s="50"/>
      <c r="U47" s="50"/>
      <c r="V47" s="50"/>
      <c r="W47" s="50"/>
      <c r="X47" s="50"/>
      <c r="Y47" s="50"/>
      <c r="Z47" s="65" t="str">
        <f t="shared" si="0"/>
        <v>Очікую</v>
      </c>
      <c r="AA47" s="65" t="str">
        <f t="shared" si="1"/>
        <v>Очікую</v>
      </c>
      <c r="AB47" s="22"/>
      <c r="AC47" s="40"/>
    </row>
    <row r="48" spans="1:29" s="11" customFormat="1" ht="15" customHeight="1" x14ac:dyDescent="0.25">
      <c r="A48" s="41"/>
      <c r="B48" s="12"/>
      <c r="C48" s="48"/>
      <c r="D48" s="48">
        <v>39</v>
      </c>
      <c r="E48" s="49"/>
      <c r="F48" s="50"/>
      <c r="G48" s="50"/>
      <c r="H48" s="50"/>
      <c r="I48" s="50"/>
      <c r="J48" s="50"/>
      <c r="K48" s="50"/>
      <c r="L48" s="50"/>
      <c r="M48" s="50"/>
      <c r="N48" s="50"/>
      <c r="O48" s="50"/>
      <c r="P48" s="50"/>
      <c r="Q48" s="50"/>
      <c r="R48" s="50"/>
      <c r="S48" s="50"/>
      <c r="T48" s="50"/>
      <c r="U48" s="50"/>
      <c r="V48" s="50"/>
      <c r="W48" s="50"/>
      <c r="X48" s="50"/>
      <c r="Y48" s="50"/>
      <c r="Z48" s="65" t="str">
        <f t="shared" si="0"/>
        <v>Очікую</v>
      </c>
      <c r="AA48" s="65" t="str">
        <f t="shared" si="1"/>
        <v>Очікую</v>
      </c>
      <c r="AB48" s="22"/>
      <c r="AC48" s="40"/>
    </row>
    <row r="49" spans="1:29" s="11" customFormat="1" ht="15" customHeight="1" x14ac:dyDescent="0.25">
      <c r="A49" s="41"/>
      <c r="B49" s="12"/>
      <c r="C49" s="48"/>
      <c r="D49" s="48">
        <v>40</v>
      </c>
      <c r="E49" s="49"/>
      <c r="F49" s="50"/>
      <c r="G49" s="50"/>
      <c r="H49" s="50"/>
      <c r="I49" s="50"/>
      <c r="J49" s="50"/>
      <c r="K49" s="50"/>
      <c r="L49" s="50"/>
      <c r="M49" s="50"/>
      <c r="N49" s="50"/>
      <c r="O49" s="50"/>
      <c r="P49" s="50"/>
      <c r="Q49" s="50"/>
      <c r="R49" s="50"/>
      <c r="S49" s="50"/>
      <c r="T49" s="50"/>
      <c r="U49" s="50"/>
      <c r="V49" s="50"/>
      <c r="W49" s="50"/>
      <c r="X49" s="50"/>
      <c r="Y49" s="50"/>
      <c r="Z49" s="65" t="str">
        <f t="shared" si="0"/>
        <v>Очікую</v>
      </c>
      <c r="AA49" s="65" t="str">
        <f t="shared" si="1"/>
        <v>Очікую</v>
      </c>
      <c r="AB49" s="22"/>
      <c r="AC49" s="40"/>
    </row>
    <row r="50" spans="1:29" s="11" customFormat="1" ht="15" customHeight="1" x14ac:dyDescent="0.25">
      <c r="A50" s="41"/>
      <c r="B50" s="12"/>
      <c r="C50" s="48"/>
      <c r="D50" s="48">
        <v>41</v>
      </c>
      <c r="E50" s="49"/>
      <c r="F50" s="50"/>
      <c r="G50" s="50"/>
      <c r="H50" s="50"/>
      <c r="I50" s="50"/>
      <c r="J50" s="50"/>
      <c r="K50" s="50"/>
      <c r="L50" s="50"/>
      <c r="M50" s="50"/>
      <c r="N50" s="50"/>
      <c r="O50" s="50"/>
      <c r="P50" s="50"/>
      <c r="Q50" s="50"/>
      <c r="R50" s="50"/>
      <c r="S50" s="50"/>
      <c r="T50" s="50"/>
      <c r="U50" s="50"/>
      <c r="V50" s="50"/>
      <c r="W50" s="50"/>
      <c r="X50" s="50"/>
      <c r="Y50" s="50"/>
      <c r="Z50" s="65" t="str">
        <f t="shared" si="0"/>
        <v>Очікую</v>
      </c>
      <c r="AA50" s="65" t="str">
        <f t="shared" si="1"/>
        <v>Очікую</v>
      </c>
      <c r="AB50" s="22"/>
      <c r="AC50" s="40"/>
    </row>
    <row r="51" spans="1:29" s="11" customFormat="1" ht="15" customHeight="1" x14ac:dyDescent="0.25">
      <c r="A51" s="41"/>
      <c r="B51" s="12"/>
      <c r="C51" s="48"/>
      <c r="D51" s="48">
        <v>42</v>
      </c>
      <c r="E51" s="49"/>
      <c r="F51" s="50"/>
      <c r="G51" s="50"/>
      <c r="H51" s="50"/>
      <c r="I51" s="50"/>
      <c r="J51" s="50"/>
      <c r="K51" s="50"/>
      <c r="L51" s="50"/>
      <c r="M51" s="50"/>
      <c r="N51" s="50"/>
      <c r="O51" s="50"/>
      <c r="P51" s="50"/>
      <c r="Q51" s="50"/>
      <c r="R51" s="50"/>
      <c r="S51" s="50"/>
      <c r="T51" s="50"/>
      <c r="U51" s="50"/>
      <c r="V51" s="50"/>
      <c r="W51" s="50"/>
      <c r="X51" s="50"/>
      <c r="Y51" s="50"/>
      <c r="Z51" s="65" t="str">
        <f t="shared" si="0"/>
        <v>Очікую</v>
      </c>
      <c r="AA51" s="65" t="str">
        <f t="shared" si="1"/>
        <v>Очікую</v>
      </c>
      <c r="AB51" s="22"/>
      <c r="AC51" s="40"/>
    </row>
    <row r="52" spans="1:29" s="11" customFormat="1" ht="15" customHeight="1" x14ac:dyDescent="0.25">
      <c r="A52" s="41"/>
      <c r="B52" s="12"/>
      <c r="C52" s="48"/>
      <c r="D52" s="48">
        <v>43</v>
      </c>
      <c r="E52" s="49"/>
      <c r="F52" s="50"/>
      <c r="G52" s="50"/>
      <c r="H52" s="50"/>
      <c r="I52" s="50"/>
      <c r="J52" s="50"/>
      <c r="K52" s="50"/>
      <c r="L52" s="50"/>
      <c r="M52" s="50"/>
      <c r="N52" s="50"/>
      <c r="O52" s="50"/>
      <c r="P52" s="50"/>
      <c r="Q52" s="50"/>
      <c r="R52" s="50"/>
      <c r="S52" s="50"/>
      <c r="T52" s="50"/>
      <c r="U52" s="50"/>
      <c r="V52" s="50"/>
      <c r="W52" s="50"/>
      <c r="X52" s="50"/>
      <c r="Y52" s="50"/>
      <c r="Z52" s="65" t="str">
        <f t="shared" si="0"/>
        <v>Очікую</v>
      </c>
      <c r="AA52" s="65" t="str">
        <f t="shared" si="1"/>
        <v>Очікую</v>
      </c>
      <c r="AB52" s="22"/>
      <c r="AC52" s="40"/>
    </row>
    <row r="53" spans="1:29" s="11" customFormat="1" ht="15" customHeight="1" x14ac:dyDescent="0.25">
      <c r="A53" s="41"/>
      <c r="B53" s="12"/>
      <c r="C53" s="48"/>
      <c r="D53" s="48">
        <v>44</v>
      </c>
      <c r="E53" s="49"/>
      <c r="F53" s="50"/>
      <c r="G53" s="50"/>
      <c r="H53" s="50"/>
      <c r="I53" s="50"/>
      <c r="J53" s="50"/>
      <c r="K53" s="50"/>
      <c r="L53" s="50"/>
      <c r="M53" s="50"/>
      <c r="N53" s="50"/>
      <c r="O53" s="50"/>
      <c r="P53" s="50"/>
      <c r="Q53" s="50"/>
      <c r="R53" s="50"/>
      <c r="S53" s="50"/>
      <c r="T53" s="50"/>
      <c r="U53" s="50"/>
      <c r="V53" s="50"/>
      <c r="W53" s="50"/>
      <c r="X53" s="50"/>
      <c r="Y53" s="50"/>
      <c r="Z53" s="65" t="str">
        <f t="shared" si="0"/>
        <v>Очікую</v>
      </c>
      <c r="AA53" s="65" t="str">
        <f t="shared" si="1"/>
        <v>Очікую</v>
      </c>
      <c r="AB53" s="22"/>
      <c r="AC53" s="40"/>
    </row>
    <row r="54" spans="1:29" s="11" customFormat="1" ht="15" customHeight="1" x14ac:dyDescent="0.25">
      <c r="A54" s="41"/>
      <c r="B54" s="12"/>
      <c r="C54" s="48"/>
      <c r="D54" s="48">
        <v>45</v>
      </c>
      <c r="E54" s="49"/>
      <c r="F54" s="50"/>
      <c r="G54" s="50"/>
      <c r="H54" s="50"/>
      <c r="I54" s="50"/>
      <c r="J54" s="50"/>
      <c r="K54" s="50"/>
      <c r="L54" s="50"/>
      <c r="M54" s="50"/>
      <c r="N54" s="50"/>
      <c r="O54" s="50"/>
      <c r="P54" s="50"/>
      <c r="Q54" s="50"/>
      <c r="R54" s="50"/>
      <c r="S54" s="50"/>
      <c r="T54" s="50"/>
      <c r="U54" s="50"/>
      <c r="V54" s="50"/>
      <c r="W54" s="50"/>
      <c r="X54" s="50"/>
      <c r="Y54" s="50"/>
      <c r="Z54" s="65" t="str">
        <f t="shared" si="0"/>
        <v>Очікую</v>
      </c>
      <c r="AA54" s="65" t="str">
        <f t="shared" si="1"/>
        <v>Очікую</v>
      </c>
      <c r="AB54" s="22"/>
      <c r="AC54" s="40"/>
    </row>
    <row r="55" spans="1:29" s="11" customFormat="1" ht="15" customHeight="1" x14ac:dyDescent="0.25">
      <c r="A55" s="41"/>
      <c r="B55" s="12"/>
      <c r="C55" s="48"/>
      <c r="D55" s="48">
        <v>46</v>
      </c>
      <c r="E55" s="49"/>
      <c r="F55" s="50"/>
      <c r="G55" s="50"/>
      <c r="H55" s="50"/>
      <c r="I55" s="50"/>
      <c r="J55" s="50"/>
      <c r="K55" s="50"/>
      <c r="L55" s="50"/>
      <c r="M55" s="50"/>
      <c r="N55" s="50"/>
      <c r="O55" s="50"/>
      <c r="P55" s="50"/>
      <c r="Q55" s="50"/>
      <c r="R55" s="50"/>
      <c r="S55" s="50"/>
      <c r="T55" s="50"/>
      <c r="U55" s="50"/>
      <c r="V55" s="50"/>
      <c r="W55" s="50"/>
      <c r="X55" s="50"/>
      <c r="Y55" s="50"/>
      <c r="Z55" s="65" t="str">
        <f t="shared" si="0"/>
        <v>Очікую</v>
      </c>
      <c r="AA55" s="65" t="str">
        <f t="shared" si="1"/>
        <v>Очікую</v>
      </c>
      <c r="AB55" s="22"/>
      <c r="AC55" s="40"/>
    </row>
    <row r="56" spans="1:29" s="11" customFormat="1" ht="15" customHeight="1" x14ac:dyDescent="0.25">
      <c r="A56" s="41"/>
      <c r="B56" s="12"/>
      <c r="C56" s="48"/>
      <c r="D56" s="48">
        <v>47</v>
      </c>
      <c r="E56" s="49"/>
      <c r="F56" s="50"/>
      <c r="G56" s="50"/>
      <c r="H56" s="50"/>
      <c r="I56" s="50"/>
      <c r="J56" s="50"/>
      <c r="K56" s="50"/>
      <c r="L56" s="50"/>
      <c r="M56" s="50"/>
      <c r="N56" s="50"/>
      <c r="O56" s="50"/>
      <c r="P56" s="50"/>
      <c r="Q56" s="50"/>
      <c r="R56" s="50"/>
      <c r="S56" s="50"/>
      <c r="T56" s="50"/>
      <c r="U56" s="50"/>
      <c r="V56" s="50"/>
      <c r="W56" s="50"/>
      <c r="X56" s="50"/>
      <c r="Y56" s="50"/>
      <c r="Z56" s="65" t="str">
        <f t="shared" si="0"/>
        <v>Очікую</v>
      </c>
      <c r="AA56" s="65" t="str">
        <f t="shared" si="1"/>
        <v>Очікую</v>
      </c>
      <c r="AB56" s="22"/>
      <c r="AC56" s="40"/>
    </row>
    <row r="57" spans="1:29" s="11" customFormat="1" ht="15" customHeight="1" x14ac:dyDescent="0.25">
      <c r="A57" s="41"/>
      <c r="B57" s="12"/>
      <c r="C57" s="48"/>
      <c r="D57" s="48">
        <v>48</v>
      </c>
      <c r="E57" s="49"/>
      <c r="F57" s="50"/>
      <c r="G57" s="50"/>
      <c r="H57" s="50"/>
      <c r="I57" s="50"/>
      <c r="J57" s="50"/>
      <c r="K57" s="50"/>
      <c r="L57" s="50"/>
      <c r="M57" s="50"/>
      <c r="N57" s="50"/>
      <c r="O57" s="50"/>
      <c r="P57" s="50"/>
      <c r="Q57" s="50"/>
      <c r="R57" s="50"/>
      <c r="S57" s="50"/>
      <c r="T57" s="50"/>
      <c r="U57" s="50"/>
      <c r="V57" s="50"/>
      <c r="W57" s="50"/>
      <c r="X57" s="50"/>
      <c r="Y57" s="50"/>
      <c r="Z57" s="65" t="str">
        <f t="shared" si="0"/>
        <v>Очікую</v>
      </c>
      <c r="AA57" s="65" t="str">
        <f t="shared" si="1"/>
        <v>Очікую</v>
      </c>
      <c r="AB57" s="22"/>
      <c r="AC57" s="40"/>
    </row>
    <row r="58" spans="1:29" s="11" customFormat="1" ht="15" customHeight="1" x14ac:dyDescent="0.25">
      <c r="A58" s="41"/>
      <c r="B58" s="12"/>
      <c r="C58" s="48"/>
      <c r="D58" s="48">
        <v>49</v>
      </c>
      <c r="E58" s="49"/>
      <c r="F58" s="50"/>
      <c r="G58" s="50"/>
      <c r="H58" s="50"/>
      <c r="I58" s="50"/>
      <c r="J58" s="50"/>
      <c r="K58" s="50"/>
      <c r="L58" s="50"/>
      <c r="M58" s="50"/>
      <c r="N58" s="50"/>
      <c r="O58" s="50"/>
      <c r="P58" s="50"/>
      <c r="Q58" s="50"/>
      <c r="R58" s="50"/>
      <c r="S58" s="50"/>
      <c r="T58" s="50"/>
      <c r="U58" s="50"/>
      <c r="V58" s="50"/>
      <c r="W58" s="50"/>
      <c r="X58" s="50"/>
      <c r="Y58" s="50"/>
      <c r="Z58" s="65" t="str">
        <f t="shared" si="0"/>
        <v>Очікую</v>
      </c>
      <c r="AA58" s="65" t="str">
        <f t="shared" si="1"/>
        <v>Очікую</v>
      </c>
      <c r="AB58" s="22"/>
      <c r="AC58" s="40"/>
    </row>
    <row r="59" spans="1:29" s="11" customFormat="1" ht="15" customHeight="1" x14ac:dyDescent="0.25">
      <c r="A59" s="41"/>
      <c r="B59" s="12"/>
      <c r="C59" s="48"/>
      <c r="D59" s="48">
        <v>50</v>
      </c>
      <c r="E59" s="49"/>
      <c r="F59" s="50"/>
      <c r="G59" s="50"/>
      <c r="H59" s="50"/>
      <c r="I59" s="50"/>
      <c r="J59" s="50"/>
      <c r="K59" s="50"/>
      <c r="L59" s="50"/>
      <c r="M59" s="50"/>
      <c r="N59" s="50"/>
      <c r="O59" s="50"/>
      <c r="P59" s="50"/>
      <c r="Q59" s="50"/>
      <c r="R59" s="50"/>
      <c r="S59" s="50"/>
      <c r="T59" s="50"/>
      <c r="U59" s="50"/>
      <c r="V59" s="50"/>
      <c r="W59" s="50"/>
      <c r="X59" s="50"/>
      <c r="Y59" s="50"/>
      <c r="Z59" s="65" t="str">
        <f t="shared" si="0"/>
        <v>Очікую</v>
      </c>
      <c r="AA59" s="65" t="str">
        <f t="shared" si="1"/>
        <v>Очікую</v>
      </c>
      <c r="AB59" s="22"/>
      <c r="AC59" s="40"/>
    </row>
    <row r="60" spans="1:29" s="11" customFormat="1" ht="15" customHeight="1" x14ac:dyDescent="0.25">
      <c r="A60" s="41"/>
      <c r="B60" s="12"/>
      <c r="C60" s="48"/>
      <c r="D60" s="48">
        <v>51</v>
      </c>
      <c r="E60" s="49"/>
      <c r="F60" s="50"/>
      <c r="G60" s="50"/>
      <c r="H60" s="50"/>
      <c r="I60" s="50"/>
      <c r="J60" s="50"/>
      <c r="K60" s="50"/>
      <c r="L60" s="50"/>
      <c r="M60" s="50"/>
      <c r="N60" s="50"/>
      <c r="O60" s="50"/>
      <c r="P60" s="50"/>
      <c r="Q60" s="50"/>
      <c r="R60" s="50"/>
      <c r="S60" s="50"/>
      <c r="T60" s="50"/>
      <c r="U60" s="50"/>
      <c r="V60" s="50"/>
      <c r="W60" s="50"/>
      <c r="X60" s="50"/>
      <c r="Y60" s="50"/>
      <c r="Z60" s="65" t="str">
        <f t="shared" si="0"/>
        <v>Очікую</v>
      </c>
      <c r="AA60" s="65" t="str">
        <f t="shared" si="1"/>
        <v>Очікую</v>
      </c>
      <c r="AB60" s="22"/>
      <c r="AC60" s="40"/>
    </row>
    <row r="61" spans="1:29" s="11" customFormat="1" ht="15" customHeight="1" x14ac:dyDescent="0.25">
      <c r="A61" s="41"/>
      <c r="B61" s="12"/>
      <c r="C61" s="48"/>
      <c r="D61" s="48">
        <v>52</v>
      </c>
      <c r="E61" s="49"/>
      <c r="F61" s="50"/>
      <c r="G61" s="50"/>
      <c r="H61" s="50"/>
      <c r="I61" s="50"/>
      <c r="J61" s="50"/>
      <c r="K61" s="50"/>
      <c r="L61" s="50"/>
      <c r="M61" s="50"/>
      <c r="N61" s="50"/>
      <c r="O61" s="50"/>
      <c r="P61" s="50"/>
      <c r="Q61" s="50"/>
      <c r="R61" s="50"/>
      <c r="S61" s="50"/>
      <c r="T61" s="50"/>
      <c r="U61" s="50"/>
      <c r="V61" s="50"/>
      <c r="W61" s="50"/>
      <c r="X61" s="50"/>
      <c r="Y61" s="50"/>
      <c r="Z61" s="65" t="str">
        <f t="shared" si="0"/>
        <v>Очікую</v>
      </c>
      <c r="AA61" s="65" t="str">
        <f t="shared" si="1"/>
        <v>Очікую</v>
      </c>
      <c r="AB61" s="22"/>
      <c r="AC61" s="40"/>
    </row>
    <row r="62" spans="1:29" s="11" customFormat="1" ht="15" customHeight="1" x14ac:dyDescent="0.25">
      <c r="A62" s="41"/>
      <c r="B62" s="12"/>
      <c r="C62" s="48"/>
      <c r="D62" s="48">
        <v>53</v>
      </c>
      <c r="E62" s="49"/>
      <c r="F62" s="50"/>
      <c r="G62" s="50"/>
      <c r="H62" s="50"/>
      <c r="I62" s="50"/>
      <c r="J62" s="50"/>
      <c r="K62" s="50"/>
      <c r="L62" s="50"/>
      <c r="M62" s="50"/>
      <c r="N62" s="50"/>
      <c r="O62" s="50"/>
      <c r="P62" s="50"/>
      <c r="Q62" s="50"/>
      <c r="R62" s="50"/>
      <c r="S62" s="50"/>
      <c r="T62" s="50"/>
      <c r="U62" s="50"/>
      <c r="V62" s="50"/>
      <c r="W62" s="50"/>
      <c r="X62" s="50"/>
      <c r="Y62" s="50"/>
      <c r="Z62" s="65" t="str">
        <f t="shared" si="0"/>
        <v>Очікую</v>
      </c>
      <c r="AA62" s="65" t="str">
        <f t="shared" si="1"/>
        <v>Очікую</v>
      </c>
      <c r="AB62" s="22"/>
      <c r="AC62" s="40"/>
    </row>
    <row r="63" spans="1:29" s="11" customFormat="1" ht="15" customHeight="1" x14ac:dyDescent="0.25">
      <c r="A63" s="41"/>
      <c r="B63" s="12"/>
      <c r="C63" s="48"/>
      <c r="D63" s="48">
        <v>54</v>
      </c>
      <c r="E63" s="49"/>
      <c r="F63" s="50"/>
      <c r="G63" s="50"/>
      <c r="H63" s="50"/>
      <c r="I63" s="50"/>
      <c r="J63" s="50"/>
      <c r="K63" s="50"/>
      <c r="L63" s="50"/>
      <c r="M63" s="50"/>
      <c r="N63" s="50"/>
      <c r="O63" s="50"/>
      <c r="P63" s="50"/>
      <c r="Q63" s="50"/>
      <c r="R63" s="50"/>
      <c r="S63" s="50"/>
      <c r="T63" s="50"/>
      <c r="U63" s="50"/>
      <c r="V63" s="50"/>
      <c r="W63" s="50"/>
      <c r="X63" s="50"/>
      <c r="Y63" s="50"/>
      <c r="Z63" s="65" t="str">
        <f t="shared" si="0"/>
        <v>Очікую</v>
      </c>
      <c r="AA63" s="65" t="str">
        <f t="shared" si="1"/>
        <v>Очікую</v>
      </c>
      <c r="AB63" s="22"/>
      <c r="AC63" s="40"/>
    </row>
    <row r="64" spans="1:29" s="11" customFormat="1" ht="15" customHeight="1" x14ac:dyDescent="0.25">
      <c r="A64" s="41"/>
      <c r="B64" s="12"/>
      <c r="C64" s="48"/>
      <c r="D64" s="48">
        <v>55</v>
      </c>
      <c r="E64" s="49"/>
      <c r="F64" s="50"/>
      <c r="G64" s="50"/>
      <c r="H64" s="50"/>
      <c r="I64" s="50"/>
      <c r="J64" s="50"/>
      <c r="K64" s="50"/>
      <c r="L64" s="50"/>
      <c r="M64" s="50"/>
      <c r="N64" s="50"/>
      <c r="O64" s="50"/>
      <c r="P64" s="50"/>
      <c r="Q64" s="50"/>
      <c r="R64" s="50"/>
      <c r="S64" s="50"/>
      <c r="T64" s="50"/>
      <c r="U64" s="50"/>
      <c r="V64" s="50"/>
      <c r="W64" s="50"/>
      <c r="X64" s="50"/>
      <c r="Y64" s="50"/>
      <c r="Z64" s="65" t="str">
        <f t="shared" si="0"/>
        <v>Очікую</v>
      </c>
      <c r="AA64" s="65" t="str">
        <f t="shared" si="1"/>
        <v>Очікую</v>
      </c>
      <c r="AB64" s="22"/>
      <c r="AC64" s="40"/>
    </row>
    <row r="65" spans="1:29" s="11" customFormat="1" ht="15" customHeight="1" x14ac:dyDescent="0.25">
      <c r="A65" s="41"/>
      <c r="B65" s="12"/>
      <c r="C65" s="48"/>
      <c r="D65" s="48">
        <v>56</v>
      </c>
      <c r="E65" s="49"/>
      <c r="F65" s="50"/>
      <c r="G65" s="50"/>
      <c r="H65" s="50"/>
      <c r="I65" s="50"/>
      <c r="J65" s="50"/>
      <c r="K65" s="50"/>
      <c r="L65" s="50"/>
      <c r="M65" s="50"/>
      <c r="N65" s="50"/>
      <c r="O65" s="50"/>
      <c r="P65" s="50"/>
      <c r="Q65" s="50"/>
      <c r="R65" s="50"/>
      <c r="S65" s="50"/>
      <c r="T65" s="50"/>
      <c r="U65" s="50"/>
      <c r="V65" s="50"/>
      <c r="W65" s="50"/>
      <c r="X65" s="50"/>
      <c r="Y65" s="50"/>
      <c r="Z65" s="65" t="str">
        <f t="shared" si="0"/>
        <v>Очікую</v>
      </c>
      <c r="AA65" s="65" t="str">
        <f t="shared" si="1"/>
        <v>Очікую</v>
      </c>
      <c r="AB65" s="22"/>
      <c r="AC65" s="40"/>
    </row>
    <row r="66" spans="1:29" s="11" customFormat="1" ht="15" customHeight="1" x14ac:dyDescent="0.25">
      <c r="A66" s="41"/>
      <c r="B66" s="12"/>
      <c r="C66" s="48"/>
      <c r="D66" s="48">
        <v>57</v>
      </c>
      <c r="E66" s="49"/>
      <c r="F66" s="50"/>
      <c r="G66" s="50"/>
      <c r="H66" s="50"/>
      <c r="I66" s="50"/>
      <c r="J66" s="50"/>
      <c r="K66" s="50"/>
      <c r="L66" s="50"/>
      <c r="M66" s="50"/>
      <c r="N66" s="50"/>
      <c r="O66" s="50"/>
      <c r="P66" s="50"/>
      <c r="Q66" s="50"/>
      <c r="R66" s="50"/>
      <c r="S66" s="50"/>
      <c r="T66" s="50"/>
      <c r="U66" s="50"/>
      <c r="V66" s="50"/>
      <c r="W66" s="50"/>
      <c r="X66" s="50"/>
      <c r="Y66" s="50"/>
      <c r="Z66" s="65" t="str">
        <f t="shared" si="0"/>
        <v>Очікую</v>
      </c>
      <c r="AA66" s="65" t="str">
        <f t="shared" si="1"/>
        <v>Очікую</v>
      </c>
      <c r="AB66" s="22"/>
      <c r="AC66" s="40"/>
    </row>
    <row r="67" spans="1:29" s="11" customFormat="1" ht="15" customHeight="1" x14ac:dyDescent="0.25">
      <c r="A67" s="41"/>
      <c r="B67" s="12"/>
      <c r="C67" s="48"/>
      <c r="D67" s="48">
        <v>58</v>
      </c>
      <c r="E67" s="49"/>
      <c r="F67" s="50"/>
      <c r="G67" s="50"/>
      <c r="H67" s="50"/>
      <c r="I67" s="50"/>
      <c r="J67" s="50"/>
      <c r="K67" s="50"/>
      <c r="L67" s="50"/>
      <c r="M67" s="50"/>
      <c r="N67" s="50"/>
      <c r="O67" s="50"/>
      <c r="P67" s="50"/>
      <c r="Q67" s="50"/>
      <c r="R67" s="50"/>
      <c r="S67" s="50"/>
      <c r="T67" s="50"/>
      <c r="U67" s="50"/>
      <c r="V67" s="50"/>
      <c r="W67" s="50"/>
      <c r="X67" s="50"/>
      <c r="Y67" s="50"/>
      <c r="Z67" s="65" t="str">
        <f t="shared" si="0"/>
        <v>Очікую</v>
      </c>
      <c r="AA67" s="65" t="str">
        <f t="shared" si="1"/>
        <v>Очікую</v>
      </c>
      <c r="AB67" s="22"/>
      <c r="AC67" s="40"/>
    </row>
    <row r="68" spans="1:29" s="11" customFormat="1" ht="15" customHeight="1" x14ac:dyDescent="0.25">
      <c r="A68" s="41"/>
      <c r="B68" s="12"/>
      <c r="C68" s="48"/>
      <c r="D68" s="48">
        <v>59</v>
      </c>
      <c r="E68" s="49"/>
      <c r="F68" s="50"/>
      <c r="G68" s="50"/>
      <c r="H68" s="50"/>
      <c r="I68" s="50"/>
      <c r="J68" s="50"/>
      <c r="K68" s="50"/>
      <c r="L68" s="50"/>
      <c r="M68" s="50"/>
      <c r="N68" s="50"/>
      <c r="O68" s="50"/>
      <c r="P68" s="50"/>
      <c r="Q68" s="50"/>
      <c r="R68" s="50"/>
      <c r="S68" s="50"/>
      <c r="T68" s="50"/>
      <c r="U68" s="50"/>
      <c r="V68" s="50"/>
      <c r="W68" s="50"/>
      <c r="X68" s="50"/>
      <c r="Y68" s="50"/>
      <c r="Z68" s="65" t="str">
        <f t="shared" si="0"/>
        <v>Очікую</v>
      </c>
      <c r="AA68" s="65" t="str">
        <f t="shared" si="1"/>
        <v>Очікую</v>
      </c>
      <c r="AB68" s="22"/>
      <c r="AC68" s="40"/>
    </row>
    <row r="69" spans="1:29" s="11" customFormat="1" ht="15" customHeight="1" x14ac:dyDescent="0.25">
      <c r="A69" s="41"/>
      <c r="B69" s="12"/>
      <c r="C69" s="48"/>
      <c r="D69" s="48">
        <v>60</v>
      </c>
      <c r="E69" s="49"/>
      <c r="F69" s="50"/>
      <c r="G69" s="50"/>
      <c r="H69" s="50"/>
      <c r="I69" s="50"/>
      <c r="J69" s="50"/>
      <c r="K69" s="50"/>
      <c r="L69" s="50"/>
      <c r="M69" s="50"/>
      <c r="N69" s="50"/>
      <c r="O69" s="50"/>
      <c r="P69" s="50"/>
      <c r="Q69" s="50"/>
      <c r="R69" s="50"/>
      <c r="S69" s="50"/>
      <c r="T69" s="50"/>
      <c r="U69" s="50"/>
      <c r="V69" s="50"/>
      <c r="W69" s="50"/>
      <c r="X69" s="50"/>
      <c r="Y69" s="50"/>
      <c r="Z69" s="65" t="str">
        <f t="shared" si="0"/>
        <v>Очікую</v>
      </c>
      <c r="AA69" s="65" t="str">
        <f t="shared" si="1"/>
        <v>Очікую</v>
      </c>
      <c r="AB69" s="22"/>
      <c r="AC69" s="40"/>
    </row>
    <row r="70" spans="1:29" s="11" customFormat="1" ht="15" customHeight="1" x14ac:dyDescent="0.25">
      <c r="A70" s="41"/>
      <c r="B70" s="12"/>
      <c r="C70" s="48"/>
      <c r="D70" s="48">
        <v>61</v>
      </c>
      <c r="E70" s="49"/>
      <c r="F70" s="50"/>
      <c r="G70" s="50"/>
      <c r="H70" s="50"/>
      <c r="I70" s="50"/>
      <c r="J70" s="50"/>
      <c r="K70" s="50"/>
      <c r="L70" s="50"/>
      <c r="M70" s="50"/>
      <c r="N70" s="50"/>
      <c r="O70" s="50"/>
      <c r="P70" s="50"/>
      <c r="Q70" s="50"/>
      <c r="R70" s="50"/>
      <c r="S70" s="50"/>
      <c r="T70" s="50"/>
      <c r="U70" s="50"/>
      <c r="V70" s="50"/>
      <c r="W70" s="50"/>
      <c r="X70" s="50"/>
      <c r="Y70" s="50"/>
      <c r="Z70" s="65" t="str">
        <f t="shared" si="0"/>
        <v>Очікую</v>
      </c>
      <c r="AA70" s="65" t="str">
        <f t="shared" si="1"/>
        <v>Очікую</v>
      </c>
      <c r="AB70" s="22"/>
      <c r="AC70" s="40"/>
    </row>
    <row r="71" spans="1:29" s="11" customFormat="1" ht="15" customHeight="1" x14ac:dyDescent="0.25">
      <c r="A71" s="41"/>
      <c r="B71" s="12"/>
      <c r="C71" s="48"/>
      <c r="D71" s="48">
        <v>62</v>
      </c>
      <c r="E71" s="49"/>
      <c r="F71" s="50"/>
      <c r="G71" s="50"/>
      <c r="H71" s="50"/>
      <c r="I71" s="50"/>
      <c r="J71" s="50"/>
      <c r="K71" s="50"/>
      <c r="L71" s="50"/>
      <c r="M71" s="50"/>
      <c r="N71" s="50"/>
      <c r="O71" s="50"/>
      <c r="P71" s="50"/>
      <c r="Q71" s="50"/>
      <c r="R71" s="50"/>
      <c r="S71" s="50"/>
      <c r="T71" s="50"/>
      <c r="U71" s="50"/>
      <c r="V71" s="50"/>
      <c r="W71" s="50"/>
      <c r="X71" s="50"/>
      <c r="Y71" s="50"/>
      <c r="Z71" s="65" t="str">
        <f t="shared" si="0"/>
        <v>Очікую</v>
      </c>
      <c r="AA71" s="65" t="str">
        <f t="shared" si="1"/>
        <v>Очікую</v>
      </c>
      <c r="AB71" s="22"/>
      <c r="AC71" s="40"/>
    </row>
    <row r="72" spans="1:29" s="11" customFormat="1" ht="15" customHeight="1" x14ac:dyDescent="0.25">
      <c r="A72" s="41"/>
      <c r="B72" s="12"/>
      <c r="C72" s="48"/>
      <c r="D72" s="48">
        <v>63</v>
      </c>
      <c r="E72" s="49"/>
      <c r="F72" s="50"/>
      <c r="G72" s="50"/>
      <c r="H72" s="50"/>
      <c r="I72" s="50"/>
      <c r="J72" s="50"/>
      <c r="K72" s="50"/>
      <c r="L72" s="50"/>
      <c r="M72" s="50"/>
      <c r="N72" s="50"/>
      <c r="O72" s="50"/>
      <c r="P72" s="50"/>
      <c r="Q72" s="50"/>
      <c r="R72" s="50"/>
      <c r="S72" s="50"/>
      <c r="T72" s="50"/>
      <c r="U72" s="50"/>
      <c r="V72" s="50"/>
      <c r="W72" s="50"/>
      <c r="X72" s="50"/>
      <c r="Y72" s="50"/>
      <c r="Z72" s="65" t="str">
        <f t="shared" si="0"/>
        <v>Очікую</v>
      </c>
      <c r="AA72" s="65" t="str">
        <f t="shared" si="1"/>
        <v>Очікую</v>
      </c>
      <c r="AB72" s="22"/>
      <c r="AC72" s="40"/>
    </row>
    <row r="73" spans="1:29" s="11" customFormat="1" ht="15" customHeight="1" x14ac:dyDescent="0.25">
      <c r="A73" s="41"/>
      <c r="B73" s="12"/>
      <c r="C73" s="48"/>
      <c r="D73" s="48">
        <v>64</v>
      </c>
      <c r="E73" s="49"/>
      <c r="F73" s="50"/>
      <c r="G73" s="50"/>
      <c r="H73" s="50"/>
      <c r="I73" s="50"/>
      <c r="J73" s="50"/>
      <c r="K73" s="50"/>
      <c r="L73" s="50"/>
      <c r="M73" s="50"/>
      <c r="N73" s="50"/>
      <c r="O73" s="50"/>
      <c r="P73" s="50"/>
      <c r="Q73" s="50"/>
      <c r="R73" s="50"/>
      <c r="S73" s="50"/>
      <c r="T73" s="50"/>
      <c r="U73" s="50"/>
      <c r="V73" s="50"/>
      <c r="W73" s="50"/>
      <c r="X73" s="50"/>
      <c r="Y73" s="50"/>
      <c r="Z73" s="65" t="str">
        <f t="shared" si="0"/>
        <v>Очікую</v>
      </c>
      <c r="AA73" s="65" t="str">
        <f t="shared" si="1"/>
        <v>Очікую</v>
      </c>
      <c r="AB73" s="22"/>
      <c r="AC73" s="40"/>
    </row>
    <row r="74" spans="1:29" s="11" customFormat="1" ht="15" customHeight="1" x14ac:dyDescent="0.25">
      <c r="A74" s="41"/>
      <c r="B74" s="12"/>
      <c r="C74" s="48"/>
      <c r="D74" s="48">
        <v>65</v>
      </c>
      <c r="E74" s="49"/>
      <c r="F74" s="50"/>
      <c r="G74" s="50"/>
      <c r="H74" s="50"/>
      <c r="I74" s="50"/>
      <c r="J74" s="50"/>
      <c r="K74" s="50"/>
      <c r="L74" s="50"/>
      <c r="M74" s="50"/>
      <c r="N74" s="50"/>
      <c r="O74" s="50"/>
      <c r="P74" s="50"/>
      <c r="Q74" s="50"/>
      <c r="R74" s="50"/>
      <c r="S74" s="50"/>
      <c r="T74" s="50"/>
      <c r="U74" s="50"/>
      <c r="V74" s="50"/>
      <c r="W74" s="50"/>
      <c r="X74" s="50"/>
      <c r="Y74" s="50"/>
      <c r="Z74" s="65" t="str">
        <f t="shared" si="0"/>
        <v>Очікую</v>
      </c>
      <c r="AA74" s="65" t="str">
        <f t="shared" si="1"/>
        <v>Очікую</v>
      </c>
      <c r="AB74" s="22"/>
      <c r="AC74" s="40"/>
    </row>
    <row r="75" spans="1:29" s="11" customFormat="1" ht="15" customHeight="1" x14ac:dyDescent="0.25">
      <c r="A75" s="41"/>
      <c r="B75" s="12"/>
      <c r="C75" s="48"/>
      <c r="D75" s="48">
        <v>66</v>
      </c>
      <c r="E75" s="49"/>
      <c r="F75" s="50"/>
      <c r="G75" s="50"/>
      <c r="H75" s="50"/>
      <c r="I75" s="50"/>
      <c r="J75" s="50"/>
      <c r="K75" s="50"/>
      <c r="L75" s="50"/>
      <c r="M75" s="50"/>
      <c r="N75" s="50"/>
      <c r="O75" s="50"/>
      <c r="P75" s="50"/>
      <c r="Q75" s="50"/>
      <c r="R75" s="50"/>
      <c r="S75" s="50"/>
      <c r="T75" s="50"/>
      <c r="U75" s="50"/>
      <c r="V75" s="50"/>
      <c r="W75" s="50"/>
      <c r="X75" s="50"/>
      <c r="Y75" s="50"/>
      <c r="Z75" s="65" t="str">
        <f t="shared" ref="Z75:Z109" si="2">IF(COUNTIF(E75:X75,"=*")&gt;0,IF($C75="К","-"," - "),IF(COUNTIF(E75:X75,"&lt;4")&gt;0,IF(B75="К","-"," - "),(IFERROR(AVERAGE(E75:X75),"Очікую"))))</f>
        <v>Очікую</v>
      </c>
      <c r="AA75" s="65" t="str">
        <f t="shared" ref="AA75:AA109" si="3">IFERROR(Z75/12*90,"Очікую")</f>
        <v>Очікую</v>
      </c>
      <c r="AB75" s="22"/>
      <c r="AC75" s="40"/>
    </row>
    <row r="76" spans="1:29" s="11" customFormat="1" ht="15" customHeight="1" x14ac:dyDescent="0.25">
      <c r="A76" s="41"/>
      <c r="B76" s="12"/>
      <c r="C76" s="48"/>
      <c r="D76" s="48">
        <v>67</v>
      </c>
      <c r="E76" s="49"/>
      <c r="F76" s="50"/>
      <c r="G76" s="50"/>
      <c r="H76" s="50"/>
      <c r="I76" s="50"/>
      <c r="J76" s="50"/>
      <c r="K76" s="50"/>
      <c r="L76" s="50"/>
      <c r="M76" s="50"/>
      <c r="N76" s="50"/>
      <c r="O76" s="50"/>
      <c r="P76" s="50"/>
      <c r="Q76" s="50"/>
      <c r="R76" s="50"/>
      <c r="S76" s="50"/>
      <c r="T76" s="50"/>
      <c r="U76" s="50"/>
      <c r="V76" s="50"/>
      <c r="W76" s="50"/>
      <c r="X76" s="50"/>
      <c r="Y76" s="50"/>
      <c r="Z76" s="65" t="str">
        <f t="shared" si="2"/>
        <v>Очікую</v>
      </c>
      <c r="AA76" s="65" t="str">
        <f t="shared" si="3"/>
        <v>Очікую</v>
      </c>
      <c r="AB76" s="22"/>
      <c r="AC76" s="40"/>
    </row>
    <row r="77" spans="1:29" s="11" customFormat="1" ht="15" customHeight="1" x14ac:dyDescent="0.25">
      <c r="A77" s="41"/>
      <c r="B77" s="12"/>
      <c r="C77" s="48"/>
      <c r="D77" s="48">
        <v>68</v>
      </c>
      <c r="E77" s="49"/>
      <c r="F77" s="50"/>
      <c r="G77" s="50"/>
      <c r="H77" s="50"/>
      <c r="I77" s="50"/>
      <c r="J77" s="50"/>
      <c r="K77" s="50"/>
      <c r="L77" s="50"/>
      <c r="M77" s="50"/>
      <c r="N77" s="50"/>
      <c r="O77" s="50"/>
      <c r="P77" s="50"/>
      <c r="Q77" s="50"/>
      <c r="R77" s="50"/>
      <c r="S77" s="50"/>
      <c r="T77" s="50"/>
      <c r="U77" s="50"/>
      <c r="V77" s="50"/>
      <c r="W77" s="50"/>
      <c r="X77" s="50"/>
      <c r="Y77" s="50"/>
      <c r="Z77" s="65" t="str">
        <f t="shared" si="2"/>
        <v>Очікую</v>
      </c>
      <c r="AA77" s="65" t="str">
        <f t="shared" si="3"/>
        <v>Очікую</v>
      </c>
      <c r="AB77" s="22"/>
      <c r="AC77" s="40"/>
    </row>
    <row r="78" spans="1:29" s="11" customFormat="1" ht="15" customHeight="1" x14ac:dyDescent="0.25">
      <c r="A78" s="41"/>
      <c r="B78" s="12"/>
      <c r="C78" s="48"/>
      <c r="D78" s="48">
        <v>69</v>
      </c>
      <c r="E78" s="49"/>
      <c r="F78" s="50"/>
      <c r="G78" s="50"/>
      <c r="H78" s="50"/>
      <c r="I78" s="50"/>
      <c r="J78" s="50"/>
      <c r="K78" s="50"/>
      <c r="L78" s="50"/>
      <c r="M78" s="50"/>
      <c r="N78" s="50"/>
      <c r="O78" s="50"/>
      <c r="P78" s="50"/>
      <c r="Q78" s="50"/>
      <c r="R78" s="50"/>
      <c r="S78" s="50"/>
      <c r="T78" s="50"/>
      <c r="U78" s="50"/>
      <c r="V78" s="50"/>
      <c r="W78" s="50"/>
      <c r="X78" s="50"/>
      <c r="Y78" s="50"/>
      <c r="Z78" s="65" t="str">
        <f t="shared" si="2"/>
        <v>Очікую</v>
      </c>
      <c r="AA78" s="65" t="str">
        <f t="shared" si="3"/>
        <v>Очікую</v>
      </c>
      <c r="AB78" s="22"/>
      <c r="AC78" s="40"/>
    </row>
    <row r="79" spans="1:29" s="11" customFormat="1" ht="15" customHeight="1" x14ac:dyDescent="0.25">
      <c r="A79" s="41"/>
      <c r="B79" s="12"/>
      <c r="C79" s="48"/>
      <c r="D79" s="48">
        <v>70</v>
      </c>
      <c r="E79" s="49"/>
      <c r="F79" s="50"/>
      <c r="G79" s="50"/>
      <c r="H79" s="50"/>
      <c r="I79" s="50"/>
      <c r="J79" s="50"/>
      <c r="K79" s="50"/>
      <c r="L79" s="50"/>
      <c r="M79" s="50"/>
      <c r="N79" s="50"/>
      <c r="O79" s="50"/>
      <c r="P79" s="50"/>
      <c r="Q79" s="50"/>
      <c r="R79" s="50"/>
      <c r="S79" s="50"/>
      <c r="T79" s="50"/>
      <c r="U79" s="50"/>
      <c r="V79" s="50"/>
      <c r="W79" s="50"/>
      <c r="X79" s="50"/>
      <c r="Y79" s="50"/>
      <c r="Z79" s="65" t="str">
        <f t="shared" si="2"/>
        <v>Очікую</v>
      </c>
      <c r="AA79" s="65" t="str">
        <f t="shared" si="3"/>
        <v>Очікую</v>
      </c>
      <c r="AB79" s="22"/>
      <c r="AC79" s="40"/>
    </row>
    <row r="80" spans="1:29" s="11" customFormat="1" ht="15" customHeight="1" x14ac:dyDescent="0.25">
      <c r="A80" s="41"/>
      <c r="B80" s="12"/>
      <c r="C80" s="48"/>
      <c r="D80" s="48">
        <v>71</v>
      </c>
      <c r="E80" s="49"/>
      <c r="F80" s="50"/>
      <c r="G80" s="50"/>
      <c r="H80" s="50"/>
      <c r="I80" s="50"/>
      <c r="J80" s="50"/>
      <c r="K80" s="50"/>
      <c r="L80" s="50"/>
      <c r="M80" s="50"/>
      <c r="N80" s="50"/>
      <c r="O80" s="50"/>
      <c r="P80" s="50"/>
      <c r="Q80" s="50"/>
      <c r="R80" s="50"/>
      <c r="S80" s="50"/>
      <c r="T80" s="50"/>
      <c r="U80" s="50"/>
      <c r="V80" s="50"/>
      <c r="W80" s="50"/>
      <c r="X80" s="50"/>
      <c r="Y80" s="50"/>
      <c r="Z80" s="65" t="str">
        <f t="shared" si="2"/>
        <v>Очікую</v>
      </c>
      <c r="AA80" s="65" t="str">
        <f t="shared" si="3"/>
        <v>Очікую</v>
      </c>
      <c r="AB80" s="22"/>
      <c r="AC80" s="40"/>
    </row>
    <row r="81" spans="1:29" s="11" customFormat="1" ht="15" customHeight="1" x14ac:dyDescent="0.25">
      <c r="A81" s="41"/>
      <c r="B81" s="12"/>
      <c r="C81" s="48"/>
      <c r="D81" s="48">
        <v>72</v>
      </c>
      <c r="E81" s="49"/>
      <c r="F81" s="50"/>
      <c r="G81" s="50"/>
      <c r="H81" s="50"/>
      <c r="I81" s="50"/>
      <c r="J81" s="50"/>
      <c r="K81" s="50"/>
      <c r="L81" s="50"/>
      <c r="M81" s="50"/>
      <c r="N81" s="50"/>
      <c r="O81" s="50"/>
      <c r="P81" s="50"/>
      <c r="Q81" s="50"/>
      <c r="R81" s="50"/>
      <c r="S81" s="50"/>
      <c r="T81" s="50"/>
      <c r="U81" s="50"/>
      <c r="V81" s="50"/>
      <c r="W81" s="50"/>
      <c r="X81" s="50"/>
      <c r="Y81" s="50"/>
      <c r="Z81" s="65" t="str">
        <f t="shared" si="2"/>
        <v>Очікую</v>
      </c>
      <c r="AA81" s="65" t="str">
        <f t="shared" si="3"/>
        <v>Очікую</v>
      </c>
      <c r="AB81" s="22"/>
      <c r="AC81" s="40"/>
    </row>
    <row r="82" spans="1:29" s="11" customFormat="1" ht="15" customHeight="1" x14ac:dyDescent="0.25">
      <c r="A82" s="41"/>
      <c r="B82" s="12"/>
      <c r="C82" s="48"/>
      <c r="D82" s="48">
        <v>73</v>
      </c>
      <c r="E82" s="49"/>
      <c r="F82" s="50"/>
      <c r="G82" s="50"/>
      <c r="H82" s="50"/>
      <c r="I82" s="50"/>
      <c r="J82" s="50"/>
      <c r="K82" s="50"/>
      <c r="L82" s="50"/>
      <c r="M82" s="50"/>
      <c r="N82" s="50"/>
      <c r="O82" s="50"/>
      <c r="P82" s="50"/>
      <c r="Q82" s="50"/>
      <c r="R82" s="50"/>
      <c r="S82" s="50"/>
      <c r="T82" s="50"/>
      <c r="U82" s="50"/>
      <c r="V82" s="50"/>
      <c r="W82" s="50"/>
      <c r="X82" s="50"/>
      <c r="Y82" s="50"/>
      <c r="Z82" s="65" t="str">
        <f t="shared" si="2"/>
        <v>Очікую</v>
      </c>
      <c r="AA82" s="65" t="str">
        <f t="shared" si="3"/>
        <v>Очікую</v>
      </c>
      <c r="AB82" s="22"/>
      <c r="AC82" s="40"/>
    </row>
    <row r="83" spans="1:29" s="11" customFormat="1" ht="15" customHeight="1" x14ac:dyDescent="0.25">
      <c r="A83" s="41"/>
      <c r="B83" s="12"/>
      <c r="C83" s="48"/>
      <c r="D83" s="48">
        <v>74</v>
      </c>
      <c r="E83" s="49"/>
      <c r="F83" s="50"/>
      <c r="G83" s="50"/>
      <c r="H83" s="50"/>
      <c r="I83" s="50"/>
      <c r="J83" s="50"/>
      <c r="K83" s="50"/>
      <c r="L83" s="50"/>
      <c r="M83" s="50"/>
      <c r="N83" s="50"/>
      <c r="O83" s="50"/>
      <c r="P83" s="50"/>
      <c r="Q83" s="50"/>
      <c r="R83" s="50"/>
      <c r="S83" s="50"/>
      <c r="T83" s="50"/>
      <c r="U83" s="50"/>
      <c r="V83" s="50"/>
      <c r="W83" s="50"/>
      <c r="X83" s="50"/>
      <c r="Y83" s="50"/>
      <c r="Z83" s="65" t="str">
        <f t="shared" si="2"/>
        <v>Очікую</v>
      </c>
      <c r="AA83" s="65" t="str">
        <f t="shared" si="3"/>
        <v>Очікую</v>
      </c>
      <c r="AB83" s="22"/>
      <c r="AC83" s="40"/>
    </row>
    <row r="84" spans="1:29" s="11" customFormat="1" ht="15" customHeight="1" x14ac:dyDescent="0.25">
      <c r="A84" s="41"/>
      <c r="B84" s="12"/>
      <c r="C84" s="48"/>
      <c r="D84" s="48">
        <v>75</v>
      </c>
      <c r="E84" s="49"/>
      <c r="F84" s="50"/>
      <c r="G84" s="50"/>
      <c r="H84" s="50"/>
      <c r="I84" s="50"/>
      <c r="J84" s="50"/>
      <c r="K84" s="50"/>
      <c r="L84" s="50"/>
      <c r="M84" s="50"/>
      <c r="N84" s="50"/>
      <c r="O84" s="50"/>
      <c r="P84" s="50"/>
      <c r="Q84" s="50"/>
      <c r="R84" s="50"/>
      <c r="S84" s="50"/>
      <c r="T84" s="50"/>
      <c r="U84" s="50"/>
      <c r="V84" s="50"/>
      <c r="W84" s="50"/>
      <c r="X84" s="50"/>
      <c r="Y84" s="50"/>
      <c r="Z84" s="65" t="str">
        <f t="shared" si="2"/>
        <v>Очікую</v>
      </c>
      <c r="AA84" s="65" t="str">
        <f t="shared" si="3"/>
        <v>Очікую</v>
      </c>
      <c r="AB84" s="22"/>
      <c r="AC84" s="40"/>
    </row>
    <row r="85" spans="1:29" s="11" customFormat="1" ht="15" customHeight="1" x14ac:dyDescent="0.25">
      <c r="A85" s="41"/>
      <c r="B85" s="12"/>
      <c r="C85" s="48"/>
      <c r="D85" s="48">
        <v>76</v>
      </c>
      <c r="E85" s="49"/>
      <c r="F85" s="50"/>
      <c r="G85" s="50"/>
      <c r="H85" s="50"/>
      <c r="I85" s="50"/>
      <c r="J85" s="50"/>
      <c r="K85" s="50"/>
      <c r="L85" s="50"/>
      <c r="M85" s="50"/>
      <c r="N85" s="50"/>
      <c r="O85" s="50"/>
      <c r="P85" s="50"/>
      <c r="Q85" s="50"/>
      <c r="R85" s="50"/>
      <c r="S85" s="50"/>
      <c r="T85" s="50"/>
      <c r="U85" s="50"/>
      <c r="V85" s="50"/>
      <c r="W85" s="50"/>
      <c r="X85" s="50"/>
      <c r="Y85" s="50"/>
      <c r="Z85" s="65" t="str">
        <f t="shared" si="2"/>
        <v>Очікую</v>
      </c>
      <c r="AA85" s="65" t="str">
        <f t="shared" si="3"/>
        <v>Очікую</v>
      </c>
      <c r="AB85" s="22"/>
      <c r="AC85" s="40"/>
    </row>
    <row r="86" spans="1:29" s="11" customFormat="1" ht="15" customHeight="1" x14ac:dyDescent="0.25">
      <c r="A86" s="41"/>
      <c r="B86" s="12"/>
      <c r="C86" s="48"/>
      <c r="D86" s="48">
        <v>77</v>
      </c>
      <c r="E86" s="49"/>
      <c r="F86" s="50"/>
      <c r="G86" s="50"/>
      <c r="H86" s="50"/>
      <c r="I86" s="50"/>
      <c r="J86" s="50"/>
      <c r="K86" s="50"/>
      <c r="L86" s="50"/>
      <c r="M86" s="50"/>
      <c r="N86" s="50"/>
      <c r="O86" s="50"/>
      <c r="P86" s="50"/>
      <c r="Q86" s="50"/>
      <c r="R86" s="50"/>
      <c r="S86" s="50"/>
      <c r="T86" s="50"/>
      <c r="U86" s="50"/>
      <c r="V86" s="50"/>
      <c r="W86" s="50"/>
      <c r="X86" s="50"/>
      <c r="Y86" s="50"/>
      <c r="Z86" s="65" t="str">
        <f t="shared" si="2"/>
        <v>Очікую</v>
      </c>
      <c r="AA86" s="65" t="str">
        <f t="shared" si="3"/>
        <v>Очікую</v>
      </c>
      <c r="AB86" s="22"/>
      <c r="AC86" s="40"/>
    </row>
    <row r="87" spans="1:29" s="11" customFormat="1" ht="15" customHeight="1" x14ac:dyDescent="0.25">
      <c r="A87" s="41"/>
      <c r="B87" s="12"/>
      <c r="C87" s="48"/>
      <c r="D87" s="48">
        <v>78</v>
      </c>
      <c r="E87" s="49"/>
      <c r="F87" s="50"/>
      <c r="G87" s="50"/>
      <c r="H87" s="50"/>
      <c r="I87" s="50"/>
      <c r="J87" s="50"/>
      <c r="K87" s="50"/>
      <c r="L87" s="50"/>
      <c r="M87" s="50"/>
      <c r="N87" s="50"/>
      <c r="O87" s="50"/>
      <c r="P87" s="50"/>
      <c r="Q87" s="50"/>
      <c r="R87" s="50"/>
      <c r="S87" s="50"/>
      <c r="T87" s="50"/>
      <c r="U87" s="50"/>
      <c r="V87" s="50"/>
      <c r="W87" s="50"/>
      <c r="X87" s="50"/>
      <c r="Y87" s="50"/>
      <c r="Z87" s="65" t="str">
        <f t="shared" si="2"/>
        <v>Очікую</v>
      </c>
      <c r="AA87" s="65" t="str">
        <f t="shared" si="3"/>
        <v>Очікую</v>
      </c>
      <c r="AB87" s="22"/>
      <c r="AC87" s="40"/>
    </row>
    <row r="88" spans="1:29" s="11" customFormat="1" ht="15" customHeight="1" x14ac:dyDescent="0.25">
      <c r="A88" s="41"/>
      <c r="B88" s="12"/>
      <c r="C88" s="48"/>
      <c r="D88" s="48">
        <v>79</v>
      </c>
      <c r="E88" s="49"/>
      <c r="F88" s="50"/>
      <c r="G88" s="50"/>
      <c r="H88" s="50"/>
      <c r="I88" s="50"/>
      <c r="J88" s="50"/>
      <c r="K88" s="50"/>
      <c r="L88" s="50"/>
      <c r="M88" s="50"/>
      <c r="N88" s="50"/>
      <c r="O88" s="50"/>
      <c r="P88" s="50"/>
      <c r="Q88" s="50"/>
      <c r="R88" s="50"/>
      <c r="S88" s="50"/>
      <c r="T88" s="50"/>
      <c r="U88" s="50"/>
      <c r="V88" s="50"/>
      <c r="W88" s="50"/>
      <c r="X88" s="50"/>
      <c r="Y88" s="50"/>
      <c r="Z88" s="65" t="str">
        <f t="shared" si="2"/>
        <v>Очікую</v>
      </c>
      <c r="AA88" s="65" t="str">
        <f t="shared" si="3"/>
        <v>Очікую</v>
      </c>
      <c r="AB88" s="22"/>
      <c r="AC88" s="40"/>
    </row>
    <row r="89" spans="1:29" s="11" customFormat="1" ht="15" customHeight="1" x14ac:dyDescent="0.25">
      <c r="A89" s="41"/>
      <c r="B89" s="12"/>
      <c r="C89" s="48"/>
      <c r="D89" s="48">
        <v>80</v>
      </c>
      <c r="E89" s="49"/>
      <c r="F89" s="50"/>
      <c r="G89" s="50"/>
      <c r="H89" s="50"/>
      <c r="I89" s="50"/>
      <c r="J89" s="50"/>
      <c r="K89" s="50"/>
      <c r="L89" s="50"/>
      <c r="M89" s="50"/>
      <c r="N89" s="50"/>
      <c r="O89" s="50"/>
      <c r="P89" s="50"/>
      <c r="Q89" s="50"/>
      <c r="R89" s="50"/>
      <c r="S89" s="50"/>
      <c r="T89" s="50"/>
      <c r="U89" s="50"/>
      <c r="V89" s="50"/>
      <c r="W89" s="50"/>
      <c r="X89" s="50"/>
      <c r="Y89" s="50"/>
      <c r="Z89" s="65" t="str">
        <f t="shared" si="2"/>
        <v>Очікую</v>
      </c>
      <c r="AA89" s="65" t="str">
        <f t="shared" si="3"/>
        <v>Очікую</v>
      </c>
      <c r="AB89" s="22"/>
      <c r="AC89" s="40"/>
    </row>
    <row r="90" spans="1:29" s="11" customFormat="1" ht="15" customHeight="1" x14ac:dyDescent="0.25">
      <c r="A90" s="41"/>
      <c r="B90" s="12"/>
      <c r="C90" s="48"/>
      <c r="D90" s="48">
        <v>81</v>
      </c>
      <c r="E90" s="49"/>
      <c r="F90" s="50"/>
      <c r="G90" s="50"/>
      <c r="H90" s="50"/>
      <c r="I90" s="50"/>
      <c r="J90" s="50"/>
      <c r="K90" s="50"/>
      <c r="L90" s="50"/>
      <c r="M90" s="50"/>
      <c r="N90" s="50"/>
      <c r="O90" s="50"/>
      <c r="P90" s="50"/>
      <c r="Q90" s="50"/>
      <c r="R90" s="50"/>
      <c r="S90" s="50"/>
      <c r="T90" s="50"/>
      <c r="U90" s="50"/>
      <c r="V90" s="50"/>
      <c r="W90" s="50"/>
      <c r="X90" s="50"/>
      <c r="Y90" s="50"/>
      <c r="Z90" s="65" t="str">
        <f t="shared" si="2"/>
        <v>Очікую</v>
      </c>
      <c r="AA90" s="65" t="str">
        <f t="shared" si="3"/>
        <v>Очікую</v>
      </c>
      <c r="AB90" s="22"/>
      <c r="AC90" s="40"/>
    </row>
    <row r="91" spans="1:29" s="11" customFormat="1" ht="15" customHeight="1" x14ac:dyDescent="0.25">
      <c r="A91" s="41"/>
      <c r="B91" s="12"/>
      <c r="C91" s="48"/>
      <c r="D91" s="48">
        <v>82</v>
      </c>
      <c r="E91" s="49"/>
      <c r="F91" s="50"/>
      <c r="G91" s="50"/>
      <c r="H91" s="50"/>
      <c r="I91" s="50"/>
      <c r="J91" s="50"/>
      <c r="K91" s="50"/>
      <c r="L91" s="50"/>
      <c r="M91" s="50"/>
      <c r="N91" s="50"/>
      <c r="O91" s="50"/>
      <c r="P91" s="50"/>
      <c r="Q91" s="50"/>
      <c r="R91" s="50"/>
      <c r="S91" s="50"/>
      <c r="T91" s="50"/>
      <c r="U91" s="50"/>
      <c r="V91" s="50"/>
      <c r="W91" s="50"/>
      <c r="X91" s="50"/>
      <c r="Y91" s="50"/>
      <c r="Z91" s="65" t="str">
        <f t="shared" si="2"/>
        <v>Очікую</v>
      </c>
      <c r="AA91" s="65" t="str">
        <f t="shared" si="3"/>
        <v>Очікую</v>
      </c>
      <c r="AB91" s="22"/>
      <c r="AC91" s="40"/>
    </row>
    <row r="92" spans="1:29" s="11" customFormat="1" ht="15" customHeight="1" x14ac:dyDescent="0.25">
      <c r="A92" s="41"/>
      <c r="B92" s="12"/>
      <c r="C92" s="48"/>
      <c r="D92" s="48">
        <v>83</v>
      </c>
      <c r="E92" s="49"/>
      <c r="F92" s="50"/>
      <c r="G92" s="50"/>
      <c r="H92" s="50"/>
      <c r="I92" s="50"/>
      <c r="J92" s="50"/>
      <c r="K92" s="50"/>
      <c r="L92" s="50"/>
      <c r="M92" s="50"/>
      <c r="N92" s="50"/>
      <c r="O92" s="50"/>
      <c r="P92" s="50"/>
      <c r="Q92" s="50"/>
      <c r="R92" s="50"/>
      <c r="S92" s="50"/>
      <c r="T92" s="50"/>
      <c r="U92" s="50"/>
      <c r="V92" s="50"/>
      <c r="W92" s="50"/>
      <c r="X92" s="50"/>
      <c r="Y92" s="50"/>
      <c r="Z92" s="65" t="str">
        <f t="shared" si="2"/>
        <v>Очікую</v>
      </c>
      <c r="AA92" s="65" t="str">
        <f t="shared" si="3"/>
        <v>Очікую</v>
      </c>
      <c r="AB92" s="22"/>
      <c r="AC92" s="40"/>
    </row>
    <row r="93" spans="1:29" s="11" customFormat="1" ht="15" customHeight="1" x14ac:dyDescent="0.25">
      <c r="A93" s="41"/>
      <c r="B93" s="12"/>
      <c r="C93" s="48"/>
      <c r="D93" s="48">
        <v>84</v>
      </c>
      <c r="E93" s="49"/>
      <c r="F93" s="50"/>
      <c r="G93" s="50"/>
      <c r="H93" s="50"/>
      <c r="I93" s="50"/>
      <c r="J93" s="50"/>
      <c r="K93" s="50"/>
      <c r="L93" s="50"/>
      <c r="M93" s="50"/>
      <c r="N93" s="50"/>
      <c r="O93" s="50"/>
      <c r="P93" s="50"/>
      <c r="Q93" s="50"/>
      <c r="R93" s="50"/>
      <c r="S93" s="50"/>
      <c r="T93" s="50"/>
      <c r="U93" s="50"/>
      <c r="V93" s="50"/>
      <c r="W93" s="50"/>
      <c r="X93" s="50"/>
      <c r="Y93" s="50"/>
      <c r="Z93" s="65" t="str">
        <f t="shared" si="2"/>
        <v>Очікую</v>
      </c>
      <c r="AA93" s="65" t="str">
        <f t="shared" si="3"/>
        <v>Очікую</v>
      </c>
      <c r="AB93" s="22"/>
      <c r="AC93" s="40"/>
    </row>
    <row r="94" spans="1:29" s="11" customFormat="1" ht="15" customHeight="1" x14ac:dyDescent="0.25">
      <c r="A94" s="41"/>
      <c r="B94" s="12"/>
      <c r="C94" s="48"/>
      <c r="D94" s="48">
        <v>85</v>
      </c>
      <c r="E94" s="49"/>
      <c r="F94" s="50"/>
      <c r="G94" s="50"/>
      <c r="H94" s="50"/>
      <c r="I94" s="50"/>
      <c r="J94" s="50"/>
      <c r="K94" s="50"/>
      <c r="L94" s="50"/>
      <c r="M94" s="50"/>
      <c r="N94" s="50"/>
      <c r="O94" s="50"/>
      <c r="P94" s="50"/>
      <c r="Q94" s="50"/>
      <c r="R94" s="50"/>
      <c r="S94" s="50"/>
      <c r="T94" s="50"/>
      <c r="U94" s="50"/>
      <c r="V94" s="50"/>
      <c r="W94" s="50"/>
      <c r="X94" s="50"/>
      <c r="Y94" s="50"/>
      <c r="Z94" s="65" t="str">
        <f t="shared" si="2"/>
        <v>Очікую</v>
      </c>
      <c r="AA94" s="65" t="str">
        <f t="shared" si="3"/>
        <v>Очікую</v>
      </c>
      <c r="AB94" s="22"/>
      <c r="AC94" s="40"/>
    </row>
    <row r="95" spans="1:29" s="11" customFormat="1" ht="15" customHeight="1" x14ac:dyDescent="0.25">
      <c r="A95" s="41"/>
      <c r="B95" s="12"/>
      <c r="C95" s="48"/>
      <c r="D95" s="48">
        <v>86</v>
      </c>
      <c r="E95" s="49"/>
      <c r="F95" s="50"/>
      <c r="G95" s="50"/>
      <c r="H95" s="50"/>
      <c r="I95" s="50"/>
      <c r="J95" s="50"/>
      <c r="K95" s="50"/>
      <c r="L95" s="50"/>
      <c r="M95" s="50"/>
      <c r="N95" s="50"/>
      <c r="O95" s="50"/>
      <c r="P95" s="50"/>
      <c r="Q95" s="50"/>
      <c r="R95" s="50"/>
      <c r="S95" s="50"/>
      <c r="T95" s="50"/>
      <c r="U95" s="50"/>
      <c r="V95" s="50"/>
      <c r="W95" s="50"/>
      <c r="X95" s="50"/>
      <c r="Y95" s="50"/>
      <c r="Z95" s="65" t="str">
        <f t="shared" si="2"/>
        <v>Очікую</v>
      </c>
      <c r="AA95" s="65" t="str">
        <f t="shared" si="3"/>
        <v>Очікую</v>
      </c>
      <c r="AB95" s="22"/>
      <c r="AC95" s="40"/>
    </row>
    <row r="96" spans="1:29" s="11" customFormat="1" ht="15" customHeight="1" x14ac:dyDescent="0.25">
      <c r="A96" s="41"/>
      <c r="B96" s="12"/>
      <c r="C96" s="48"/>
      <c r="D96" s="48">
        <v>87</v>
      </c>
      <c r="E96" s="49"/>
      <c r="F96" s="50"/>
      <c r="G96" s="50"/>
      <c r="H96" s="50"/>
      <c r="I96" s="50"/>
      <c r="J96" s="50"/>
      <c r="K96" s="50"/>
      <c r="L96" s="50"/>
      <c r="M96" s="50"/>
      <c r="N96" s="50"/>
      <c r="O96" s="50"/>
      <c r="P96" s="50"/>
      <c r="Q96" s="50"/>
      <c r="R96" s="50"/>
      <c r="S96" s="50"/>
      <c r="T96" s="50"/>
      <c r="U96" s="50"/>
      <c r="V96" s="50"/>
      <c r="W96" s="50"/>
      <c r="X96" s="50"/>
      <c r="Y96" s="50"/>
      <c r="Z96" s="65" t="str">
        <f t="shared" si="2"/>
        <v>Очікую</v>
      </c>
      <c r="AA96" s="65" t="str">
        <f t="shared" si="3"/>
        <v>Очікую</v>
      </c>
      <c r="AB96" s="22"/>
      <c r="AC96" s="40"/>
    </row>
    <row r="97" spans="1:29" s="11" customFormat="1" ht="15" customHeight="1" x14ac:dyDescent="0.25">
      <c r="A97" s="41"/>
      <c r="B97" s="12"/>
      <c r="C97" s="48"/>
      <c r="D97" s="48">
        <v>88</v>
      </c>
      <c r="E97" s="49"/>
      <c r="F97" s="50"/>
      <c r="G97" s="50"/>
      <c r="H97" s="50"/>
      <c r="I97" s="50"/>
      <c r="J97" s="50"/>
      <c r="K97" s="50"/>
      <c r="L97" s="50"/>
      <c r="M97" s="50"/>
      <c r="N97" s="50"/>
      <c r="O97" s="50"/>
      <c r="P97" s="50"/>
      <c r="Q97" s="50"/>
      <c r="R97" s="50"/>
      <c r="S97" s="50"/>
      <c r="T97" s="50"/>
      <c r="U97" s="50"/>
      <c r="V97" s="50"/>
      <c r="W97" s="50"/>
      <c r="X97" s="50"/>
      <c r="Y97" s="50"/>
      <c r="Z97" s="65" t="str">
        <f t="shared" si="2"/>
        <v>Очікую</v>
      </c>
      <c r="AA97" s="65" t="str">
        <f t="shared" si="3"/>
        <v>Очікую</v>
      </c>
      <c r="AB97" s="22"/>
      <c r="AC97" s="40"/>
    </row>
    <row r="98" spans="1:29" s="11" customFormat="1" ht="15" customHeight="1" x14ac:dyDescent="0.25">
      <c r="A98" s="41"/>
      <c r="B98" s="12"/>
      <c r="C98" s="48"/>
      <c r="D98" s="48">
        <v>89</v>
      </c>
      <c r="E98" s="49"/>
      <c r="F98" s="50"/>
      <c r="G98" s="50"/>
      <c r="H98" s="50"/>
      <c r="I98" s="50"/>
      <c r="J98" s="50"/>
      <c r="K98" s="50"/>
      <c r="L98" s="50"/>
      <c r="M98" s="50"/>
      <c r="N98" s="50"/>
      <c r="O98" s="50"/>
      <c r="P98" s="50"/>
      <c r="Q98" s="50"/>
      <c r="R98" s="50"/>
      <c r="S98" s="50"/>
      <c r="T98" s="50"/>
      <c r="U98" s="50"/>
      <c r="V98" s="50"/>
      <c r="W98" s="50"/>
      <c r="X98" s="50"/>
      <c r="Y98" s="50"/>
      <c r="Z98" s="65" t="str">
        <f t="shared" si="2"/>
        <v>Очікую</v>
      </c>
      <c r="AA98" s="65" t="str">
        <f t="shared" si="3"/>
        <v>Очікую</v>
      </c>
      <c r="AB98" s="22"/>
      <c r="AC98" s="40"/>
    </row>
    <row r="99" spans="1:29" s="11" customFormat="1" ht="15" customHeight="1" x14ac:dyDescent="0.25">
      <c r="A99" s="41"/>
      <c r="B99" s="12"/>
      <c r="C99" s="48"/>
      <c r="D99" s="48">
        <v>90</v>
      </c>
      <c r="E99" s="49"/>
      <c r="F99" s="50"/>
      <c r="G99" s="50"/>
      <c r="H99" s="50"/>
      <c r="I99" s="50"/>
      <c r="J99" s="50"/>
      <c r="K99" s="50"/>
      <c r="L99" s="50"/>
      <c r="M99" s="50"/>
      <c r="N99" s="50"/>
      <c r="O99" s="50"/>
      <c r="P99" s="50"/>
      <c r="Q99" s="50"/>
      <c r="R99" s="50"/>
      <c r="S99" s="50"/>
      <c r="T99" s="50"/>
      <c r="U99" s="50"/>
      <c r="V99" s="50"/>
      <c r="W99" s="50"/>
      <c r="X99" s="50"/>
      <c r="Y99" s="50"/>
      <c r="Z99" s="65" t="str">
        <f t="shared" si="2"/>
        <v>Очікую</v>
      </c>
      <c r="AA99" s="65" t="str">
        <f t="shared" si="3"/>
        <v>Очікую</v>
      </c>
      <c r="AB99" s="22"/>
      <c r="AC99" s="40"/>
    </row>
    <row r="100" spans="1:29" s="11" customFormat="1" ht="15" customHeight="1" x14ac:dyDescent="0.25">
      <c r="A100" s="41"/>
      <c r="B100" s="12"/>
      <c r="C100" s="48"/>
      <c r="D100" s="48">
        <v>91</v>
      </c>
      <c r="E100" s="49"/>
      <c r="F100" s="50"/>
      <c r="G100" s="50"/>
      <c r="H100" s="50"/>
      <c r="I100" s="50"/>
      <c r="J100" s="50"/>
      <c r="K100" s="50"/>
      <c r="L100" s="50"/>
      <c r="M100" s="50"/>
      <c r="N100" s="50"/>
      <c r="O100" s="50"/>
      <c r="P100" s="50"/>
      <c r="Q100" s="50"/>
      <c r="R100" s="50"/>
      <c r="S100" s="50"/>
      <c r="T100" s="50"/>
      <c r="U100" s="50"/>
      <c r="V100" s="50"/>
      <c r="W100" s="50"/>
      <c r="X100" s="50"/>
      <c r="Y100" s="50"/>
      <c r="Z100" s="65" t="str">
        <f t="shared" si="2"/>
        <v>Очікую</v>
      </c>
      <c r="AA100" s="65" t="str">
        <f t="shared" si="3"/>
        <v>Очікую</v>
      </c>
      <c r="AB100" s="22"/>
      <c r="AC100" s="40"/>
    </row>
    <row r="101" spans="1:29" s="11" customFormat="1" ht="15" customHeight="1" x14ac:dyDescent="0.25">
      <c r="A101" s="41"/>
      <c r="B101" s="12"/>
      <c r="C101" s="48"/>
      <c r="D101" s="48">
        <v>92</v>
      </c>
      <c r="E101" s="49"/>
      <c r="F101" s="50"/>
      <c r="G101" s="50"/>
      <c r="H101" s="50"/>
      <c r="I101" s="50"/>
      <c r="J101" s="50"/>
      <c r="K101" s="50"/>
      <c r="L101" s="50"/>
      <c r="M101" s="50"/>
      <c r="N101" s="50"/>
      <c r="O101" s="50"/>
      <c r="P101" s="50"/>
      <c r="Q101" s="50"/>
      <c r="R101" s="50"/>
      <c r="S101" s="50"/>
      <c r="T101" s="50"/>
      <c r="U101" s="50"/>
      <c r="V101" s="50"/>
      <c r="W101" s="50"/>
      <c r="X101" s="50"/>
      <c r="Y101" s="50"/>
      <c r="Z101" s="65" t="str">
        <f t="shared" si="2"/>
        <v>Очікую</v>
      </c>
      <c r="AA101" s="65" t="str">
        <f t="shared" si="3"/>
        <v>Очікую</v>
      </c>
      <c r="AB101" s="22"/>
      <c r="AC101" s="40"/>
    </row>
    <row r="102" spans="1:29" s="11" customFormat="1" ht="15" customHeight="1" x14ac:dyDescent="0.25">
      <c r="A102" s="41"/>
      <c r="B102" s="12"/>
      <c r="C102" s="48"/>
      <c r="D102" s="48">
        <v>93</v>
      </c>
      <c r="E102" s="49"/>
      <c r="F102" s="50"/>
      <c r="G102" s="50"/>
      <c r="H102" s="50"/>
      <c r="I102" s="50"/>
      <c r="J102" s="50"/>
      <c r="K102" s="50"/>
      <c r="L102" s="50"/>
      <c r="M102" s="50"/>
      <c r="N102" s="50"/>
      <c r="O102" s="50"/>
      <c r="P102" s="50"/>
      <c r="Q102" s="50"/>
      <c r="R102" s="50"/>
      <c r="S102" s="50"/>
      <c r="T102" s="50"/>
      <c r="U102" s="50"/>
      <c r="V102" s="50"/>
      <c r="W102" s="50"/>
      <c r="X102" s="50"/>
      <c r="Y102" s="50"/>
      <c r="Z102" s="65" t="str">
        <f t="shared" si="2"/>
        <v>Очікую</v>
      </c>
      <c r="AA102" s="65" t="str">
        <f t="shared" si="3"/>
        <v>Очікую</v>
      </c>
      <c r="AB102" s="22"/>
      <c r="AC102" s="40"/>
    </row>
    <row r="103" spans="1:29" s="11" customFormat="1" ht="15" customHeight="1" x14ac:dyDescent="0.25">
      <c r="A103" s="41"/>
      <c r="B103" s="12"/>
      <c r="C103" s="48"/>
      <c r="D103" s="48">
        <v>94</v>
      </c>
      <c r="E103" s="49"/>
      <c r="F103" s="50"/>
      <c r="G103" s="50"/>
      <c r="H103" s="50"/>
      <c r="I103" s="50"/>
      <c r="J103" s="50"/>
      <c r="K103" s="50"/>
      <c r="L103" s="50"/>
      <c r="M103" s="50"/>
      <c r="N103" s="50"/>
      <c r="O103" s="50"/>
      <c r="P103" s="50"/>
      <c r="Q103" s="50"/>
      <c r="R103" s="50"/>
      <c r="S103" s="50"/>
      <c r="T103" s="50"/>
      <c r="U103" s="50"/>
      <c r="V103" s="50"/>
      <c r="W103" s="50"/>
      <c r="X103" s="50"/>
      <c r="Y103" s="50"/>
      <c r="Z103" s="65" t="str">
        <f t="shared" si="2"/>
        <v>Очікую</v>
      </c>
      <c r="AA103" s="65" t="str">
        <f t="shared" si="3"/>
        <v>Очікую</v>
      </c>
      <c r="AB103" s="22"/>
      <c r="AC103" s="40"/>
    </row>
    <row r="104" spans="1:29" s="11" customFormat="1" ht="15" customHeight="1" x14ac:dyDescent="0.25">
      <c r="A104" s="41"/>
      <c r="B104" s="12"/>
      <c r="C104" s="48"/>
      <c r="D104" s="48">
        <v>95</v>
      </c>
      <c r="E104" s="49"/>
      <c r="F104" s="50"/>
      <c r="G104" s="50"/>
      <c r="H104" s="50"/>
      <c r="I104" s="50"/>
      <c r="J104" s="50"/>
      <c r="K104" s="50"/>
      <c r="L104" s="50"/>
      <c r="M104" s="50"/>
      <c r="N104" s="50"/>
      <c r="O104" s="50"/>
      <c r="P104" s="50"/>
      <c r="Q104" s="50"/>
      <c r="R104" s="50"/>
      <c r="S104" s="50"/>
      <c r="T104" s="50"/>
      <c r="U104" s="50"/>
      <c r="V104" s="50"/>
      <c r="W104" s="50"/>
      <c r="X104" s="50"/>
      <c r="Y104" s="50"/>
      <c r="Z104" s="65" t="str">
        <f t="shared" si="2"/>
        <v>Очікую</v>
      </c>
      <c r="AA104" s="65" t="str">
        <f t="shared" si="3"/>
        <v>Очікую</v>
      </c>
      <c r="AB104" s="22"/>
      <c r="AC104" s="40"/>
    </row>
    <row r="105" spans="1:29" s="11" customFormat="1" ht="15" customHeight="1" x14ac:dyDescent="0.25">
      <c r="A105" s="41"/>
      <c r="B105" s="12"/>
      <c r="C105" s="48"/>
      <c r="D105" s="48">
        <v>96</v>
      </c>
      <c r="E105" s="49"/>
      <c r="F105" s="50"/>
      <c r="G105" s="50"/>
      <c r="H105" s="50"/>
      <c r="I105" s="50"/>
      <c r="J105" s="50"/>
      <c r="K105" s="50"/>
      <c r="L105" s="50"/>
      <c r="M105" s="50"/>
      <c r="N105" s="50"/>
      <c r="O105" s="50"/>
      <c r="P105" s="50"/>
      <c r="Q105" s="50"/>
      <c r="R105" s="50"/>
      <c r="S105" s="50"/>
      <c r="T105" s="50"/>
      <c r="U105" s="50"/>
      <c r="V105" s="50"/>
      <c r="W105" s="50"/>
      <c r="X105" s="50"/>
      <c r="Y105" s="50"/>
      <c r="Z105" s="65" t="str">
        <f t="shared" si="2"/>
        <v>Очікую</v>
      </c>
      <c r="AA105" s="65" t="str">
        <f t="shared" si="3"/>
        <v>Очікую</v>
      </c>
      <c r="AB105" s="22"/>
      <c r="AC105" s="40"/>
    </row>
    <row r="106" spans="1:29" s="11" customFormat="1" ht="15" customHeight="1" x14ac:dyDescent="0.25">
      <c r="A106" s="41"/>
      <c r="B106" s="12"/>
      <c r="C106" s="48"/>
      <c r="D106" s="48">
        <v>97</v>
      </c>
      <c r="E106" s="49"/>
      <c r="F106" s="50"/>
      <c r="G106" s="50"/>
      <c r="H106" s="50"/>
      <c r="I106" s="50"/>
      <c r="J106" s="50"/>
      <c r="K106" s="50"/>
      <c r="L106" s="50"/>
      <c r="M106" s="50"/>
      <c r="N106" s="50"/>
      <c r="O106" s="50"/>
      <c r="P106" s="50"/>
      <c r="Q106" s="50"/>
      <c r="R106" s="50"/>
      <c r="S106" s="50"/>
      <c r="T106" s="50"/>
      <c r="U106" s="50"/>
      <c r="V106" s="50"/>
      <c r="W106" s="50"/>
      <c r="X106" s="50"/>
      <c r="Y106" s="50"/>
      <c r="Z106" s="65" t="str">
        <f t="shared" si="2"/>
        <v>Очікую</v>
      </c>
      <c r="AA106" s="65" t="str">
        <f t="shared" si="3"/>
        <v>Очікую</v>
      </c>
      <c r="AB106" s="22"/>
      <c r="AC106" s="40"/>
    </row>
    <row r="107" spans="1:29" s="11" customFormat="1" ht="15" customHeight="1" x14ac:dyDescent="0.25">
      <c r="A107" s="41"/>
      <c r="B107" s="12"/>
      <c r="C107" s="48"/>
      <c r="D107" s="48">
        <v>98</v>
      </c>
      <c r="E107" s="49"/>
      <c r="F107" s="50"/>
      <c r="G107" s="50"/>
      <c r="H107" s="50"/>
      <c r="I107" s="50"/>
      <c r="J107" s="50"/>
      <c r="K107" s="50"/>
      <c r="L107" s="50"/>
      <c r="M107" s="50"/>
      <c r="N107" s="50"/>
      <c r="O107" s="50"/>
      <c r="P107" s="50"/>
      <c r="Q107" s="50"/>
      <c r="R107" s="50"/>
      <c r="S107" s="50"/>
      <c r="T107" s="50"/>
      <c r="U107" s="50"/>
      <c r="V107" s="50"/>
      <c r="W107" s="50"/>
      <c r="X107" s="50"/>
      <c r="Y107" s="50"/>
      <c r="Z107" s="65" t="str">
        <f t="shared" si="2"/>
        <v>Очікую</v>
      </c>
      <c r="AA107" s="65" t="str">
        <f t="shared" si="3"/>
        <v>Очікую</v>
      </c>
      <c r="AB107" s="22"/>
      <c r="AC107" s="40"/>
    </row>
    <row r="108" spans="1:29" s="11" customFormat="1" ht="15" customHeight="1" x14ac:dyDescent="0.25">
      <c r="A108" s="41"/>
      <c r="B108" s="12"/>
      <c r="C108" s="48"/>
      <c r="D108" s="48">
        <v>99</v>
      </c>
      <c r="E108" s="49"/>
      <c r="F108" s="50"/>
      <c r="G108" s="50"/>
      <c r="H108" s="50"/>
      <c r="I108" s="50"/>
      <c r="J108" s="50"/>
      <c r="K108" s="50"/>
      <c r="L108" s="50"/>
      <c r="M108" s="50"/>
      <c r="N108" s="50"/>
      <c r="O108" s="50"/>
      <c r="P108" s="50"/>
      <c r="Q108" s="50"/>
      <c r="R108" s="50"/>
      <c r="S108" s="50"/>
      <c r="T108" s="50"/>
      <c r="U108" s="50"/>
      <c r="V108" s="50"/>
      <c r="W108" s="50"/>
      <c r="X108" s="50"/>
      <c r="Y108" s="50"/>
      <c r="Z108" s="65" t="str">
        <f t="shared" si="2"/>
        <v>Очікую</v>
      </c>
      <c r="AA108" s="65" t="str">
        <f t="shared" si="3"/>
        <v>Очікую</v>
      </c>
      <c r="AB108" s="22"/>
      <c r="AC108" s="40"/>
    </row>
    <row r="109" spans="1:29" s="11" customFormat="1" ht="15" customHeight="1" x14ac:dyDescent="0.25">
      <c r="A109" s="41"/>
      <c r="B109" s="12"/>
      <c r="C109" s="48"/>
      <c r="D109" s="48">
        <v>100</v>
      </c>
      <c r="E109" s="49"/>
      <c r="F109" s="50"/>
      <c r="G109" s="50"/>
      <c r="H109" s="50"/>
      <c r="I109" s="50"/>
      <c r="J109" s="50"/>
      <c r="K109" s="50"/>
      <c r="L109" s="50"/>
      <c r="M109" s="50"/>
      <c r="N109" s="50"/>
      <c r="O109" s="50"/>
      <c r="P109" s="50"/>
      <c r="Q109" s="50"/>
      <c r="R109" s="50"/>
      <c r="S109" s="50"/>
      <c r="T109" s="50"/>
      <c r="U109" s="50"/>
      <c r="V109" s="50"/>
      <c r="W109" s="50"/>
      <c r="X109" s="50"/>
      <c r="Y109" s="50"/>
      <c r="Z109" s="65" t="str">
        <f t="shared" si="2"/>
        <v>Очікую</v>
      </c>
      <c r="AA109" s="65" t="str">
        <f t="shared" si="3"/>
        <v>Очікую</v>
      </c>
      <c r="AB109" s="22"/>
      <c r="AC109" s="40"/>
    </row>
    <row r="110" spans="1:29" ht="15" customHeight="1" x14ac:dyDescent="0.25">
      <c r="A110" s="41"/>
      <c r="B110" s="12"/>
      <c r="C110" s="6"/>
      <c r="D110" s="6"/>
      <c r="E110" s="7" t="s">
        <v>9</v>
      </c>
      <c r="F110" s="5" t="str">
        <f>ЛЗ1!F115</f>
        <v>Очікую</v>
      </c>
      <c r="G110" s="6"/>
      <c r="H110" s="6"/>
      <c r="I110" s="6"/>
      <c r="J110" s="6"/>
      <c r="K110" s="6"/>
      <c r="L110" s="6"/>
      <c r="M110" s="6"/>
      <c r="N110" s="6"/>
      <c r="O110" s="6"/>
      <c r="P110" s="6"/>
      <c r="Q110" s="6"/>
      <c r="R110" s="6"/>
      <c r="S110" s="6"/>
      <c r="T110" s="6"/>
      <c r="U110" s="6"/>
      <c r="V110" s="6"/>
      <c r="W110" s="60"/>
      <c r="X110" s="60"/>
      <c r="Y110" s="60"/>
      <c r="Z110" s="60"/>
      <c r="AA110" s="60"/>
      <c r="AB110" s="20"/>
      <c r="AC110" s="40"/>
    </row>
    <row r="111" spans="1:29" ht="15" customHeight="1" x14ac:dyDescent="0.3">
      <c r="A111" s="41"/>
      <c r="B111" s="12"/>
      <c r="C111" s="6"/>
      <c r="D111" s="6"/>
      <c r="E111" s="7" t="s">
        <v>10</v>
      </c>
      <c r="F111" s="5" t="str">
        <f>ЛЗ1!F116</f>
        <v>Очікую</v>
      </c>
      <c r="G111" s="6"/>
      <c r="H111" s="63" t="s">
        <v>11</v>
      </c>
      <c r="I111" s="6"/>
      <c r="J111" s="6"/>
      <c r="K111" s="6"/>
      <c r="L111" s="6"/>
      <c r="M111" s="6"/>
      <c r="N111" s="63"/>
      <c r="O111" s="63"/>
      <c r="P111" s="63"/>
      <c r="Q111" s="63"/>
      <c r="R111" s="6"/>
      <c r="S111" s="6"/>
      <c r="T111" s="6"/>
      <c r="U111" s="64"/>
      <c r="V111" s="62"/>
      <c r="W111" s="62"/>
      <c r="X111" s="62"/>
      <c r="Y111" s="62"/>
      <c r="Z111" s="62"/>
      <c r="AA111" s="62"/>
      <c r="AB111" s="20"/>
      <c r="AC111" s="40"/>
    </row>
    <row r="112" spans="1:29" ht="15" customHeight="1" x14ac:dyDescent="0.25">
      <c r="A112" s="41"/>
      <c r="B112" s="12"/>
      <c r="C112" s="6"/>
      <c r="D112" s="6"/>
      <c r="E112" s="7" t="s">
        <v>12</v>
      </c>
      <c r="F112" s="5">
        <f>ЛЗ1!F117</f>
        <v>0</v>
      </c>
      <c r="G112" s="6"/>
      <c r="H112" s="63"/>
      <c r="I112" s="6"/>
      <c r="J112" s="6"/>
      <c r="K112" s="6"/>
      <c r="L112" s="6"/>
      <c r="M112" s="6"/>
      <c r="N112" s="63"/>
      <c r="O112" s="63"/>
      <c r="P112" s="63"/>
      <c r="Q112" s="63"/>
      <c r="R112" s="6"/>
      <c r="S112" s="6"/>
      <c r="T112" s="6"/>
      <c r="U112" s="64"/>
      <c r="V112" s="60"/>
      <c r="W112" s="60"/>
      <c r="X112" s="60"/>
      <c r="Y112" s="60"/>
      <c r="Z112" s="60"/>
      <c r="AA112" s="60"/>
      <c r="AB112" s="20"/>
      <c r="AC112" s="40"/>
    </row>
    <row r="113" spans="1:29" ht="15" customHeight="1" x14ac:dyDescent="0.3">
      <c r="A113" s="41"/>
      <c r="B113" s="12"/>
      <c r="C113" s="6"/>
      <c r="D113" s="6"/>
      <c r="E113" s="7" t="s">
        <v>13</v>
      </c>
      <c r="F113" s="5" t="str">
        <f>ЛЗ1!F118</f>
        <v>Очікую</v>
      </c>
      <c r="G113" s="6"/>
      <c r="H113" s="64" t="s">
        <v>14</v>
      </c>
      <c r="I113" s="6"/>
      <c r="J113" s="6"/>
      <c r="K113" s="6"/>
      <c r="L113" s="6"/>
      <c r="M113" s="6"/>
      <c r="N113" s="64"/>
      <c r="O113" s="64"/>
      <c r="P113" s="64"/>
      <c r="Q113" s="64"/>
      <c r="R113" s="6"/>
      <c r="S113" s="6"/>
      <c r="T113" s="6"/>
      <c r="U113" s="64"/>
      <c r="V113" s="62"/>
      <c r="W113" s="62"/>
      <c r="X113" s="62"/>
      <c r="Y113" s="62"/>
      <c r="Z113" s="62"/>
      <c r="AA113" s="62"/>
      <c r="AB113" s="20"/>
      <c r="AC113" s="40"/>
    </row>
    <row r="114" spans="1:29" ht="12" customHeight="1" thickBot="1" x14ac:dyDescent="0.3">
      <c r="A114" s="41"/>
      <c r="B114" s="21"/>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B114" s="15"/>
      <c r="AC114" s="40"/>
    </row>
    <row r="115" spans="1:29" ht="12" customHeight="1" x14ac:dyDescent="0.25">
      <c r="A115" s="39"/>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c r="AA115" s="39"/>
      <c r="AB115" s="39"/>
      <c r="AC115" s="40"/>
    </row>
  </sheetData>
  <sheetProtection insertRows="0" deleteRows="0"/>
  <mergeCells count="11">
    <mergeCell ref="Z8:Z9"/>
    <mergeCell ref="C3:AA3"/>
    <mergeCell ref="C4:AA4"/>
    <mergeCell ref="C5:AA5"/>
    <mergeCell ref="C6:AA6"/>
    <mergeCell ref="C7:AA7"/>
    <mergeCell ref="C8:C9"/>
    <mergeCell ref="D8:D9"/>
    <mergeCell ref="E8:E9"/>
    <mergeCell ref="F8:Y8"/>
    <mergeCell ref="AA8:AA9"/>
  </mergeCells>
  <printOptions horizontalCentered="1"/>
  <pageMargins left="0.19685039370078741" right="0.19685039370078741" top="0.19685039370078741" bottom="0.19685039370078741" header="0" footer="0"/>
  <pageSetup paperSize="9" scale="3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E26B0A"/>
    <pageSetUpPr fitToPage="1"/>
  </sheetPr>
  <dimension ref="A1:BO120"/>
  <sheetViews>
    <sheetView zoomScaleNormal="100" workbookViewId="0"/>
  </sheetViews>
  <sheetFormatPr defaultColWidth="0" defaultRowHeight="0" customHeight="1" zeroHeight="1" x14ac:dyDescent="0.25"/>
  <cols>
    <col min="1" max="2" width="2.7109375" style="1" customWidth="1"/>
    <col min="3" max="3" width="4.140625" style="1" customWidth="1"/>
    <col min="4" max="4" width="6.5703125" style="1" customWidth="1"/>
    <col min="5" max="5" width="40.42578125" style="1" customWidth="1"/>
    <col min="6" max="25" width="6.7109375" style="1" customWidth="1"/>
    <col min="26" max="27" width="11.28515625" style="1" customWidth="1"/>
    <col min="28" max="29" width="2.7109375" style="1" customWidth="1"/>
    <col min="30" max="35" width="14.42578125" style="1" hidden="1" customWidth="1"/>
    <col min="36" max="36" width="14.85546875" style="1" hidden="1" customWidth="1"/>
    <col min="37" max="50" width="3.7109375" style="1" hidden="1" customWidth="1"/>
    <col min="51" max="67" width="5.7109375" style="1" hidden="1" customWidth="1"/>
    <col min="68" max="16384" width="14.42578125" style="1" hidden="1"/>
  </cols>
  <sheetData>
    <row r="1" spans="1:29" ht="12" customHeight="1" thickBot="1" x14ac:dyDescent="0.3">
      <c r="A1" s="38" t="s">
        <v>18</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row>
    <row r="2" spans="1:29" ht="12" customHeight="1" x14ac:dyDescent="0.25">
      <c r="A2" s="41"/>
      <c r="B2" s="29"/>
      <c r="C2" s="30"/>
      <c r="D2" s="30"/>
      <c r="E2" s="30"/>
      <c r="F2" s="30"/>
      <c r="G2" s="30"/>
      <c r="H2" s="30"/>
      <c r="I2" s="30"/>
      <c r="J2" s="30"/>
      <c r="K2" s="30"/>
      <c r="L2" s="30"/>
      <c r="M2" s="30"/>
      <c r="N2" s="30"/>
      <c r="O2" s="30"/>
      <c r="P2" s="30"/>
      <c r="Q2" s="30"/>
      <c r="R2" s="30"/>
      <c r="S2" s="30"/>
      <c r="T2" s="30"/>
      <c r="U2" s="30"/>
      <c r="V2" s="30"/>
      <c r="W2" s="30"/>
      <c r="X2" s="30"/>
      <c r="Y2" s="30"/>
      <c r="Z2" s="30"/>
      <c r="AA2" s="30"/>
      <c r="AB2" s="31"/>
      <c r="AC2" s="40"/>
    </row>
    <row r="3" spans="1:29" s="2" customFormat="1" ht="54.95" customHeight="1" x14ac:dyDescent="0.3">
      <c r="A3" s="41"/>
      <c r="B3" s="32"/>
      <c r="C3" s="85" t="s">
        <v>19</v>
      </c>
      <c r="D3" s="85"/>
      <c r="E3" s="85"/>
      <c r="F3" s="85"/>
      <c r="G3" s="85"/>
      <c r="H3" s="85"/>
      <c r="I3" s="85"/>
      <c r="J3" s="85"/>
      <c r="K3" s="85"/>
      <c r="L3" s="85"/>
      <c r="M3" s="85"/>
      <c r="N3" s="85"/>
      <c r="O3" s="85"/>
      <c r="P3" s="85"/>
      <c r="Q3" s="85"/>
      <c r="R3" s="85"/>
      <c r="S3" s="85"/>
      <c r="T3" s="85"/>
      <c r="U3" s="85"/>
      <c r="V3" s="85"/>
      <c r="W3" s="85"/>
      <c r="X3" s="85"/>
      <c r="Y3" s="85"/>
      <c r="Z3" s="85"/>
      <c r="AA3" s="85"/>
      <c r="AB3" s="33"/>
      <c r="AC3" s="40"/>
    </row>
    <row r="4" spans="1:29" s="3" customFormat="1" ht="15" customHeight="1" x14ac:dyDescent="0.25">
      <c r="A4" s="41"/>
      <c r="B4" s="32"/>
      <c r="C4" s="84" t="s">
        <v>23</v>
      </c>
      <c r="D4" s="84"/>
      <c r="E4" s="84"/>
      <c r="F4" s="84"/>
      <c r="G4" s="84"/>
      <c r="H4" s="84"/>
      <c r="I4" s="84"/>
      <c r="J4" s="84"/>
      <c r="K4" s="84"/>
      <c r="L4" s="84"/>
      <c r="M4" s="84"/>
      <c r="N4" s="84"/>
      <c r="O4" s="84"/>
      <c r="P4" s="84"/>
      <c r="Q4" s="84"/>
      <c r="R4" s="84"/>
      <c r="S4" s="84"/>
      <c r="T4" s="84"/>
      <c r="U4" s="84"/>
      <c r="V4" s="84"/>
      <c r="W4" s="84"/>
      <c r="X4" s="84"/>
      <c r="Y4" s="84"/>
      <c r="Z4" s="84"/>
      <c r="AA4" s="84"/>
      <c r="AB4" s="33"/>
      <c r="AC4" s="40"/>
    </row>
    <row r="5" spans="1:29" s="2" customFormat="1" ht="15" customHeight="1" x14ac:dyDescent="0.25">
      <c r="A5" s="41"/>
      <c r="B5" s="32"/>
      <c r="C5" s="86" t="str">
        <f>ЛЗ2!C5</f>
        <v>Успішності студентів спеціальності XXX «XXXXX»</v>
      </c>
      <c r="D5" s="86"/>
      <c r="E5" s="86"/>
      <c r="F5" s="86"/>
      <c r="G5" s="86"/>
      <c r="H5" s="86"/>
      <c r="I5" s="86"/>
      <c r="J5" s="86"/>
      <c r="K5" s="86"/>
      <c r="L5" s="86"/>
      <c r="M5" s="86"/>
      <c r="N5" s="86"/>
      <c r="O5" s="86"/>
      <c r="P5" s="86"/>
      <c r="Q5" s="86"/>
      <c r="R5" s="86"/>
      <c r="S5" s="86"/>
      <c r="T5" s="86"/>
      <c r="U5" s="86"/>
      <c r="V5" s="86"/>
      <c r="W5" s="86"/>
      <c r="X5" s="86"/>
      <c r="Y5" s="86"/>
      <c r="Z5" s="86"/>
      <c r="AA5" s="86"/>
      <c r="AB5" s="33"/>
      <c r="AC5" s="40"/>
    </row>
    <row r="6" spans="1:29" s="2" customFormat="1" ht="15" customHeight="1" x14ac:dyDescent="0.25">
      <c r="A6" s="41"/>
      <c r="B6" s="32"/>
      <c r="C6" s="86" t="str">
        <f>ЛЗ2!C6</f>
        <v>За X семестр XXXX-XXXX н.р.</v>
      </c>
      <c r="D6" s="86"/>
      <c r="E6" s="86"/>
      <c r="F6" s="86"/>
      <c r="G6" s="86"/>
      <c r="H6" s="86"/>
      <c r="I6" s="86"/>
      <c r="J6" s="86"/>
      <c r="K6" s="86"/>
      <c r="L6" s="86"/>
      <c r="M6" s="86"/>
      <c r="N6" s="86"/>
      <c r="O6" s="86"/>
      <c r="P6" s="86"/>
      <c r="Q6" s="86"/>
      <c r="R6" s="86"/>
      <c r="S6" s="86"/>
      <c r="T6" s="86"/>
      <c r="U6" s="86"/>
      <c r="V6" s="86"/>
      <c r="W6" s="86"/>
      <c r="X6" s="86"/>
      <c r="Y6" s="86"/>
      <c r="Z6" s="86"/>
      <c r="AA6" s="86"/>
      <c r="AB6" s="33"/>
      <c r="AC6" s="40"/>
    </row>
    <row r="7" spans="1:29" s="2" customFormat="1" ht="15" customHeight="1" x14ac:dyDescent="0.25">
      <c r="A7" s="41"/>
      <c r="B7" s="32"/>
      <c r="C7" s="87" t="str">
        <f>ЛЗ2!C7</f>
        <v>Група XXXX курс X</v>
      </c>
      <c r="D7" s="87"/>
      <c r="E7" s="87"/>
      <c r="F7" s="87"/>
      <c r="G7" s="87"/>
      <c r="H7" s="87"/>
      <c r="I7" s="87"/>
      <c r="J7" s="87"/>
      <c r="K7" s="87"/>
      <c r="L7" s="87"/>
      <c r="M7" s="87"/>
      <c r="N7" s="87"/>
      <c r="O7" s="87"/>
      <c r="P7" s="87"/>
      <c r="Q7" s="87"/>
      <c r="R7" s="87"/>
      <c r="S7" s="87"/>
      <c r="T7" s="87"/>
      <c r="U7" s="87"/>
      <c r="V7" s="87"/>
      <c r="W7" s="87"/>
      <c r="X7" s="87"/>
      <c r="Y7" s="87"/>
      <c r="Z7" s="87"/>
      <c r="AA7" s="87"/>
      <c r="AB7" s="33"/>
      <c r="AC7" s="40"/>
    </row>
    <row r="8" spans="1:29" ht="15" customHeight="1" x14ac:dyDescent="0.25">
      <c r="A8" s="41"/>
      <c r="B8" s="32"/>
      <c r="C8" s="74" t="s">
        <v>0</v>
      </c>
      <c r="D8" s="76" t="s">
        <v>1</v>
      </c>
      <c r="E8" s="76" t="s">
        <v>2</v>
      </c>
      <c r="F8" s="77" t="s">
        <v>17</v>
      </c>
      <c r="G8" s="78"/>
      <c r="H8" s="78"/>
      <c r="I8" s="78"/>
      <c r="J8" s="78"/>
      <c r="K8" s="78"/>
      <c r="L8" s="78"/>
      <c r="M8" s="78"/>
      <c r="N8" s="78"/>
      <c r="O8" s="78"/>
      <c r="P8" s="78"/>
      <c r="Q8" s="78"/>
      <c r="R8" s="78"/>
      <c r="S8" s="78"/>
      <c r="T8" s="78"/>
      <c r="U8" s="78"/>
      <c r="V8" s="78"/>
      <c r="W8" s="78"/>
      <c r="X8" s="78"/>
      <c r="Y8" s="79"/>
      <c r="Z8" s="80" t="s">
        <v>3</v>
      </c>
      <c r="AA8" s="80" t="s">
        <v>24</v>
      </c>
      <c r="AB8" s="33"/>
      <c r="AC8" s="40"/>
    </row>
    <row r="9" spans="1:29" ht="125.1" customHeight="1" x14ac:dyDescent="0.25">
      <c r="A9" s="41"/>
      <c r="B9" s="32"/>
      <c r="C9" s="75"/>
      <c r="D9" s="75"/>
      <c r="E9" s="75"/>
      <c r="F9" s="51">
        <v>1</v>
      </c>
      <c r="G9" s="51">
        <v>2</v>
      </c>
      <c r="H9" s="51">
        <v>3</v>
      </c>
      <c r="I9" s="51">
        <v>4</v>
      </c>
      <c r="J9" s="51">
        <v>5</v>
      </c>
      <c r="K9" s="51">
        <v>6</v>
      </c>
      <c r="L9" s="51">
        <v>7</v>
      </c>
      <c r="M9" s="51">
        <v>8</v>
      </c>
      <c r="N9" s="51">
        <v>9</v>
      </c>
      <c r="O9" s="51">
        <v>10</v>
      </c>
      <c r="P9" s="51">
        <v>11</v>
      </c>
      <c r="Q9" s="51">
        <v>12</v>
      </c>
      <c r="R9" s="51">
        <v>13</v>
      </c>
      <c r="S9" s="51">
        <v>14</v>
      </c>
      <c r="T9" s="51">
        <v>15</v>
      </c>
      <c r="U9" s="51">
        <v>16</v>
      </c>
      <c r="V9" s="51">
        <v>17</v>
      </c>
      <c r="W9" s="51">
        <v>18</v>
      </c>
      <c r="X9" s="51">
        <v>19</v>
      </c>
      <c r="Y9" s="51">
        <v>20</v>
      </c>
      <c r="Z9" s="81"/>
      <c r="AA9" s="81"/>
      <c r="AB9" s="33"/>
      <c r="AC9" s="40"/>
    </row>
    <row r="10" spans="1:29" s="11" customFormat="1" ht="15" customHeight="1" x14ac:dyDescent="0.25">
      <c r="A10" s="41"/>
      <c r="B10" s="32"/>
      <c r="C10" s="48"/>
      <c r="D10" s="48">
        <v>1</v>
      </c>
      <c r="E10" s="49"/>
      <c r="F10" s="48"/>
      <c r="G10" s="48"/>
      <c r="H10" s="48"/>
      <c r="I10" s="48"/>
      <c r="J10" s="48"/>
      <c r="K10" s="48"/>
      <c r="L10" s="48"/>
      <c r="M10" s="48"/>
      <c r="N10" s="48"/>
      <c r="O10" s="48"/>
      <c r="P10" s="48"/>
      <c r="Q10" s="48"/>
      <c r="R10" s="48"/>
      <c r="S10" s="48"/>
      <c r="T10" s="48"/>
      <c r="U10" s="48"/>
      <c r="V10" s="48"/>
      <c r="W10" s="48"/>
      <c r="X10" s="48"/>
      <c r="Y10" s="48"/>
      <c r="Z10" s="52" t="str">
        <f>IF(COUNTIF(F10:Y10,"=*")&gt;0,IF($C10="К","-"," - "),IF(COUNTIF(F10:Y10,"&lt;4")&gt;0,IF(C10="К","-"," - "),(IFERROR(AVERAGE(F10:Y10),"Очікую"))))</f>
        <v>Очікую</v>
      </c>
      <c r="AA10" s="52" t="str">
        <f t="shared" ref="AA10" si="0">IFERROR(Z10/12*90,"Очікую")</f>
        <v>Очікую</v>
      </c>
      <c r="AB10" s="34"/>
      <c r="AC10" s="40"/>
    </row>
    <row r="11" spans="1:29" s="11" customFormat="1" ht="15" customHeight="1" x14ac:dyDescent="0.25">
      <c r="A11" s="41"/>
      <c r="B11" s="32"/>
      <c r="C11" s="48"/>
      <c r="D11" s="48">
        <v>2</v>
      </c>
      <c r="E11" s="49"/>
      <c r="F11" s="48"/>
      <c r="G11" s="48"/>
      <c r="H11" s="48"/>
      <c r="I11" s="48"/>
      <c r="J11" s="48"/>
      <c r="K11" s="48"/>
      <c r="L11" s="48"/>
      <c r="M11" s="48"/>
      <c r="N11" s="48"/>
      <c r="O11" s="48"/>
      <c r="P11" s="48"/>
      <c r="Q11" s="48"/>
      <c r="R11" s="48"/>
      <c r="S11" s="48"/>
      <c r="T11" s="48"/>
      <c r="U11" s="48"/>
      <c r="V11" s="48"/>
      <c r="W11" s="48"/>
      <c r="X11" s="48"/>
      <c r="Y11" s="48"/>
      <c r="Z11" s="52" t="str">
        <f t="shared" ref="Z11:Z74" si="1">IF(COUNTIF(F11:Y11,"=*")&gt;0,IF($C11="К","-"," - "),IF(COUNTIF(F11:Y11,"&lt;4")&gt;0,IF(C11="К","-"," - "),(IFERROR(AVERAGE(F11:Y11),"Очікую"))))</f>
        <v>Очікую</v>
      </c>
      <c r="AA11" s="52" t="str">
        <f t="shared" ref="AA11:AA74" si="2">IFERROR(Z11/12*90,"Очікую")</f>
        <v>Очікую</v>
      </c>
      <c r="AB11" s="34"/>
      <c r="AC11" s="40"/>
    </row>
    <row r="12" spans="1:29" s="11" customFormat="1" ht="15" customHeight="1" x14ac:dyDescent="0.25">
      <c r="A12" s="41"/>
      <c r="B12" s="32"/>
      <c r="C12" s="48"/>
      <c r="D12" s="48">
        <v>3</v>
      </c>
      <c r="E12" s="49"/>
      <c r="F12" s="48"/>
      <c r="G12" s="48"/>
      <c r="H12" s="48"/>
      <c r="I12" s="48"/>
      <c r="J12" s="48"/>
      <c r="K12" s="48"/>
      <c r="L12" s="48"/>
      <c r="M12" s="48"/>
      <c r="N12" s="48"/>
      <c r="O12" s="48"/>
      <c r="P12" s="48"/>
      <c r="Q12" s="48"/>
      <c r="R12" s="48"/>
      <c r="S12" s="48"/>
      <c r="T12" s="48"/>
      <c r="U12" s="48"/>
      <c r="V12" s="48"/>
      <c r="W12" s="48"/>
      <c r="X12" s="48"/>
      <c r="Y12" s="48"/>
      <c r="Z12" s="52" t="str">
        <f t="shared" si="1"/>
        <v>Очікую</v>
      </c>
      <c r="AA12" s="52" t="str">
        <f t="shared" si="2"/>
        <v>Очікую</v>
      </c>
      <c r="AB12" s="34"/>
      <c r="AC12" s="40"/>
    </row>
    <row r="13" spans="1:29" s="11" customFormat="1" ht="15" customHeight="1" x14ac:dyDescent="0.25">
      <c r="A13" s="41"/>
      <c r="B13" s="32"/>
      <c r="C13" s="48"/>
      <c r="D13" s="48">
        <v>4</v>
      </c>
      <c r="E13" s="49"/>
      <c r="F13" s="48"/>
      <c r="G13" s="48"/>
      <c r="H13" s="48"/>
      <c r="I13" s="48"/>
      <c r="J13" s="48"/>
      <c r="K13" s="48"/>
      <c r="L13" s="48"/>
      <c r="M13" s="48"/>
      <c r="N13" s="48"/>
      <c r="O13" s="48"/>
      <c r="P13" s="48"/>
      <c r="Q13" s="48"/>
      <c r="R13" s="48"/>
      <c r="S13" s="48"/>
      <c r="T13" s="48"/>
      <c r="U13" s="48"/>
      <c r="V13" s="48"/>
      <c r="W13" s="48"/>
      <c r="X13" s="48"/>
      <c r="Y13" s="48"/>
      <c r="Z13" s="52" t="str">
        <f t="shared" si="1"/>
        <v>Очікую</v>
      </c>
      <c r="AA13" s="52" t="str">
        <f t="shared" si="2"/>
        <v>Очікую</v>
      </c>
      <c r="AB13" s="34"/>
      <c r="AC13" s="40"/>
    </row>
    <row r="14" spans="1:29" s="11" customFormat="1" ht="15" customHeight="1" x14ac:dyDescent="0.25">
      <c r="A14" s="41"/>
      <c r="B14" s="32"/>
      <c r="C14" s="48"/>
      <c r="D14" s="48">
        <v>5</v>
      </c>
      <c r="E14" s="49"/>
      <c r="F14" s="48"/>
      <c r="G14" s="48"/>
      <c r="H14" s="48"/>
      <c r="I14" s="48"/>
      <c r="J14" s="48"/>
      <c r="K14" s="48"/>
      <c r="L14" s="48"/>
      <c r="M14" s="48"/>
      <c r="N14" s="48"/>
      <c r="O14" s="48"/>
      <c r="P14" s="48"/>
      <c r="Q14" s="48"/>
      <c r="R14" s="48"/>
      <c r="S14" s="48"/>
      <c r="T14" s="48"/>
      <c r="U14" s="48"/>
      <c r="V14" s="48"/>
      <c r="W14" s="48"/>
      <c r="X14" s="48"/>
      <c r="Y14" s="48"/>
      <c r="Z14" s="52" t="str">
        <f t="shared" si="1"/>
        <v>Очікую</v>
      </c>
      <c r="AA14" s="52" t="str">
        <f t="shared" si="2"/>
        <v>Очікую</v>
      </c>
      <c r="AB14" s="34"/>
      <c r="AC14" s="40"/>
    </row>
    <row r="15" spans="1:29" s="11" customFormat="1" ht="15" customHeight="1" x14ac:dyDescent="0.25">
      <c r="A15" s="41"/>
      <c r="B15" s="32"/>
      <c r="C15" s="48"/>
      <c r="D15" s="48">
        <v>6</v>
      </c>
      <c r="E15" s="49"/>
      <c r="F15" s="48"/>
      <c r="G15" s="48"/>
      <c r="H15" s="48"/>
      <c r="I15" s="48"/>
      <c r="J15" s="48"/>
      <c r="K15" s="48"/>
      <c r="L15" s="48"/>
      <c r="M15" s="48"/>
      <c r="N15" s="48"/>
      <c r="O15" s="48"/>
      <c r="P15" s="48"/>
      <c r="Q15" s="48"/>
      <c r="R15" s="48"/>
      <c r="S15" s="48"/>
      <c r="T15" s="48"/>
      <c r="U15" s="48"/>
      <c r="V15" s="48"/>
      <c r="W15" s="48"/>
      <c r="X15" s="48"/>
      <c r="Y15" s="48"/>
      <c r="Z15" s="52" t="str">
        <f t="shared" si="1"/>
        <v>Очікую</v>
      </c>
      <c r="AA15" s="52" t="str">
        <f t="shared" si="2"/>
        <v>Очікую</v>
      </c>
      <c r="AB15" s="34"/>
      <c r="AC15" s="40"/>
    </row>
    <row r="16" spans="1:29" s="11" customFormat="1" ht="15" customHeight="1" x14ac:dyDescent="0.25">
      <c r="A16" s="41"/>
      <c r="B16" s="32"/>
      <c r="C16" s="48"/>
      <c r="D16" s="48">
        <v>7</v>
      </c>
      <c r="E16" s="49"/>
      <c r="F16" s="48"/>
      <c r="G16" s="48"/>
      <c r="H16" s="48"/>
      <c r="I16" s="48"/>
      <c r="J16" s="48"/>
      <c r="K16" s="48"/>
      <c r="L16" s="48"/>
      <c r="M16" s="48"/>
      <c r="N16" s="48"/>
      <c r="O16" s="48"/>
      <c r="P16" s="48"/>
      <c r="Q16" s="48"/>
      <c r="R16" s="48"/>
      <c r="S16" s="48"/>
      <c r="T16" s="48"/>
      <c r="U16" s="48"/>
      <c r="V16" s="48"/>
      <c r="W16" s="48"/>
      <c r="X16" s="48"/>
      <c r="Y16" s="48"/>
      <c r="Z16" s="52" t="str">
        <f t="shared" si="1"/>
        <v>Очікую</v>
      </c>
      <c r="AA16" s="52" t="str">
        <f t="shared" si="2"/>
        <v>Очікую</v>
      </c>
      <c r="AB16" s="34"/>
      <c r="AC16" s="40"/>
    </row>
    <row r="17" spans="1:29" s="11" customFormat="1" ht="15" customHeight="1" x14ac:dyDescent="0.25">
      <c r="A17" s="41"/>
      <c r="B17" s="32"/>
      <c r="C17" s="48"/>
      <c r="D17" s="48">
        <v>8</v>
      </c>
      <c r="E17" s="49"/>
      <c r="F17" s="48"/>
      <c r="G17" s="48"/>
      <c r="H17" s="48"/>
      <c r="I17" s="48"/>
      <c r="J17" s="48"/>
      <c r="K17" s="48"/>
      <c r="L17" s="48"/>
      <c r="M17" s="48"/>
      <c r="N17" s="48"/>
      <c r="O17" s="48"/>
      <c r="P17" s="48"/>
      <c r="Q17" s="48"/>
      <c r="R17" s="48"/>
      <c r="S17" s="48"/>
      <c r="T17" s="48"/>
      <c r="U17" s="48"/>
      <c r="V17" s="48"/>
      <c r="W17" s="48"/>
      <c r="X17" s="48"/>
      <c r="Y17" s="48"/>
      <c r="Z17" s="52" t="str">
        <f t="shared" si="1"/>
        <v>Очікую</v>
      </c>
      <c r="AA17" s="52" t="str">
        <f t="shared" si="2"/>
        <v>Очікую</v>
      </c>
      <c r="AB17" s="34"/>
      <c r="AC17" s="40"/>
    </row>
    <row r="18" spans="1:29" s="11" customFormat="1" ht="15" customHeight="1" x14ac:dyDescent="0.25">
      <c r="A18" s="41"/>
      <c r="B18" s="32"/>
      <c r="C18" s="48"/>
      <c r="D18" s="48">
        <v>9</v>
      </c>
      <c r="E18" s="49"/>
      <c r="F18" s="48"/>
      <c r="G18" s="48"/>
      <c r="H18" s="48"/>
      <c r="I18" s="48"/>
      <c r="J18" s="48"/>
      <c r="K18" s="48"/>
      <c r="L18" s="48"/>
      <c r="M18" s="48"/>
      <c r="N18" s="48"/>
      <c r="O18" s="48"/>
      <c r="P18" s="48"/>
      <c r="Q18" s="48"/>
      <c r="R18" s="48"/>
      <c r="S18" s="48"/>
      <c r="T18" s="48"/>
      <c r="U18" s="48"/>
      <c r="V18" s="48"/>
      <c r="W18" s="48"/>
      <c r="X18" s="48"/>
      <c r="Y18" s="48"/>
      <c r="Z18" s="52" t="str">
        <f t="shared" si="1"/>
        <v>Очікую</v>
      </c>
      <c r="AA18" s="52" t="str">
        <f t="shared" si="2"/>
        <v>Очікую</v>
      </c>
      <c r="AB18" s="34"/>
      <c r="AC18" s="40"/>
    </row>
    <row r="19" spans="1:29" s="11" customFormat="1" ht="15" customHeight="1" x14ac:dyDescent="0.25">
      <c r="A19" s="41"/>
      <c r="B19" s="32"/>
      <c r="C19" s="48"/>
      <c r="D19" s="48">
        <v>10</v>
      </c>
      <c r="E19" s="49"/>
      <c r="F19" s="48"/>
      <c r="G19" s="48"/>
      <c r="H19" s="48"/>
      <c r="I19" s="48"/>
      <c r="J19" s="48"/>
      <c r="K19" s="48"/>
      <c r="L19" s="48"/>
      <c r="M19" s="48"/>
      <c r="N19" s="48"/>
      <c r="O19" s="48"/>
      <c r="P19" s="48"/>
      <c r="Q19" s="48"/>
      <c r="R19" s="48"/>
      <c r="S19" s="48"/>
      <c r="T19" s="48"/>
      <c r="U19" s="48"/>
      <c r="V19" s="48"/>
      <c r="W19" s="48"/>
      <c r="X19" s="48"/>
      <c r="Y19" s="48"/>
      <c r="Z19" s="52" t="str">
        <f t="shared" si="1"/>
        <v>Очікую</v>
      </c>
      <c r="AA19" s="52" t="str">
        <f t="shared" si="2"/>
        <v>Очікую</v>
      </c>
      <c r="AB19" s="34"/>
      <c r="AC19" s="40"/>
    </row>
    <row r="20" spans="1:29" s="11" customFormat="1" ht="15" customHeight="1" x14ac:dyDescent="0.25">
      <c r="A20" s="41"/>
      <c r="B20" s="32"/>
      <c r="C20" s="48"/>
      <c r="D20" s="48">
        <v>11</v>
      </c>
      <c r="E20" s="49"/>
      <c r="F20" s="48"/>
      <c r="G20" s="48"/>
      <c r="H20" s="48"/>
      <c r="I20" s="48"/>
      <c r="J20" s="48"/>
      <c r="K20" s="48"/>
      <c r="L20" s="48"/>
      <c r="M20" s="48"/>
      <c r="N20" s="48"/>
      <c r="O20" s="48"/>
      <c r="P20" s="48"/>
      <c r="Q20" s="48"/>
      <c r="R20" s="48"/>
      <c r="S20" s="48"/>
      <c r="T20" s="48"/>
      <c r="U20" s="48"/>
      <c r="V20" s="48"/>
      <c r="W20" s="48"/>
      <c r="X20" s="48"/>
      <c r="Y20" s="48"/>
      <c r="Z20" s="52" t="str">
        <f t="shared" si="1"/>
        <v>Очікую</v>
      </c>
      <c r="AA20" s="52" t="str">
        <f t="shared" si="2"/>
        <v>Очікую</v>
      </c>
      <c r="AB20" s="34"/>
      <c r="AC20" s="40"/>
    </row>
    <row r="21" spans="1:29" s="11" customFormat="1" ht="15" customHeight="1" x14ac:dyDescent="0.25">
      <c r="A21" s="41"/>
      <c r="B21" s="32"/>
      <c r="C21" s="48"/>
      <c r="D21" s="48">
        <v>12</v>
      </c>
      <c r="E21" s="49"/>
      <c r="F21" s="48"/>
      <c r="G21" s="48"/>
      <c r="H21" s="48"/>
      <c r="I21" s="48"/>
      <c r="J21" s="48"/>
      <c r="K21" s="48"/>
      <c r="L21" s="48"/>
      <c r="M21" s="48"/>
      <c r="N21" s="48"/>
      <c r="O21" s="48"/>
      <c r="P21" s="48"/>
      <c r="Q21" s="48"/>
      <c r="R21" s="48"/>
      <c r="S21" s="48"/>
      <c r="T21" s="48"/>
      <c r="U21" s="48"/>
      <c r="V21" s="48"/>
      <c r="W21" s="48"/>
      <c r="X21" s="48"/>
      <c r="Y21" s="48"/>
      <c r="Z21" s="52" t="str">
        <f t="shared" si="1"/>
        <v>Очікую</v>
      </c>
      <c r="AA21" s="52" t="str">
        <f t="shared" si="2"/>
        <v>Очікую</v>
      </c>
      <c r="AB21" s="34"/>
      <c r="AC21" s="40"/>
    </row>
    <row r="22" spans="1:29" s="11" customFormat="1" ht="15" customHeight="1" x14ac:dyDescent="0.25">
      <c r="A22" s="41"/>
      <c r="B22" s="32"/>
      <c r="C22" s="48"/>
      <c r="D22" s="48">
        <v>13</v>
      </c>
      <c r="E22" s="49"/>
      <c r="F22" s="48"/>
      <c r="G22" s="48"/>
      <c r="H22" s="48"/>
      <c r="I22" s="48"/>
      <c r="J22" s="48"/>
      <c r="K22" s="48"/>
      <c r="L22" s="48"/>
      <c r="M22" s="48"/>
      <c r="N22" s="48"/>
      <c r="O22" s="48"/>
      <c r="P22" s="48"/>
      <c r="Q22" s="48"/>
      <c r="R22" s="48"/>
      <c r="S22" s="48"/>
      <c r="T22" s="48"/>
      <c r="U22" s="48"/>
      <c r="V22" s="48"/>
      <c r="W22" s="48"/>
      <c r="X22" s="48"/>
      <c r="Y22" s="48"/>
      <c r="Z22" s="52" t="str">
        <f t="shared" si="1"/>
        <v>Очікую</v>
      </c>
      <c r="AA22" s="52" t="str">
        <f t="shared" si="2"/>
        <v>Очікую</v>
      </c>
      <c r="AB22" s="34"/>
      <c r="AC22" s="40"/>
    </row>
    <row r="23" spans="1:29" s="11" customFormat="1" ht="15" customHeight="1" x14ac:dyDescent="0.25">
      <c r="A23" s="41"/>
      <c r="B23" s="32"/>
      <c r="C23" s="48"/>
      <c r="D23" s="48">
        <v>14</v>
      </c>
      <c r="E23" s="49"/>
      <c r="F23" s="48"/>
      <c r="G23" s="48"/>
      <c r="H23" s="48"/>
      <c r="I23" s="48"/>
      <c r="J23" s="48"/>
      <c r="K23" s="48"/>
      <c r="L23" s="48"/>
      <c r="M23" s="48"/>
      <c r="N23" s="48"/>
      <c r="O23" s="48"/>
      <c r="P23" s="48"/>
      <c r="Q23" s="48"/>
      <c r="R23" s="48"/>
      <c r="S23" s="48"/>
      <c r="T23" s="48"/>
      <c r="U23" s="48"/>
      <c r="V23" s="48"/>
      <c r="W23" s="48"/>
      <c r="X23" s="48"/>
      <c r="Y23" s="48"/>
      <c r="Z23" s="52" t="str">
        <f t="shared" si="1"/>
        <v>Очікую</v>
      </c>
      <c r="AA23" s="52" t="str">
        <f t="shared" si="2"/>
        <v>Очікую</v>
      </c>
      <c r="AB23" s="34"/>
      <c r="AC23" s="40"/>
    </row>
    <row r="24" spans="1:29" s="11" customFormat="1" ht="15" customHeight="1" x14ac:dyDescent="0.25">
      <c r="A24" s="41"/>
      <c r="B24" s="32"/>
      <c r="C24" s="48"/>
      <c r="D24" s="48">
        <v>15</v>
      </c>
      <c r="E24" s="49"/>
      <c r="F24" s="48"/>
      <c r="G24" s="48"/>
      <c r="H24" s="48"/>
      <c r="I24" s="48"/>
      <c r="J24" s="48"/>
      <c r="K24" s="48"/>
      <c r="L24" s="48"/>
      <c r="M24" s="48"/>
      <c r="N24" s="48"/>
      <c r="O24" s="48"/>
      <c r="P24" s="48"/>
      <c r="Q24" s="48"/>
      <c r="R24" s="48"/>
      <c r="S24" s="48"/>
      <c r="T24" s="48"/>
      <c r="U24" s="48"/>
      <c r="V24" s="48"/>
      <c r="W24" s="48"/>
      <c r="X24" s="48"/>
      <c r="Y24" s="48"/>
      <c r="Z24" s="52" t="str">
        <f t="shared" si="1"/>
        <v>Очікую</v>
      </c>
      <c r="AA24" s="52" t="str">
        <f t="shared" si="2"/>
        <v>Очікую</v>
      </c>
      <c r="AB24" s="34"/>
      <c r="AC24" s="40"/>
    </row>
    <row r="25" spans="1:29" s="11" customFormat="1" ht="15" customHeight="1" x14ac:dyDescent="0.25">
      <c r="A25" s="41"/>
      <c r="B25" s="32"/>
      <c r="C25" s="48"/>
      <c r="D25" s="48">
        <v>16</v>
      </c>
      <c r="E25" s="49"/>
      <c r="F25" s="48"/>
      <c r="G25" s="48"/>
      <c r="H25" s="48"/>
      <c r="I25" s="48"/>
      <c r="J25" s="48"/>
      <c r="K25" s="48"/>
      <c r="L25" s="48"/>
      <c r="M25" s="48"/>
      <c r="N25" s="48"/>
      <c r="O25" s="48"/>
      <c r="P25" s="48"/>
      <c r="Q25" s="48"/>
      <c r="R25" s="48"/>
      <c r="S25" s="48"/>
      <c r="T25" s="48"/>
      <c r="U25" s="48"/>
      <c r="V25" s="48"/>
      <c r="W25" s="48"/>
      <c r="X25" s="48"/>
      <c r="Y25" s="48"/>
      <c r="Z25" s="52" t="str">
        <f t="shared" si="1"/>
        <v>Очікую</v>
      </c>
      <c r="AA25" s="52" t="str">
        <f t="shared" si="2"/>
        <v>Очікую</v>
      </c>
      <c r="AB25" s="34"/>
      <c r="AC25" s="40"/>
    </row>
    <row r="26" spans="1:29" s="11" customFormat="1" ht="15" customHeight="1" x14ac:dyDescent="0.25">
      <c r="A26" s="41"/>
      <c r="B26" s="32"/>
      <c r="C26" s="48"/>
      <c r="D26" s="48">
        <v>17</v>
      </c>
      <c r="E26" s="49"/>
      <c r="F26" s="48"/>
      <c r="G26" s="48"/>
      <c r="H26" s="48"/>
      <c r="I26" s="48"/>
      <c r="J26" s="48"/>
      <c r="K26" s="48"/>
      <c r="L26" s="48"/>
      <c r="M26" s="48"/>
      <c r="N26" s="48"/>
      <c r="O26" s="48"/>
      <c r="P26" s="48"/>
      <c r="Q26" s="48"/>
      <c r="R26" s="48"/>
      <c r="S26" s="48"/>
      <c r="T26" s="48"/>
      <c r="U26" s="48"/>
      <c r="V26" s="48"/>
      <c r="W26" s="48"/>
      <c r="X26" s="48"/>
      <c r="Y26" s="48"/>
      <c r="Z26" s="52" t="str">
        <f t="shared" si="1"/>
        <v>Очікую</v>
      </c>
      <c r="AA26" s="52" t="str">
        <f t="shared" si="2"/>
        <v>Очікую</v>
      </c>
      <c r="AB26" s="34"/>
      <c r="AC26" s="40"/>
    </row>
    <row r="27" spans="1:29" s="11" customFormat="1" ht="15" customHeight="1" x14ac:dyDescent="0.25">
      <c r="A27" s="41"/>
      <c r="B27" s="32"/>
      <c r="C27" s="48"/>
      <c r="D27" s="48">
        <v>18</v>
      </c>
      <c r="E27" s="49"/>
      <c r="F27" s="48"/>
      <c r="G27" s="48"/>
      <c r="H27" s="48"/>
      <c r="I27" s="48"/>
      <c r="J27" s="48"/>
      <c r="K27" s="48"/>
      <c r="L27" s="48"/>
      <c r="M27" s="48"/>
      <c r="N27" s="48"/>
      <c r="O27" s="48"/>
      <c r="P27" s="48"/>
      <c r="Q27" s="48"/>
      <c r="R27" s="48"/>
      <c r="S27" s="48"/>
      <c r="T27" s="48"/>
      <c r="U27" s="48"/>
      <c r="V27" s="48"/>
      <c r="W27" s="48"/>
      <c r="X27" s="48"/>
      <c r="Y27" s="48"/>
      <c r="Z27" s="52" t="str">
        <f t="shared" si="1"/>
        <v>Очікую</v>
      </c>
      <c r="AA27" s="52" t="str">
        <f t="shared" si="2"/>
        <v>Очікую</v>
      </c>
      <c r="AB27" s="34"/>
      <c r="AC27" s="40"/>
    </row>
    <row r="28" spans="1:29" s="11" customFormat="1" ht="15" customHeight="1" x14ac:dyDescent="0.25">
      <c r="A28" s="41"/>
      <c r="B28" s="32"/>
      <c r="C28" s="48"/>
      <c r="D28" s="48">
        <v>19</v>
      </c>
      <c r="E28" s="49"/>
      <c r="F28" s="48"/>
      <c r="G28" s="48"/>
      <c r="H28" s="48"/>
      <c r="I28" s="48"/>
      <c r="J28" s="48"/>
      <c r="K28" s="48"/>
      <c r="L28" s="48"/>
      <c r="M28" s="48"/>
      <c r="N28" s="48"/>
      <c r="O28" s="48"/>
      <c r="P28" s="48"/>
      <c r="Q28" s="48"/>
      <c r="R28" s="48"/>
      <c r="S28" s="48"/>
      <c r="T28" s="48"/>
      <c r="U28" s="48"/>
      <c r="V28" s="48"/>
      <c r="W28" s="48"/>
      <c r="X28" s="48"/>
      <c r="Y28" s="48"/>
      <c r="Z28" s="52" t="str">
        <f t="shared" si="1"/>
        <v>Очікую</v>
      </c>
      <c r="AA28" s="52" t="str">
        <f t="shared" si="2"/>
        <v>Очікую</v>
      </c>
      <c r="AB28" s="34"/>
      <c r="AC28" s="40"/>
    </row>
    <row r="29" spans="1:29" s="11" customFormat="1" ht="15" customHeight="1" x14ac:dyDescent="0.25">
      <c r="A29" s="41"/>
      <c r="B29" s="32"/>
      <c r="C29" s="48"/>
      <c r="D29" s="48">
        <v>20</v>
      </c>
      <c r="E29" s="49"/>
      <c r="F29" s="48"/>
      <c r="G29" s="48"/>
      <c r="H29" s="48"/>
      <c r="I29" s="48"/>
      <c r="J29" s="48"/>
      <c r="K29" s="48"/>
      <c r="L29" s="48"/>
      <c r="M29" s="48"/>
      <c r="N29" s="48"/>
      <c r="O29" s="48"/>
      <c r="P29" s="48"/>
      <c r="Q29" s="48"/>
      <c r="R29" s="48"/>
      <c r="S29" s="48"/>
      <c r="T29" s="48"/>
      <c r="U29" s="48"/>
      <c r="V29" s="48"/>
      <c r="W29" s="48"/>
      <c r="X29" s="48"/>
      <c r="Y29" s="48"/>
      <c r="Z29" s="52" t="str">
        <f t="shared" si="1"/>
        <v>Очікую</v>
      </c>
      <c r="AA29" s="52" t="str">
        <f t="shared" si="2"/>
        <v>Очікую</v>
      </c>
      <c r="AB29" s="34"/>
      <c r="AC29" s="40"/>
    </row>
    <row r="30" spans="1:29" s="11" customFormat="1" ht="15" customHeight="1" x14ac:dyDescent="0.25">
      <c r="A30" s="41"/>
      <c r="B30" s="32"/>
      <c r="C30" s="48"/>
      <c r="D30" s="48">
        <v>21</v>
      </c>
      <c r="E30" s="49"/>
      <c r="F30" s="48"/>
      <c r="G30" s="48"/>
      <c r="H30" s="48"/>
      <c r="I30" s="48"/>
      <c r="J30" s="48"/>
      <c r="K30" s="48"/>
      <c r="L30" s="48"/>
      <c r="M30" s="48"/>
      <c r="N30" s="48"/>
      <c r="O30" s="48"/>
      <c r="P30" s="48"/>
      <c r="Q30" s="48"/>
      <c r="R30" s="48"/>
      <c r="S30" s="48"/>
      <c r="T30" s="48"/>
      <c r="U30" s="48"/>
      <c r="V30" s="48"/>
      <c r="W30" s="48"/>
      <c r="X30" s="48"/>
      <c r="Y30" s="48"/>
      <c r="Z30" s="52" t="str">
        <f t="shared" si="1"/>
        <v>Очікую</v>
      </c>
      <c r="AA30" s="52" t="str">
        <f t="shared" si="2"/>
        <v>Очікую</v>
      </c>
      <c r="AB30" s="34"/>
      <c r="AC30" s="40"/>
    </row>
    <row r="31" spans="1:29" s="11" customFormat="1" ht="15" customHeight="1" x14ac:dyDescent="0.25">
      <c r="A31" s="41"/>
      <c r="B31" s="32"/>
      <c r="C31" s="48"/>
      <c r="D31" s="48">
        <v>22</v>
      </c>
      <c r="E31" s="49"/>
      <c r="F31" s="48"/>
      <c r="G31" s="48"/>
      <c r="H31" s="48"/>
      <c r="I31" s="48"/>
      <c r="J31" s="48"/>
      <c r="K31" s="48"/>
      <c r="L31" s="48"/>
      <c r="M31" s="48"/>
      <c r="N31" s="48"/>
      <c r="O31" s="48"/>
      <c r="P31" s="48"/>
      <c r="Q31" s="48"/>
      <c r="R31" s="48"/>
      <c r="S31" s="48"/>
      <c r="T31" s="48"/>
      <c r="U31" s="48"/>
      <c r="V31" s="48"/>
      <c r="W31" s="48"/>
      <c r="X31" s="48"/>
      <c r="Y31" s="48"/>
      <c r="Z31" s="52" t="str">
        <f t="shared" si="1"/>
        <v>Очікую</v>
      </c>
      <c r="AA31" s="52" t="str">
        <f t="shared" si="2"/>
        <v>Очікую</v>
      </c>
      <c r="AB31" s="34"/>
      <c r="AC31" s="40"/>
    </row>
    <row r="32" spans="1:29" s="11" customFormat="1" ht="15" customHeight="1" x14ac:dyDescent="0.25">
      <c r="A32" s="41"/>
      <c r="B32" s="32"/>
      <c r="C32" s="48"/>
      <c r="D32" s="48">
        <v>23</v>
      </c>
      <c r="E32" s="49"/>
      <c r="F32" s="48"/>
      <c r="G32" s="48"/>
      <c r="H32" s="48"/>
      <c r="I32" s="48"/>
      <c r="J32" s="48"/>
      <c r="K32" s="48"/>
      <c r="L32" s="48"/>
      <c r="M32" s="48"/>
      <c r="N32" s="48"/>
      <c r="O32" s="48"/>
      <c r="P32" s="48"/>
      <c r="Q32" s="48"/>
      <c r="R32" s="48"/>
      <c r="S32" s="48"/>
      <c r="T32" s="48"/>
      <c r="U32" s="48"/>
      <c r="V32" s="48"/>
      <c r="W32" s="48"/>
      <c r="X32" s="48"/>
      <c r="Y32" s="48"/>
      <c r="Z32" s="52" t="str">
        <f t="shared" si="1"/>
        <v>Очікую</v>
      </c>
      <c r="AA32" s="52" t="str">
        <f t="shared" si="2"/>
        <v>Очікую</v>
      </c>
      <c r="AB32" s="34"/>
      <c r="AC32" s="40"/>
    </row>
    <row r="33" spans="1:29" s="11" customFormat="1" ht="15" customHeight="1" x14ac:dyDescent="0.25">
      <c r="A33" s="41"/>
      <c r="B33" s="32"/>
      <c r="C33" s="48"/>
      <c r="D33" s="48">
        <v>24</v>
      </c>
      <c r="E33" s="49"/>
      <c r="F33" s="48"/>
      <c r="G33" s="48"/>
      <c r="H33" s="48"/>
      <c r="I33" s="48"/>
      <c r="J33" s="48"/>
      <c r="K33" s="48"/>
      <c r="L33" s="48"/>
      <c r="M33" s="48"/>
      <c r="N33" s="48"/>
      <c r="O33" s="48"/>
      <c r="P33" s="48"/>
      <c r="Q33" s="48"/>
      <c r="R33" s="48"/>
      <c r="S33" s="48"/>
      <c r="T33" s="48"/>
      <c r="U33" s="48"/>
      <c r="V33" s="48"/>
      <c r="W33" s="48"/>
      <c r="X33" s="48"/>
      <c r="Y33" s="48"/>
      <c r="Z33" s="52" t="str">
        <f t="shared" si="1"/>
        <v>Очікую</v>
      </c>
      <c r="AA33" s="52" t="str">
        <f t="shared" si="2"/>
        <v>Очікую</v>
      </c>
      <c r="AB33" s="34"/>
      <c r="AC33" s="40"/>
    </row>
    <row r="34" spans="1:29" s="11" customFormat="1" ht="15" customHeight="1" x14ac:dyDescent="0.25">
      <c r="A34" s="41"/>
      <c r="B34" s="32"/>
      <c r="C34" s="48"/>
      <c r="D34" s="48">
        <v>25</v>
      </c>
      <c r="E34" s="49"/>
      <c r="F34" s="48"/>
      <c r="G34" s="48"/>
      <c r="H34" s="48"/>
      <c r="I34" s="48"/>
      <c r="J34" s="48"/>
      <c r="K34" s="48"/>
      <c r="L34" s="48"/>
      <c r="M34" s="48"/>
      <c r="N34" s="48"/>
      <c r="O34" s="48"/>
      <c r="P34" s="48"/>
      <c r="Q34" s="48"/>
      <c r="R34" s="48"/>
      <c r="S34" s="48"/>
      <c r="T34" s="48"/>
      <c r="U34" s="48"/>
      <c r="V34" s="48"/>
      <c r="W34" s="48"/>
      <c r="X34" s="48"/>
      <c r="Y34" s="48"/>
      <c r="Z34" s="52" t="str">
        <f t="shared" si="1"/>
        <v>Очікую</v>
      </c>
      <c r="AA34" s="52" t="str">
        <f t="shared" si="2"/>
        <v>Очікую</v>
      </c>
      <c r="AB34" s="34"/>
      <c r="AC34" s="40"/>
    </row>
    <row r="35" spans="1:29" s="11" customFormat="1" ht="15" customHeight="1" x14ac:dyDescent="0.25">
      <c r="A35" s="41"/>
      <c r="B35" s="32"/>
      <c r="C35" s="48"/>
      <c r="D35" s="48">
        <v>26</v>
      </c>
      <c r="E35" s="49"/>
      <c r="F35" s="48"/>
      <c r="G35" s="48"/>
      <c r="H35" s="48"/>
      <c r="I35" s="48"/>
      <c r="J35" s="48"/>
      <c r="K35" s="48"/>
      <c r="L35" s="48"/>
      <c r="M35" s="48"/>
      <c r="N35" s="48"/>
      <c r="O35" s="48"/>
      <c r="P35" s="48"/>
      <c r="Q35" s="48"/>
      <c r="R35" s="48"/>
      <c r="S35" s="48"/>
      <c r="T35" s="48"/>
      <c r="U35" s="48"/>
      <c r="V35" s="48"/>
      <c r="W35" s="48"/>
      <c r="X35" s="48"/>
      <c r="Y35" s="48"/>
      <c r="Z35" s="52" t="str">
        <f t="shared" si="1"/>
        <v>Очікую</v>
      </c>
      <c r="AA35" s="52" t="str">
        <f t="shared" si="2"/>
        <v>Очікую</v>
      </c>
      <c r="AB35" s="34"/>
      <c r="AC35" s="40"/>
    </row>
    <row r="36" spans="1:29" s="11" customFormat="1" ht="15" customHeight="1" x14ac:dyDescent="0.25">
      <c r="A36" s="41"/>
      <c r="B36" s="32"/>
      <c r="C36" s="48"/>
      <c r="D36" s="48">
        <v>27</v>
      </c>
      <c r="E36" s="49"/>
      <c r="F36" s="48"/>
      <c r="G36" s="48"/>
      <c r="H36" s="48"/>
      <c r="I36" s="48"/>
      <c r="J36" s="48"/>
      <c r="K36" s="48"/>
      <c r="L36" s="48"/>
      <c r="M36" s="48"/>
      <c r="N36" s="48"/>
      <c r="O36" s="48"/>
      <c r="P36" s="48"/>
      <c r="Q36" s="48"/>
      <c r="R36" s="48"/>
      <c r="S36" s="48"/>
      <c r="T36" s="48"/>
      <c r="U36" s="48"/>
      <c r="V36" s="48"/>
      <c r="W36" s="48"/>
      <c r="X36" s="48"/>
      <c r="Y36" s="48"/>
      <c r="Z36" s="52" t="str">
        <f t="shared" si="1"/>
        <v>Очікую</v>
      </c>
      <c r="AA36" s="52" t="str">
        <f t="shared" si="2"/>
        <v>Очікую</v>
      </c>
      <c r="AB36" s="34"/>
      <c r="AC36" s="40"/>
    </row>
    <row r="37" spans="1:29" s="11" customFormat="1" ht="15" customHeight="1" x14ac:dyDescent="0.25">
      <c r="A37" s="41"/>
      <c r="B37" s="32"/>
      <c r="C37" s="48"/>
      <c r="D37" s="48">
        <v>28</v>
      </c>
      <c r="E37" s="49"/>
      <c r="F37" s="48"/>
      <c r="G37" s="48"/>
      <c r="H37" s="48"/>
      <c r="I37" s="48"/>
      <c r="J37" s="48"/>
      <c r="K37" s="48"/>
      <c r="L37" s="48"/>
      <c r="M37" s="48"/>
      <c r="N37" s="48"/>
      <c r="O37" s="48"/>
      <c r="P37" s="48"/>
      <c r="Q37" s="48"/>
      <c r="R37" s="48"/>
      <c r="S37" s="48"/>
      <c r="T37" s="48"/>
      <c r="U37" s="48"/>
      <c r="V37" s="48"/>
      <c r="W37" s="48"/>
      <c r="X37" s="48"/>
      <c r="Y37" s="48"/>
      <c r="Z37" s="52" t="str">
        <f t="shared" si="1"/>
        <v>Очікую</v>
      </c>
      <c r="AA37" s="52" t="str">
        <f t="shared" si="2"/>
        <v>Очікую</v>
      </c>
      <c r="AB37" s="34"/>
      <c r="AC37" s="40"/>
    </row>
    <row r="38" spans="1:29" s="11" customFormat="1" ht="15" customHeight="1" x14ac:dyDescent="0.25">
      <c r="A38" s="41"/>
      <c r="B38" s="32"/>
      <c r="C38" s="48"/>
      <c r="D38" s="48">
        <v>29</v>
      </c>
      <c r="E38" s="49"/>
      <c r="F38" s="48"/>
      <c r="G38" s="48"/>
      <c r="H38" s="48"/>
      <c r="I38" s="48"/>
      <c r="J38" s="48"/>
      <c r="K38" s="48"/>
      <c r="L38" s="48"/>
      <c r="M38" s="48"/>
      <c r="N38" s="48"/>
      <c r="O38" s="48"/>
      <c r="P38" s="48"/>
      <c r="Q38" s="48"/>
      <c r="R38" s="48"/>
      <c r="S38" s="48"/>
      <c r="T38" s="48"/>
      <c r="U38" s="48"/>
      <c r="V38" s="48"/>
      <c r="W38" s="48"/>
      <c r="X38" s="48"/>
      <c r="Y38" s="48"/>
      <c r="Z38" s="52" t="str">
        <f t="shared" si="1"/>
        <v>Очікую</v>
      </c>
      <c r="AA38" s="52" t="str">
        <f t="shared" si="2"/>
        <v>Очікую</v>
      </c>
      <c r="AB38" s="34"/>
      <c r="AC38" s="40"/>
    </row>
    <row r="39" spans="1:29" s="11" customFormat="1" ht="15" customHeight="1" x14ac:dyDescent="0.25">
      <c r="A39" s="41"/>
      <c r="B39" s="32"/>
      <c r="C39" s="48"/>
      <c r="D39" s="48">
        <v>30</v>
      </c>
      <c r="E39" s="49"/>
      <c r="F39" s="48"/>
      <c r="G39" s="48"/>
      <c r="H39" s="48"/>
      <c r="I39" s="48"/>
      <c r="J39" s="48"/>
      <c r="K39" s="48"/>
      <c r="L39" s="48"/>
      <c r="M39" s="48"/>
      <c r="N39" s="48"/>
      <c r="O39" s="48"/>
      <c r="P39" s="48"/>
      <c r="Q39" s="48"/>
      <c r="R39" s="48"/>
      <c r="S39" s="48"/>
      <c r="T39" s="48"/>
      <c r="U39" s="48"/>
      <c r="V39" s="48"/>
      <c r="W39" s="48"/>
      <c r="X39" s="48"/>
      <c r="Y39" s="48"/>
      <c r="Z39" s="52" t="str">
        <f t="shared" si="1"/>
        <v>Очікую</v>
      </c>
      <c r="AA39" s="52" t="str">
        <f t="shared" si="2"/>
        <v>Очікую</v>
      </c>
      <c r="AB39" s="34"/>
      <c r="AC39" s="40"/>
    </row>
    <row r="40" spans="1:29" s="11" customFormat="1" ht="15" customHeight="1" x14ac:dyDescent="0.25">
      <c r="A40" s="41"/>
      <c r="B40" s="32"/>
      <c r="C40" s="45"/>
      <c r="D40" s="48">
        <v>31</v>
      </c>
      <c r="E40" s="46"/>
      <c r="F40" s="45"/>
      <c r="G40" s="45"/>
      <c r="H40" s="45"/>
      <c r="I40" s="45"/>
      <c r="J40" s="45"/>
      <c r="K40" s="45"/>
      <c r="L40" s="45"/>
      <c r="M40" s="45"/>
      <c r="N40" s="45"/>
      <c r="O40" s="45"/>
      <c r="P40" s="45"/>
      <c r="Q40" s="45"/>
      <c r="R40" s="45"/>
      <c r="S40" s="45"/>
      <c r="T40" s="45"/>
      <c r="U40" s="45"/>
      <c r="V40" s="45"/>
      <c r="W40" s="45"/>
      <c r="X40" s="45"/>
      <c r="Y40" s="45"/>
      <c r="Z40" s="52" t="str">
        <f t="shared" si="1"/>
        <v>Очікую</v>
      </c>
      <c r="AA40" s="52" t="str">
        <f t="shared" si="2"/>
        <v>Очікую</v>
      </c>
      <c r="AB40" s="34"/>
      <c r="AC40" s="40"/>
    </row>
    <row r="41" spans="1:29" s="11" customFormat="1" ht="15" customHeight="1" x14ac:dyDescent="0.25">
      <c r="A41" s="41"/>
      <c r="B41" s="32"/>
      <c r="C41" s="45"/>
      <c r="D41" s="48">
        <v>32</v>
      </c>
      <c r="E41" s="46"/>
      <c r="F41" s="45"/>
      <c r="G41" s="45"/>
      <c r="H41" s="45"/>
      <c r="I41" s="45"/>
      <c r="J41" s="45"/>
      <c r="K41" s="45"/>
      <c r="L41" s="45"/>
      <c r="M41" s="45"/>
      <c r="N41" s="45"/>
      <c r="O41" s="45"/>
      <c r="P41" s="45"/>
      <c r="Q41" s="45"/>
      <c r="R41" s="45"/>
      <c r="S41" s="45"/>
      <c r="T41" s="45"/>
      <c r="U41" s="45"/>
      <c r="V41" s="45"/>
      <c r="W41" s="45"/>
      <c r="X41" s="45"/>
      <c r="Y41" s="45"/>
      <c r="Z41" s="52" t="str">
        <f t="shared" si="1"/>
        <v>Очікую</v>
      </c>
      <c r="AA41" s="52" t="str">
        <f t="shared" si="2"/>
        <v>Очікую</v>
      </c>
      <c r="AB41" s="34"/>
      <c r="AC41" s="40"/>
    </row>
    <row r="42" spans="1:29" s="11" customFormat="1" ht="15" customHeight="1" x14ac:dyDescent="0.25">
      <c r="A42" s="41"/>
      <c r="B42" s="32"/>
      <c r="C42" s="45"/>
      <c r="D42" s="48">
        <v>33</v>
      </c>
      <c r="E42" s="46"/>
      <c r="F42" s="45"/>
      <c r="G42" s="45"/>
      <c r="H42" s="45"/>
      <c r="I42" s="45"/>
      <c r="J42" s="45"/>
      <c r="K42" s="45"/>
      <c r="L42" s="45"/>
      <c r="M42" s="45"/>
      <c r="N42" s="45"/>
      <c r="O42" s="45"/>
      <c r="P42" s="45"/>
      <c r="Q42" s="45"/>
      <c r="R42" s="45"/>
      <c r="S42" s="45"/>
      <c r="T42" s="45"/>
      <c r="U42" s="45"/>
      <c r="V42" s="45"/>
      <c r="W42" s="45"/>
      <c r="X42" s="45"/>
      <c r="Y42" s="45"/>
      <c r="Z42" s="52" t="str">
        <f t="shared" si="1"/>
        <v>Очікую</v>
      </c>
      <c r="AA42" s="52" t="str">
        <f t="shared" si="2"/>
        <v>Очікую</v>
      </c>
      <c r="AB42" s="34"/>
      <c r="AC42" s="40"/>
    </row>
    <row r="43" spans="1:29" s="11" customFormat="1" ht="15" customHeight="1" x14ac:dyDescent="0.25">
      <c r="A43" s="41"/>
      <c r="B43" s="32"/>
      <c r="C43" s="45"/>
      <c r="D43" s="48">
        <v>34</v>
      </c>
      <c r="E43" s="46"/>
      <c r="F43" s="45"/>
      <c r="G43" s="45"/>
      <c r="H43" s="45"/>
      <c r="I43" s="45"/>
      <c r="J43" s="45"/>
      <c r="K43" s="45"/>
      <c r="L43" s="45"/>
      <c r="M43" s="45"/>
      <c r="N43" s="45"/>
      <c r="O43" s="45"/>
      <c r="P43" s="45"/>
      <c r="Q43" s="45"/>
      <c r="R43" s="45"/>
      <c r="S43" s="45"/>
      <c r="T43" s="45"/>
      <c r="U43" s="45"/>
      <c r="V43" s="45"/>
      <c r="W43" s="45"/>
      <c r="X43" s="45"/>
      <c r="Y43" s="45"/>
      <c r="Z43" s="52" t="str">
        <f t="shared" si="1"/>
        <v>Очікую</v>
      </c>
      <c r="AA43" s="52" t="str">
        <f t="shared" si="2"/>
        <v>Очікую</v>
      </c>
      <c r="AB43" s="34"/>
      <c r="AC43" s="40"/>
    </row>
    <row r="44" spans="1:29" s="11" customFormat="1" ht="15" customHeight="1" x14ac:dyDescent="0.25">
      <c r="A44" s="41"/>
      <c r="B44" s="32"/>
      <c r="C44" s="45"/>
      <c r="D44" s="48">
        <v>35</v>
      </c>
      <c r="E44" s="46"/>
      <c r="F44" s="45"/>
      <c r="G44" s="45"/>
      <c r="H44" s="45"/>
      <c r="I44" s="45"/>
      <c r="J44" s="45"/>
      <c r="K44" s="45"/>
      <c r="L44" s="45"/>
      <c r="M44" s="45"/>
      <c r="N44" s="45"/>
      <c r="O44" s="45"/>
      <c r="P44" s="45"/>
      <c r="Q44" s="45"/>
      <c r="R44" s="45"/>
      <c r="S44" s="45"/>
      <c r="T44" s="45"/>
      <c r="U44" s="45"/>
      <c r="V44" s="45"/>
      <c r="W44" s="45"/>
      <c r="X44" s="45"/>
      <c r="Y44" s="45"/>
      <c r="Z44" s="52" t="str">
        <f t="shared" si="1"/>
        <v>Очікую</v>
      </c>
      <c r="AA44" s="52" t="str">
        <f t="shared" si="2"/>
        <v>Очікую</v>
      </c>
      <c r="AB44" s="34"/>
      <c r="AC44" s="40"/>
    </row>
    <row r="45" spans="1:29" s="11" customFormat="1" ht="15" customHeight="1" x14ac:dyDescent="0.25">
      <c r="A45" s="41"/>
      <c r="B45" s="32"/>
      <c r="C45" s="45"/>
      <c r="D45" s="48">
        <v>36</v>
      </c>
      <c r="E45" s="46"/>
      <c r="F45" s="45"/>
      <c r="G45" s="45"/>
      <c r="H45" s="45"/>
      <c r="I45" s="45"/>
      <c r="J45" s="45"/>
      <c r="K45" s="45"/>
      <c r="L45" s="45"/>
      <c r="M45" s="45"/>
      <c r="N45" s="45"/>
      <c r="O45" s="45"/>
      <c r="P45" s="45"/>
      <c r="Q45" s="45"/>
      <c r="R45" s="45"/>
      <c r="S45" s="45"/>
      <c r="T45" s="45"/>
      <c r="U45" s="45"/>
      <c r="V45" s="45"/>
      <c r="W45" s="45"/>
      <c r="X45" s="45"/>
      <c r="Y45" s="45"/>
      <c r="Z45" s="52" t="str">
        <f t="shared" si="1"/>
        <v>Очікую</v>
      </c>
      <c r="AA45" s="52" t="str">
        <f t="shared" si="2"/>
        <v>Очікую</v>
      </c>
      <c r="AB45" s="34"/>
      <c r="AC45" s="40"/>
    </row>
    <row r="46" spans="1:29" s="11" customFormat="1" ht="15" customHeight="1" x14ac:dyDescent="0.25">
      <c r="A46" s="41"/>
      <c r="B46" s="32"/>
      <c r="C46" s="45"/>
      <c r="D46" s="48">
        <v>37</v>
      </c>
      <c r="E46" s="46"/>
      <c r="F46" s="45"/>
      <c r="G46" s="45"/>
      <c r="H46" s="45"/>
      <c r="I46" s="45"/>
      <c r="J46" s="45"/>
      <c r="K46" s="45"/>
      <c r="L46" s="45"/>
      <c r="M46" s="45"/>
      <c r="N46" s="45"/>
      <c r="O46" s="45"/>
      <c r="P46" s="45"/>
      <c r="Q46" s="45"/>
      <c r="R46" s="45"/>
      <c r="S46" s="45"/>
      <c r="T46" s="45"/>
      <c r="U46" s="45"/>
      <c r="V46" s="45"/>
      <c r="W46" s="45"/>
      <c r="X46" s="45"/>
      <c r="Y46" s="45"/>
      <c r="Z46" s="52" t="str">
        <f t="shared" si="1"/>
        <v>Очікую</v>
      </c>
      <c r="AA46" s="52" t="str">
        <f t="shared" si="2"/>
        <v>Очікую</v>
      </c>
      <c r="AB46" s="34"/>
      <c r="AC46" s="40"/>
    </row>
    <row r="47" spans="1:29" s="11" customFormat="1" ht="15" customHeight="1" x14ac:dyDescent="0.25">
      <c r="A47" s="41"/>
      <c r="B47" s="32"/>
      <c r="C47" s="45"/>
      <c r="D47" s="48">
        <v>38</v>
      </c>
      <c r="E47" s="46"/>
      <c r="F47" s="45"/>
      <c r="G47" s="45"/>
      <c r="H47" s="45"/>
      <c r="I47" s="45"/>
      <c r="J47" s="45"/>
      <c r="K47" s="45"/>
      <c r="L47" s="45"/>
      <c r="M47" s="45"/>
      <c r="N47" s="45"/>
      <c r="O47" s="45"/>
      <c r="P47" s="45"/>
      <c r="Q47" s="45"/>
      <c r="R47" s="45"/>
      <c r="S47" s="45"/>
      <c r="T47" s="45"/>
      <c r="U47" s="45"/>
      <c r="V47" s="45"/>
      <c r="W47" s="45"/>
      <c r="X47" s="45"/>
      <c r="Y47" s="45"/>
      <c r="Z47" s="52" t="str">
        <f t="shared" si="1"/>
        <v>Очікую</v>
      </c>
      <c r="AA47" s="52" t="str">
        <f t="shared" si="2"/>
        <v>Очікую</v>
      </c>
      <c r="AB47" s="34"/>
      <c r="AC47" s="40"/>
    </row>
    <row r="48" spans="1:29" s="11" customFormat="1" ht="15" customHeight="1" x14ac:dyDescent="0.25">
      <c r="A48" s="41"/>
      <c r="B48" s="32"/>
      <c r="C48" s="45"/>
      <c r="D48" s="48">
        <v>39</v>
      </c>
      <c r="E48" s="46"/>
      <c r="F48" s="45"/>
      <c r="G48" s="45"/>
      <c r="H48" s="45"/>
      <c r="I48" s="45"/>
      <c r="J48" s="45"/>
      <c r="K48" s="45"/>
      <c r="L48" s="45"/>
      <c r="M48" s="45"/>
      <c r="N48" s="45"/>
      <c r="O48" s="45"/>
      <c r="P48" s="45"/>
      <c r="Q48" s="45"/>
      <c r="R48" s="45"/>
      <c r="S48" s="45"/>
      <c r="T48" s="45"/>
      <c r="U48" s="45"/>
      <c r="V48" s="45"/>
      <c r="W48" s="45"/>
      <c r="X48" s="45"/>
      <c r="Y48" s="45"/>
      <c r="Z48" s="52" t="str">
        <f t="shared" si="1"/>
        <v>Очікую</v>
      </c>
      <c r="AA48" s="52" t="str">
        <f t="shared" si="2"/>
        <v>Очікую</v>
      </c>
      <c r="AB48" s="34"/>
      <c r="AC48" s="40"/>
    </row>
    <row r="49" spans="1:29" s="11" customFormat="1" ht="15" customHeight="1" x14ac:dyDescent="0.25">
      <c r="A49" s="41"/>
      <c r="B49" s="32"/>
      <c r="C49" s="45"/>
      <c r="D49" s="48">
        <v>40</v>
      </c>
      <c r="E49" s="46"/>
      <c r="F49" s="45"/>
      <c r="G49" s="45"/>
      <c r="H49" s="45"/>
      <c r="I49" s="45"/>
      <c r="J49" s="45"/>
      <c r="K49" s="45"/>
      <c r="L49" s="45"/>
      <c r="M49" s="45"/>
      <c r="N49" s="45"/>
      <c r="O49" s="45"/>
      <c r="P49" s="45"/>
      <c r="Q49" s="45"/>
      <c r="R49" s="45"/>
      <c r="S49" s="45"/>
      <c r="T49" s="45"/>
      <c r="U49" s="45"/>
      <c r="V49" s="45"/>
      <c r="W49" s="45"/>
      <c r="X49" s="45"/>
      <c r="Y49" s="45"/>
      <c r="Z49" s="52" t="str">
        <f t="shared" si="1"/>
        <v>Очікую</v>
      </c>
      <c r="AA49" s="52" t="str">
        <f t="shared" si="2"/>
        <v>Очікую</v>
      </c>
      <c r="AB49" s="34"/>
      <c r="AC49" s="40"/>
    </row>
    <row r="50" spans="1:29" s="11" customFormat="1" ht="15" customHeight="1" x14ac:dyDescent="0.25">
      <c r="A50" s="41"/>
      <c r="B50" s="32"/>
      <c r="C50" s="45"/>
      <c r="D50" s="48">
        <v>41</v>
      </c>
      <c r="E50" s="46"/>
      <c r="F50" s="45"/>
      <c r="G50" s="45"/>
      <c r="H50" s="45"/>
      <c r="I50" s="45"/>
      <c r="J50" s="45"/>
      <c r="K50" s="45"/>
      <c r="L50" s="45"/>
      <c r="M50" s="45"/>
      <c r="N50" s="45"/>
      <c r="O50" s="45"/>
      <c r="P50" s="45"/>
      <c r="Q50" s="45"/>
      <c r="R50" s="45"/>
      <c r="S50" s="45"/>
      <c r="T50" s="45"/>
      <c r="U50" s="45"/>
      <c r="V50" s="45"/>
      <c r="W50" s="45"/>
      <c r="X50" s="45"/>
      <c r="Y50" s="45"/>
      <c r="Z50" s="52" t="str">
        <f t="shared" si="1"/>
        <v>Очікую</v>
      </c>
      <c r="AA50" s="52" t="str">
        <f t="shared" si="2"/>
        <v>Очікую</v>
      </c>
      <c r="AB50" s="34"/>
      <c r="AC50" s="40"/>
    </row>
    <row r="51" spans="1:29" s="11" customFormat="1" ht="15" customHeight="1" x14ac:dyDescent="0.25">
      <c r="A51" s="41"/>
      <c r="B51" s="32"/>
      <c r="C51" s="45"/>
      <c r="D51" s="48">
        <v>42</v>
      </c>
      <c r="E51" s="46"/>
      <c r="F51" s="45"/>
      <c r="G51" s="45"/>
      <c r="H51" s="45"/>
      <c r="I51" s="45"/>
      <c r="J51" s="45"/>
      <c r="K51" s="45"/>
      <c r="L51" s="45"/>
      <c r="M51" s="45"/>
      <c r="N51" s="45"/>
      <c r="O51" s="45"/>
      <c r="P51" s="45"/>
      <c r="Q51" s="45"/>
      <c r="R51" s="45"/>
      <c r="S51" s="45"/>
      <c r="T51" s="45"/>
      <c r="U51" s="45"/>
      <c r="V51" s="45"/>
      <c r="W51" s="45"/>
      <c r="X51" s="45"/>
      <c r="Y51" s="45"/>
      <c r="Z51" s="52" t="str">
        <f t="shared" si="1"/>
        <v>Очікую</v>
      </c>
      <c r="AA51" s="52" t="str">
        <f t="shared" si="2"/>
        <v>Очікую</v>
      </c>
      <c r="AB51" s="34"/>
      <c r="AC51" s="40"/>
    </row>
    <row r="52" spans="1:29" s="11" customFormat="1" ht="15" customHeight="1" x14ac:dyDescent="0.25">
      <c r="A52" s="41"/>
      <c r="B52" s="32"/>
      <c r="C52" s="45"/>
      <c r="D52" s="48">
        <v>43</v>
      </c>
      <c r="E52" s="46"/>
      <c r="F52" s="45"/>
      <c r="G52" s="45"/>
      <c r="H52" s="45"/>
      <c r="I52" s="45"/>
      <c r="J52" s="45"/>
      <c r="K52" s="45"/>
      <c r="L52" s="45"/>
      <c r="M52" s="45"/>
      <c r="N52" s="45"/>
      <c r="O52" s="45"/>
      <c r="P52" s="45"/>
      <c r="Q52" s="45"/>
      <c r="R52" s="45"/>
      <c r="S52" s="45"/>
      <c r="T52" s="45"/>
      <c r="U52" s="45"/>
      <c r="V52" s="45"/>
      <c r="W52" s="45"/>
      <c r="X52" s="45"/>
      <c r="Y52" s="45"/>
      <c r="Z52" s="52" t="str">
        <f t="shared" si="1"/>
        <v>Очікую</v>
      </c>
      <c r="AA52" s="52" t="str">
        <f t="shared" si="2"/>
        <v>Очікую</v>
      </c>
      <c r="AB52" s="34"/>
      <c r="AC52" s="40"/>
    </row>
    <row r="53" spans="1:29" s="11" customFormat="1" ht="15" customHeight="1" x14ac:dyDescent="0.25">
      <c r="A53" s="41"/>
      <c r="B53" s="32"/>
      <c r="C53" s="45"/>
      <c r="D53" s="48">
        <v>44</v>
      </c>
      <c r="E53" s="46"/>
      <c r="F53" s="45"/>
      <c r="G53" s="45"/>
      <c r="H53" s="45"/>
      <c r="I53" s="45"/>
      <c r="J53" s="45"/>
      <c r="K53" s="45"/>
      <c r="L53" s="45"/>
      <c r="M53" s="45"/>
      <c r="N53" s="45"/>
      <c r="O53" s="45"/>
      <c r="P53" s="45"/>
      <c r="Q53" s="45"/>
      <c r="R53" s="45"/>
      <c r="S53" s="45"/>
      <c r="T53" s="45"/>
      <c r="U53" s="45"/>
      <c r="V53" s="45"/>
      <c r="W53" s="45"/>
      <c r="X53" s="45"/>
      <c r="Y53" s="45"/>
      <c r="Z53" s="52" t="str">
        <f t="shared" si="1"/>
        <v>Очікую</v>
      </c>
      <c r="AA53" s="52" t="str">
        <f t="shared" si="2"/>
        <v>Очікую</v>
      </c>
      <c r="AB53" s="34"/>
      <c r="AC53" s="40"/>
    </row>
    <row r="54" spans="1:29" s="11" customFormat="1" ht="15" customHeight="1" x14ac:dyDescent="0.25">
      <c r="A54" s="41"/>
      <c r="B54" s="32"/>
      <c r="C54" s="45"/>
      <c r="D54" s="48">
        <v>45</v>
      </c>
      <c r="E54" s="46"/>
      <c r="F54" s="45"/>
      <c r="G54" s="45"/>
      <c r="H54" s="45"/>
      <c r="I54" s="45"/>
      <c r="J54" s="45"/>
      <c r="K54" s="45"/>
      <c r="L54" s="45"/>
      <c r="M54" s="45"/>
      <c r="N54" s="45"/>
      <c r="O54" s="45"/>
      <c r="P54" s="45"/>
      <c r="Q54" s="45"/>
      <c r="R54" s="45"/>
      <c r="S54" s="45"/>
      <c r="T54" s="45"/>
      <c r="U54" s="45"/>
      <c r="V54" s="45"/>
      <c r="W54" s="45"/>
      <c r="X54" s="45"/>
      <c r="Y54" s="45"/>
      <c r="Z54" s="52" t="str">
        <f t="shared" si="1"/>
        <v>Очікую</v>
      </c>
      <c r="AA54" s="52" t="str">
        <f t="shared" si="2"/>
        <v>Очікую</v>
      </c>
      <c r="AB54" s="34"/>
      <c r="AC54" s="40"/>
    </row>
    <row r="55" spans="1:29" s="11" customFormat="1" ht="15" customHeight="1" x14ac:dyDescent="0.25">
      <c r="A55" s="41"/>
      <c r="B55" s="32"/>
      <c r="C55" s="45"/>
      <c r="D55" s="48">
        <v>46</v>
      </c>
      <c r="E55" s="46"/>
      <c r="F55" s="45"/>
      <c r="G55" s="45"/>
      <c r="H55" s="45"/>
      <c r="I55" s="45"/>
      <c r="J55" s="45"/>
      <c r="K55" s="45"/>
      <c r="L55" s="45"/>
      <c r="M55" s="45"/>
      <c r="N55" s="45"/>
      <c r="O55" s="45"/>
      <c r="P55" s="45"/>
      <c r="Q55" s="45"/>
      <c r="R55" s="45"/>
      <c r="S55" s="45"/>
      <c r="T55" s="45"/>
      <c r="U55" s="45"/>
      <c r="V55" s="45"/>
      <c r="W55" s="45"/>
      <c r="X55" s="45"/>
      <c r="Y55" s="45"/>
      <c r="Z55" s="52" t="str">
        <f t="shared" si="1"/>
        <v>Очікую</v>
      </c>
      <c r="AA55" s="52" t="str">
        <f t="shared" si="2"/>
        <v>Очікую</v>
      </c>
      <c r="AB55" s="34"/>
      <c r="AC55" s="40"/>
    </row>
    <row r="56" spans="1:29" s="11" customFormat="1" ht="15" customHeight="1" x14ac:dyDescent="0.25">
      <c r="A56" s="41"/>
      <c r="B56" s="32"/>
      <c r="C56" s="45"/>
      <c r="D56" s="48">
        <v>47</v>
      </c>
      <c r="E56" s="46"/>
      <c r="F56" s="45"/>
      <c r="G56" s="45"/>
      <c r="H56" s="45"/>
      <c r="I56" s="45"/>
      <c r="J56" s="45"/>
      <c r="K56" s="45"/>
      <c r="L56" s="45"/>
      <c r="M56" s="45"/>
      <c r="N56" s="45"/>
      <c r="O56" s="45"/>
      <c r="P56" s="45"/>
      <c r="Q56" s="45"/>
      <c r="R56" s="45"/>
      <c r="S56" s="45"/>
      <c r="T56" s="45"/>
      <c r="U56" s="45"/>
      <c r="V56" s="45"/>
      <c r="W56" s="45"/>
      <c r="X56" s="45"/>
      <c r="Y56" s="45"/>
      <c r="Z56" s="52" t="str">
        <f t="shared" si="1"/>
        <v>Очікую</v>
      </c>
      <c r="AA56" s="52" t="str">
        <f t="shared" si="2"/>
        <v>Очікую</v>
      </c>
      <c r="AB56" s="34"/>
      <c r="AC56" s="40"/>
    </row>
    <row r="57" spans="1:29" s="11" customFormat="1" ht="15" customHeight="1" x14ac:dyDescent="0.25">
      <c r="A57" s="41"/>
      <c r="B57" s="32"/>
      <c r="C57" s="45"/>
      <c r="D57" s="48">
        <v>48</v>
      </c>
      <c r="E57" s="46"/>
      <c r="F57" s="45"/>
      <c r="G57" s="45"/>
      <c r="H57" s="45"/>
      <c r="I57" s="45"/>
      <c r="J57" s="45"/>
      <c r="K57" s="45"/>
      <c r="L57" s="45"/>
      <c r="M57" s="45"/>
      <c r="N57" s="45"/>
      <c r="O57" s="45"/>
      <c r="P57" s="45"/>
      <c r="Q57" s="45"/>
      <c r="R57" s="45"/>
      <c r="S57" s="45"/>
      <c r="T57" s="45"/>
      <c r="U57" s="45"/>
      <c r="V57" s="45"/>
      <c r="W57" s="45"/>
      <c r="X57" s="45"/>
      <c r="Y57" s="45"/>
      <c r="Z57" s="52" t="str">
        <f t="shared" si="1"/>
        <v>Очікую</v>
      </c>
      <c r="AA57" s="52" t="str">
        <f t="shared" si="2"/>
        <v>Очікую</v>
      </c>
      <c r="AB57" s="34"/>
      <c r="AC57" s="40"/>
    </row>
    <row r="58" spans="1:29" s="11" customFormat="1" ht="15" customHeight="1" x14ac:dyDescent="0.25">
      <c r="A58" s="41"/>
      <c r="B58" s="32"/>
      <c r="C58" s="45"/>
      <c r="D58" s="48">
        <v>49</v>
      </c>
      <c r="E58" s="46"/>
      <c r="F58" s="45"/>
      <c r="G58" s="45"/>
      <c r="H58" s="45"/>
      <c r="I58" s="45"/>
      <c r="J58" s="45"/>
      <c r="K58" s="45"/>
      <c r="L58" s="45"/>
      <c r="M58" s="45"/>
      <c r="N58" s="45"/>
      <c r="O58" s="45"/>
      <c r="P58" s="45"/>
      <c r="Q58" s="45"/>
      <c r="R58" s="45"/>
      <c r="S58" s="45"/>
      <c r="T58" s="45"/>
      <c r="U58" s="45"/>
      <c r="V58" s="45"/>
      <c r="W58" s="45"/>
      <c r="X58" s="45"/>
      <c r="Y58" s="45"/>
      <c r="Z58" s="52" t="str">
        <f t="shared" si="1"/>
        <v>Очікую</v>
      </c>
      <c r="AA58" s="52" t="str">
        <f t="shared" si="2"/>
        <v>Очікую</v>
      </c>
      <c r="AB58" s="34"/>
      <c r="AC58" s="40"/>
    </row>
    <row r="59" spans="1:29" s="11" customFormat="1" ht="15" customHeight="1" x14ac:dyDescent="0.25">
      <c r="A59" s="41"/>
      <c r="B59" s="32"/>
      <c r="C59" s="45"/>
      <c r="D59" s="48">
        <v>50</v>
      </c>
      <c r="E59" s="46"/>
      <c r="F59" s="45"/>
      <c r="G59" s="45"/>
      <c r="H59" s="45"/>
      <c r="I59" s="45"/>
      <c r="J59" s="45"/>
      <c r="K59" s="45"/>
      <c r="L59" s="45"/>
      <c r="M59" s="45"/>
      <c r="N59" s="45"/>
      <c r="O59" s="45"/>
      <c r="P59" s="45"/>
      <c r="Q59" s="45"/>
      <c r="R59" s="45"/>
      <c r="S59" s="45"/>
      <c r="T59" s="45"/>
      <c r="U59" s="45"/>
      <c r="V59" s="45"/>
      <c r="W59" s="45"/>
      <c r="X59" s="45"/>
      <c r="Y59" s="45"/>
      <c r="Z59" s="52" t="str">
        <f t="shared" si="1"/>
        <v>Очікую</v>
      </c>
      <c r="AA59" s="52" t="str">
        <f t="shared" si="2"/>
        <v>Очікую</v>
      </c>
      <c r="AB59" s="34"/>
      <c r="AC59" s="40"/>
    </row>
    <row r="60" spans="1:29" s="11" customFormat="1" ht="15" customHeight="1" x14ac:dyDescent="0.25">
      <c r="A60" s="41"/>
      <c r="B60" s="32"/>
      <c r="C60" s="45"/>
      <c r="D60" s="48">
        <v>51</v>
      </c>
      <c r="E60" s="46"/>
      <c r="F60" s="45"/>
      <c r="G60" s="45"/>
      <c r="H60" s="45"/>
      <c r="I60" s="45"/>
      <c r="J60" s="45"/>
      <c r="K60" s="45"/>
      <c r="L60" s="45"/>
      <c r="M60" s="45"/>
      <c r="N60" s="45"/>
      <c r="O60" s="45"/>
      <c r="P60" s="45"/>
      <c r="Q60" s="45"/>
      <c r="R60" s="45"/>
      <c r="S60" s="45"/>
      <c r="T60" s="45"/>
      <c r="U60" s="45"/>
      <c r="V60" s="45"/>
      <c r="W60" s="45"/>
      <c r="X60" s="45"/>
      <c r="Y60" s="45"/>
      <c r="Z60" s="52" t="str">
        <f t="shared" si="1"/>
        <v>Очікую</v>
      </c>
      <c r="AA60" s="52" t="str">
        <f t="shared" si="2"/>
        <v>Очікую</v>
      </c>
      <c r="AB60" s="34"/>
      <c r="AC60" s="40"/>
    </row>
    <row r="61" spans="1:29" s="11" customFormat="1" ht="15" customHeight="1" x14ac:dyDescent="0.25">
      <c r="A61" s="41"/>
      <c r="B61" s="32"/>
      <c r="C61" s="45"/>
      <c r="D61" s="48">
        <v>52</v>
      </c>
      <c r="E61" s="46"/>
      <c r="F61" s="45"/>
      <c r="G61" s="45"/>
      <c r="H61" s="45"/>
      <c r="I61" s="45"/>
      <c r="J61" s="45"/>
      <c r="K61" s="45"/>
      <c r="L61" s="45"/>
      <c r="M61" s="45"/>
      <c r="N61" s="45"/>
      <c r="O61" s="45"/>
      <c r="P61" s="45"/>
      <c r="Q61" s="45"/>
      <c r="R61" s="45"/>
      <c r="S61" s="45"/>
      <c r="T61" s="45"/>
      <c r="U61" s="45"/>
      <c r="V61" s="45"/>
      <c r="W61" s="45"/>
      <c r="X61" s="45"/>
      <c r="Y61" s="45"/>
      <c r="Z61" s="52" t="str">
        <f t="shared" si="1"/>
        <v>Очікую</v>
      </c>
      <c r="AA61" s="52" t="str">
        <f t="shared" si="2"/>
        <v>Очікую</v>
      </c>
      <c r="AB61" s="34"/>
      <c r="AC61" s="40"/>
    </row>
    <row r="62" spans="1:29" s="11" customFormat="1" ht="15" customHeight="1" x14ac:dyDescent="0.25">
      <c r="A62" s="41"/>
      <c r="B62" s="32"/>
      <c r="C62" s="45"/>
      <c r="D62" s="48">
        <v>53</v>
      </c>
      <c r="E62" s="46"/>
      <c r="F62" s="45"/>
      <c r="G62" s="45"/>
      <c r="H62" s="45"/>
      <c r="I62" s="45"/>
      <c r="J62" s="45"/>
      <c r="K62" s="45"/>
      <c r="L62" s="45"/>
      <c r="M62" s="45"/>
      <c r="N62" s="45"/>
      <c r="O62" s="45"/>
      <c r="P62" s="45"/>
      <c r="Q62" s="45"/>
      <c r="R62" s="45"/>
      <c r="S62" s="45"/>
      <c r="T62" s="45"/>
      <c r="U62" s="45"/>
      <c r="V62" s="45"/>
      <c r="W62" s="45"/>
      <c r="X62" s="45"/>
      <c r="Y62" s="45"/>
      <c r="Z62" s="52" t="str">
        <f t="shared" si="1"/>
        <v>Очікую</v>
      </c>
      <c r="AA62" s="52" t="str">
        <f t="shared" si="2"/>
        <v>Очікую</v>
      </c>
      <c r="AB62" s="34"/>
      <c r="AC62" s="40"/>
    </row>
    <row r="63" spans="1:29" s="11" customFormat="1" ht="15" customHeight="1" x14ac:dyDescent="0.25">
      <c r="A63" s="41"/>
      <c r="B63" s="32"/>
      <c r="C63" s="45"/>
      <c r="D63" s="48">
        <v>54</v>
      </c>
      <c r="E63" s="46"/>
      <c r="F63" s="45"/>
      <c r="G63" s="45"/>
      <c r="H63" s="45"/>
      <c r="I63" s="45"/>
      <c r="J63" s="45"/>
      <c r="K63" s="45"/>
      <c r="L63" s="45"/>
      <c r="M63" s="45"/>
      <c r="N63" s="45"/>
      <c r="O63" s="45"/>
      <c r="P63" s="45"/>
      <c r="Q63" s="45"/>
      <c r="R63" s="45"/>
      <c r="S63" s="45"/>
      <c r="T63" s="45"/>
      <c r="U63" s="45"/>
      <c r="V63" s="45"/>
      <c r="W63" s="45"/>
      <c r="X63" s="45"/>
      <c r="Y63" s="45"/>
      <c r="Z63" s="52" t="str">
        <f t="shared" si="1"/>
        <v>Очікую</v>
      </c>
      <c r="AA63" s="52" t="str">
        <f t="shared" si="2"/>
        <v>Очікую</v>
      </c>
      <c r="AB63" s="34"/>
      <c r="AC63" s="40"/>
    </row>
    <row r="64" spans="1:29" s="11" customFormat="1" ht="15" customHeight="1" x14ac:dyDescent="0.25">
      <c r="A64" s="41"/>
      <c r="B64" s="32"/>
      <c r="C64" s="45"/>
      <c r="D64" s="48">
        <v>55</v>
      </c>
      <c r="E64" s="46"/>
      <c r="F64" s="45"/>
      <c r="G64" s="45"/>
      <c r="H64" s="45"/>
      <c r="I64" s="45"/>
      <c r="J64" s="45"/>
      <c r="K64" s="45"/>
      <c r="L64" s="45"/>
      <c r="M64" s="45"/>
      <c r="N64" s="45"/>
      <c r="O64" s="45"/>
      <c r="P64" s="45"/>
      <c r="Q64" s="45"/>
      <c r="R64" s="45"/>
      <c r="S64" s="45"/>
      <c r="T64" s="45"/>
      <c r="U64" s="45"/>
      <c r="V64" s="45"/>
      <c r="W64" s="45"/>
      <c r="X64" s="45"/>
      <c r="Y64" s="45"/>
      <c r="Z64" s="52" t="str">
        <f t="shared" si="1"/>
        <v>Очікую</v>
      </c>
      <c r="AA64" s="52" t="str">
        <f t="shared" si="2"/>
        <v>Очікую</v>
      </c>
      <c r="AB64" s="34"/>
      <c r="AC64" s="40"/>
    </row>
    <row r="65" spans="1:29" s="11" customFormat="1" ht="15" customHeight="1" x14ac:dyDescent="0.25">
      <c r="A65" s="41"/>
      <c r="B65" s="32"/>
      <c r="C65" s="45"/>
      <c r="D65" s="48">
        <v>56</v>
      </c>
      <c r="E65" s="46"/>
      <c r="F65" s="45"/>
      <c r="G65" s="45"/>
      <c r="H65" s="45"/>
      <c r="I65" s="45"/>
      <c r="J65" s="45"/>
      <c r="K65" s="45"/>
      <c r="L65" s="45"/>
      <c r="M65" s="45"/>
      <c r="N65" s="45"/>
      <c r="O65" s="45"/>
      <c r="P65" s="45"/>
      <c r="Q65" s="45"/>
      <c r="R65" s="45"/>
      <c r="S65" s="45"/>
      <c r="T65" s="45"/>
      <c r="U65" s="45"/>
      <c r="V65" s="45"/>
      <c r="W65" s="45"/>
      <c r="X65" s="45"/>
      <c r="Y65" s="45"/>
      <c r="Z65" s="52" t="str">
        <f t="shared" si="1"/>
        <v>Очікую</v>
      </c>
      <c r="AA65" s="52" t="str">
        <f t="shared" si="2"/>
        <v>Очікую</v>
      </c>
      <c r="AB65" s="34"/>
      <c r="AC65" s="40"/>
    </row>
    <row r="66" spans="1:29" s="11" customFormat="1" ht="15" customHeight="1" x14ac:dyDescent="0.25">
      <c r="A66" s="41"/>
      <c r="B66" s="32"/>
      <c r="C66" s="45"/>
      <c r="D66" s="48">
        <v>57</v>
      </c>
      <c r="E66" s="46"/>
      <c r="F66" s="45"/>
      <c r="G66" s="45"/>
      <c r="H66" s="45"/>
      <c r="I66" s="45"/>
      <c r="J66" s="45"/>
      <c r="K66" s="45"/>
      <c r="L66" s="45"/>
      <c r="M66" s="45"/>
      <c r="N66" s="45"/>
      <c r="O66" s="45"/>
      <c r="P66" s="45"/>
      <c r="Q66" s="45"/>
      <c r="R66" s="45"/>
      <c r="S66" s="45"/>
      <c r="T66" s="45"/>
      <c r="U66" s="45"/>
      <c r="V66" s="45"/>
      <c r="W66" s="45"/>
      <c r="X66" s="45"/>
      <c r="Y66" s="45"/>
      <c r="Z66" s="52" t="str">
        <f t="shared" si="1"/>
        <v>Очікую</v>
      </c>
      <c r="AA66" s="52" t="str">
        <f t="shared" si="2"/>
        <v>Очікую</v>
      </c>
      <c r="AB66" s="34"/>
      <c r="AC66" s="40"/>
    </row>
    <row r="67" spans="1:29" s="11" customFormat="1" ht="15" customHeight="1" x14ac:dyDescent="0.25">
      <c r="A67" s="41"/>
      <c r="B67" s="32"/>
      <c r="C67" s="45"/>
      <c r="D67" s="48">
        <v>58</v>
      </c>
      <c r="E67" s="46"/>
      <c r="F67" s="45"/>
      <c r="G67" s="45"/>
      <c r="H67" s="45"/>
      <c r="I67" s="45"/>
      <c r="J67" s="45"/>
      <c r="K67" s="45"/>
      <c r="L67" s="45"/>
      <c r="M67" s="45"/>
      <c r="N67" s="45"/>
      <c r="O67" s="45"/>
      <c r="P67" s="45"/>
      <c r="Q67" s="45"/>
      <c r="R67" s="45"/>
      <c r="S67" s="45"/>
      <c r="T67" s="45"/>
      <c r="U67" s="45"/>
      <c r="V67" s="45"/>
      <c r="W67" s="45"/>
      <c r="X67" s="45"/>
      <c r="Y67" s="45"/>
      <c r="Z67" s="52" t="str">
        <f t="shared" si="1"/>
        <v>Очікую</v>
      </c>
      <c r="AA67" s="52" t="str">
        <f t="shared" si="2"/>
        <v>Очікую</v>
      </c>
      <c r="AB67" s="34"/>
      <c r="AC67" s="40"/>
    </row>
    <row r="68" spans="1:29" s="11" customFormat="1" ht="15" customHeight="1" x14ac:dyDescent="0.25">
      <c r="A68" s="41"/>
      <c r="B68" s="32"/>
      <c r="C68" s="45"/>
      <c r="D68" s="48">
        <v>59</v>
      </c>
      <c r="E68" s="46"/>
      <c r="F68" s="45"/>
      <c r="G68" s="45"/>
      <c r="H68" s="45"/>
      <c r="I68" s="45"/>
      <c r="J68" s="45"/>
      <c r="K68" s="45"/>
      <c r="L68" s="45"/>
      <c r="M68" s="45"/>
      <c r="N68" s="45"/>
      <c r="O68" s="45"/>
      <c r="P68" s="45"/>
      <c r="Q68" s="45"/>
      <c r="R68" s="45"/>
      <c r="S68" s="45"/>
      <c r="T68" s="45"/>
      <c r="U68" s="45"/>
      <c r="V68" s="45"/>
      <c r="W68" s="45"/>
      <c r="X68" s="45"/>
      <c r="Y68" s="45"/>
      <c r="Z68" s="52" t="str">
        <f t="shared" si="1"/>
        <v>Очікую</v>
      </c>
      <c r="AA68" s="52" t="str">
        <f t="shared" si="2"/>
        <v>Очікую</v>
      </c>
      <c r="AB68" s="34"/>
      <c r="AC68" s="40"/>
    </row>
    <row r="69" spans="1:29" s="11" customFormat="1" ht="15" customHeight="1" x14ac:dyDescent="0.25">
      <c r="A69" s="41"/>
      <c r="B69" s="32"/>
      <c r="C69" s="45"/>
      <c r="D69" s="48">
        <v>60</v>
      </c>
      <c r="E69" s="46"/>
      <c r="F69" s="45"/>
      <c r="G69" s="45"/>
      <c r="H69" s="45"/>
      <c r="I69" s="45"/>
      <c r="J69" s="45"/>
      <c r="K69" s="45"/>
      <c r="L69" s="45"/>
      <c r="M69" s="45"/>
      <c r="N69" s="45"/>
      <c r="O69" s="45"/>
      <c r="P69" s="45"/>
      <c r="Q69" s="45"/>
      <c r="R69" s="45"/>
      <c r="S69" s="45"/>
      <c r="T69" s="45"/>
      <c r="U69" s="45"/>
      <c r="V69" s="45"/>
      <c r="W69" s="45"/>
      <c r="X69" s="45"/>
      <c r="Y69" s="45"/>
      <c r="Z69" s="52" t="str">
        <f t="shared" si="1"/>
        <v>Очікую</v>
      </c>
      <c r="AA69" s="52" t="str">
        <f t="shared" si="2"/>
        <v>Очікую</v>
      </c>
      <c r="AB69" s="34"/>
      <c r="AC69" s="40"/>
    </row>
    <row r="70" spans="1:29" s="11" customFormat="1" ht="15" customHeight="1" x14ac:dyDescent="0.25">
      <c r="A70" s="41"/>
      <c r="B70" s="32"/>
      <c r="C70" s="45"/>
      <c r="D70" s="48">
        <v>61</v>
      </c>
      <c r="E70" s="46"/>
      <c r="F70" s="45"/>
      <c r="G70" s="45"/>
      <c r="H70" s="45"/>
      <c r="I70" s="45"/>
      <c r="J70" s="45"/>
      <c r="K70" s="45"/>
      <c r="L70" s="45"/>
      <c r="M70" s="45"/>
      <c r="N70" s="45"/>
      <c r="O70" s="45"/>
      <c r="P70" s="45"/>
      <c r="Q70" s="45"/>
      <c r="R70" s="45"/>
      <c r="S70" s="45"/>
      <c r="T70" s="45"/>
      <c r="U70" s="45"/>
      <c r="V70" s="45"/>
      <c r="W70" s="45"/>
      <c r="X70" s="45"/>
      <c r="Y70" s="45"/>
      <c r="Z70" s="52" t="str">
        <f t="shared" si="1"/>
        <v>Очікую</v>
      </c>
      <c r="AA70" s="52" t="str">
        <f t="shared" si="2"/>
        <v>Очікую</v>
      </c>
      <c r="AB70" s="34"/>
      <c r="AC70" s="40"/>
    </row>
    <row r="71" spans="1:29" s="11" customFormat="1" ht="15" customHeight="1" x14ac:dyDescent="0.25">
      <c r="A71" s="41"/>
      <c r="B71" s="32"/>
      <c r="C71" s="45"/>
      <c r="D71" s="48">
        <v>62</v>
      </c>
      <c r="E71" s="46"/>
      <c r="F71" s="45"/>
      <c r="G71" s="45"/>
      <c r="H71" s="45"/>
      <c r="I71" s="45"/>
      <c r="J71" s="45"/>
      <c r="K71" s="45"/>
      <c r="L71" s="45"/>
      <c r="M71" s="45"/>
      <c r="N71" s="45"/>
      <c r="O71" s="45"/>
      <c r="P71" s="45"/>
      <c r="Q71" s="45"/>
      <c r="R71" s="45"/>
      <c r="S71" s="45"/>
      <c r="T71" s="45"/>
      <c r="U71" s="45"/>
      <c r="V71" s="45"/>
      <c r="W71" s="45"/>
      <c r="X71" s="45"/>
      <c r="Y71" s="45"/>
      <c r="Z71" s="52" t="str">
        <f t="shared" si="1"/>
        <v>Очікую</v>
      </c>
      <c r="AA71" s="52" t="str">
        <f t="shared" si="2"/>
        <v>Очікую</v>
      </c>
      <c r="AB71" s="34"/>
      <c r="AC71" s="40"/>
    </row>
    <row r="72" spans="1:29" s="11" customFormat="1" ht="15" customHeight="1" x14ac:dyDescent="0.25">
      <c r="A72" s="41"/>
      <c r="B72" s="32"/>
      <c r="C72" s="45"/>
      <c r="D72" s="48">
        <v>63</v>
      </c>
      <c r="E72" s="46"/>
      <c r="F72" s="45"/>
      <c r="G72" s="45"/>
      <c r="H72" s="45"/>
      <c r="I72" s="45"/>
      <c r="J72" s="45"/>
      <c r="K72" s="45"/>
      <c r="L72" s="45"/>
      <c r="M72" s="45"/>
      <c r="N72" s="45"/>
      <c r="O72" s="45"/>
      <c r="P72" s="45"/>
      <c r="Q72" s="45"/>
      <c r="R72" s="45"/>
      <c r="S72" s="45"/>
      <c r="T72" s="45"/>
      <c r="U72" s="45"/>
      <c r="V72" s="45"/>
      <c r="W72" s="45"/>
      <c r="X72" s="45"/>
      <c r="Y72" s="45"/>
      <c r="Z72" s="52" t="str">
        <f t="shared" si="1"/>
        <v>Очікую</v>
      </c>
      <c r="AA72" s="52" t="str">
        <f t="shared" si="2"/>
        <v>Очікую</v>
      </c>
      <c r="AB72" s="34"/>
      <c r="AC72" s="40"/>
    </row>
    <row r="73" spans="1:29" s="11" customFormat="1" ht="15" customHeight="1" x14ac:dyDescent="0.25">
      <c r="A73" s="41"/>
      <c r="B73" s="32"/>
      <c r="C73" s="45"/>
      <c r="D73" s="48">
        <v>64</v>
      </c>
      <c r="E73" s="46"/>
      <c r="F73" s="45"/>
      <c r="G73" s="45"/>
      <c r="H73" s="45"/>
      <c r="I73" s="45"/>
      <c r="J73" s="45"/>
      <c r="K73" s="45"/>
      <c r="L73" s="45"/>
      <c r="M73" s="45"/>
      <c r="N73" s="45"/>
      <c r="O73" s="45"/>
      <c r="P73" s="45"/>
      <c r="Q73" s="45"/>
      <c r="R73" s="45"/>
      <c r="S73" s="45"/>
      <c r="T73" s="45"/>
      <c r="U73" s="45"/>
      <c r="V73" s="45"/>
      <c r="W73" s="45"/>
      <c r="X73" s="45"/>
      <c r="Y73" s="45"/>
      <c r="Z73" s="52" t="str">
        <f t="shared" si="1"/>
        <v>Очікую</v>
      </c>
      <c r="AA73" s="52" t="str">
        <f t="shared" si="2"/>
        <v>Очікую</v>
      </c>
      <c r="AB73" s="34"/>
      <c r="AC73" s="40"/>
    </row>
    <row r="74" spans="1:29" s="11" customFormat="1" ht="15" customHeight="1" x14ac:dyDescent="0.25">
      <c r="A74" s="41"/>
      <c r="B74" s="32"/>
      <c r="C74" s="45"/>
      <c r="D74" s="48">
        <v>65</v>
      </c>
      <c r="E74" s="46"/>
      <c r="F74" s="45"/>
      <c r="G74" s="45"/>
      <c r="H74" s="45"/>
      <c r="I74" s="45"/>
      <c r="J74" s="45"/>
      <c r="K74" s="45"/>
      <c r="L74" s="45"/>
      <c r="M74" s="45"/>
      <c r="N74" s="45"/>
      <c r="O74" s="45"/>
      <c r="P74" s="45"/>
      <c r="Q74" s="45"/>
      <c r="R74" s="45"/>
      <c r="S74" s="45"/>
      <c r="T74" s="45"/>
      <c r="U74" s="45"/>
      <c r="V74" s="45"/>
      <c r="W74" s="45"/>
      <c r="X74" s="45"/>
      <c r="Y74" s="45"/>
      <c r="Z74" s="52" t="str">
        <f t="shared" si="1"/>
        <v>Очікую</v>
      </c>
      <c r="AA74" s="52" t="str">
        <f t="shared" si="2"/>
        <v>Очікую</v>
      </c>
      <c r="AB74" s="34"/>
      <c r="AC74" s="40"/>
    </row>
    <row r="75" spans="1:29" s="11" customFormat="1" ht="15" customHeight="1" x14ac:dyDescent="0.25">
      <c r="A75" s="41"/>
      <c r="B75" s="32"/>
      <c r="C75" s="45"/>
      <c r="D75" s="48">
        <v>66</v>
      </c>
      <c r="E75" s="46"/>
      <c r="F75" s="45"/>
      <c r="G75" s="45"/>
      <c r="H75" s="45"/>
      <c r="I75" s="45"/>
      <c r="J75" s="45"/>
      <c r="K75" s="45"/>
      <c r="L75" s="45"/>
      <c r="M75" s="45"/>
      <c r="N75" s="45"/>
      <c r="O75" s="45"/>
      <c r="P75" s="45"/>
      <c r="Q75" s="45"/>
      <c r="R75" s="45"/>
      <c r="S75" s="45"/>
      <c r="T75" s="45"/>
      <c r="U75" s="45"/>
      <c r="V75" s="45"/>
      <c r="W75" s="45"/>
      <c r="X75" s="45"/>
      <c r="Y75" s="45"/>
      <c r="Z75" s="52" t="str">
        <f t="shared" ref="Z75:Z109" si="3">IF(COUNTIF(F75:Y75,"=*")&gt;0,IF($C75="К","-"," - "),IF(COUNTIF(F75:Y75,"&lt;4")&gt;0,IF(C75="К","-"," - "),(IFERROR(AVERAGE(F75:Y75),"Очікую"))))</f>
        <v>Очікую</v>
      </c>
      <c r="AA75" s="52" t="str">
        <f t="shared" ref="AA75:AA109" si="4">IFERROR(Z75/12*90,"Очікую")</f>
        <v>Очікую</v>
      </c>
      <c r="AB75" s="34"/>
      <c r="AC75" s="40"/>
    </row>
    <row r="76" spans="1:29" s="11" customFormat="1" ht="15" customHeight="1" x14ac:dyDescent="0.25">
      <c r="A76" s="41"/>
      <c r="B76" s="32"/>
      <c r="C76" s="45"/>
      <c r="D76" s="48">
        <v>67</v>
      </c>
      <c r="E76" s="46"/>
      <c r="F76" s="45"/>
      <c r="G76" s="45"/>
      <c r="H76" s="45"/>
      <c r="I76" s="45"/>
      <c r="J76" s="45"/>
      <c r="K76" s="45"/>
      <c r="L76" s="45"/>
      <c r="M76" s="45"/>
      <c r="N76" s="45"/>
      <c r="O76" s="45"/>
      <c r="P76" s="45"/>
      <c r="Q76" s="45"/>
      <c r="R76" s="45"/>
      <c r="S76" s="45"/>
      <c r="T76" s="45"/>
      <c r="U76" s="45"/>
      <c r="V76" s="45"/>
      <c r="W76" s="45"/>
      <c r="X76" s="45"/>
      <c r="Y76" s="45"/>
      <c r="Z76" s="52" t="str">
        <f t="shared" si="3"/>
        <v>Очікую</v>
      </c>
      <c r="AA76" s="52" t="str">
        <f t="shared" si="4"/>
        <v>Очікую</v>
      </c>
      <c r="AB76" s="34"/>
      <c r="AC76" s="40"/>
    </row>
    <row r="77" spans="1:29" s="11" customFormat="1" ht="15" customHeight="1" x14ac:dyDescent="0.25">
      <c r="A77" s="41"/>
      <c r="B77" s="32"/>
      <c r="C77" s="45"/>
      <c r="D77" s="48">
        <v>68</v>
      </c>
      <c r="E77" s="46"/>
      <c r="F77" s="45"/>
      <c r="G77" s="45"/>
      <c r="H77" s="45"/>
      <c r="I77" s="45"/>
      <c r="J77" s="45"/>
      <c r="K77" s="45"/>
      <c r="L77" s="45"/>
      <c r="M77" s="45"/>
      <c r="N77" s="45"/>
      <c r="O77" s="45"/>
      <c r="P77" s="45"/>
      <c r="Q77" s="45"/>
      <c r="R77" s="45"/>
      <c r="S77" s="45"/>
      <c r="T77" s="45"/>
      <c r="U77" s="45"/>
      <c r="V77" s="45"/>
      <c r="W77" s="45"/>
      <c r="X77" s="45"/>
      <c r="Y77" s="45"/>
      <c r="Z77" s="52" t="str">
        <f t="shared" si="3"/>
        <v>Очікую</v>
      </c>
      <c r="AA77" s="52" t="str">
        <f t="shared" si="4"/>
        <v>Очікую</v>
      </c>
      <c r="AB77" s="34"/>
      <c r="AC77" s="40"/>
    </row>
    <row r="78" spans="1:29" s="11" customFormat="1" ht="15" customHeight="1" x14ac:dyDescent="0.25">
      <c r="A78" s="41"/>
      <c r="B78" s="32"/>
      <c r="C78" s="45"/>
      <c r="D78" s="48">
        <v>69</v>
      </c>
      <c r="E78" s="46"/>
      <c r="F78" s="45"/>
      <c r="G78" s="45"/>
      <c r="H78" s="45"/>
      <c r="I78" s="45"/>
      <c r="J78" s="45"/>
      <c r="K78" s="45"/>
      <c r="L78" s="45"/>
      <c r="M78" s="45"/>
      <c r="N78" s="45"/>
      <c r="O78" s="45"/>
      <c r="P78" s="45"/>
      <c r="Q78" s="45"/>
      <c r="R78" s="45"/>
      <c r="S78" s="45"/>
      <c r="T78" s="45"/>
      <c r="U78" s="45"/>
      <c r="V78" s="45"/>
      <c r="W78" s="45"/>
      <c r="X78" s="45"/>
      <c r="Y78" s="45"/>
      <c r="Z78" s="52" t="str">
        <f t="shared" si="3"/>
        <v>Очікую</v>
      </c>
      <c r="AA78" s="52" t="str">
        <f t="shared" si="4"/>
        <v>Очікую</v>
      </c>
      <c r="AB78" s="34"/>
      <c r="AC78" s="40"/>
    </row>
    <row r="79" spans="1:29" s="11" customFormat="1" ht="15" customHeight="1" x14ac:dyDescent="0.25">
      <c r="A79" s="41"/>
      <c r="B79" s="32"/>
      <c r="C79" s="45"/>
      <c r="D79" s="48">
        <v>70</v>
      </c>
      <c r="E79" s="46"/>
      <c r="F79" s="45"/>
      <c r="G79" s="45"/>
      <c r="H79" s="45"/>
      <c r="I79" s="45"/>
      <c r="J79" s="45"/>
      <c r="K79" s="45"/>
      <c r="L79" s="45"/>
      <c r="M79" s="45"/>
      <c r="N79" s="45"/>
      <c r="O79" s="45"/>
      <c r="P79" s="45"/>
      <c r="Q79" s="45"/>
      <c r="R79" s="45"/>
      <c r="S79" s="45"/>
      <c r="T79" s="45"/>
      <c r="U79" s="45"/>
      <c r="V79" s="45"/>
      <c r="W79" s="45"/>
      <c r="X79" s="45"/>
      <c r="Y79" s="45"/>
      <c r="Z79" s="52" t="str">
        <f t="shared" si="3"/>
        <v>Очікую</v>
      </c>
      <c r="AA79" s="52" t="str">
        <f t="shared" si="4"/>
        <v>Очікую</v>
      </c>
      <c r="AB79" s="34"/>
      <c r="AC79" s="40"/>
    </row>
    <row r="80" spans="1:29" s="11" customFormat="1" ht="15" customHeight="1" x14ac:dyDescent="0.25">
      <c r="A80" s="41"/>
      <c r="B80" s="32"/>
      <c r="C80" s="45"/>
      <c r="D80" s="48">
        <v>71</v>
      </c>
      <c r="E80" s="46"/>
      <c r="F80" s="45"/>
      <c r="G80" s="45"/>
      <c r="H80" s="45"/>
      <c r="I80" s="45"/>
      <c r="J80" s="45"/>
      <c r="K80" s="45"/>
      <c r="L80" s="45"/>
      <c r="M80" s="45"/>
      <c r="N80" s="45"/>
      <c r="O80" s="45"/>
      <c r="P80" s="45"/>
      <c r="Q80" s="45"/>
      <c r="R80" s="45"/>
      <c r="S80" s="45"/>
      <c r="T80" s="45"/>
      <c r="U80" s="45"/>
      <c r="V80" s="45"/>
      <c r="W80" s="45"/>
      <c r="X80" s="45"/>
      <c r="Y80" s="45"/>
      <c r="Z80" s="52" t="str">
        <f t="shared" si="3"/>
        <v>Очікую</v>
      </c>
      <c r="AA80" s="52" t="str">
        <f t="shared" si="4"/>
        <v>Очікую</v>
      </c>
      <c r="AB80" s="34"/>
      <c r="AC80" s="40"/>
    </row>
    <row r="81" spans="1:29" s="11" customFormat="1" ht="15" customHeight="1" x14ac:dyDescent="0.25">
      <c r="A81" s="41"/>
      <c r="B81" s="32"/>
      <c r="C81" s="45"/>
      <c r="D81" s="48">
        <v>72</v>
      </c>
      <c r="E81" s="46"/>
      <c r="F81" s="45"/>
      <c r="G81" s="45"/>
      <c r="H81" s="45"/>
      <c r="I81" s="45"/>
      <c r="J81" s="45"/>
      <c r="K81" s="45"/>
      <c r="L81" s="45"/>
      <c r="M81" s="45"/>
      <c r="N81" s="45"/>
      <c r="O81" s="45"/>
      <c r="P81" s="45"/>
      <c r="Q81" s="45"/>
      <c r="R81" s="45"/>
      <c r="S81" s="45"/>
      <c r="T81" s="45"/>
      <c r="U81" s="45"/>
      <c r="V81" s="45"/>
      <c r="W81" s="45"/>
      <c r="X81" s="45"/>
      <c r="Y81" s="45"/>
      <c r="Z81" s="52" t="str">
        <f t="shared" si="3"/>
        <v>Очікую</v>
      </c>
      <c r="AA81" s="52" t="str">
        <f t="shared" si="4"/>
        <v>Очікую</v>
      </c>
      <c r="AB81" s="34"/>
      <c r="AC81" s="40"/>
    </row>
    <row r="82" spans="1:29" s="11" customFormat="1" ht="15" customHeight="1" x14ac:dyDescent="0.25">
      <c r="A82" s="41"/>
      <c r="B82" s="32"/>
      <c r="C82" s="45"/>
      <c r="D82" s="48">
        <v>73</v>
      </c>
      <c r="E82" s="46"/>
      <c r="F82" s="45"/>
      <c r="G82" s="45"/>
      <c r="H82" s="45"/>
      <c r="I82" s="45"/>
      <c r="J82" s="45"/>
      <c r="K82" s="45"/>
      <c r="L82" s="45"/>
      <c r="M82" s="45"/>
      <c r="N82" s="45"/>
      <c r="O82" s="45"/>
      <c r="P82" s="45"/>
      <c r="Q82" s="45"/>
      <c r="R82" s="45"/>
      <c r="S82" s="45"/>
      <c r="T82" s="45"/>
      <c r="U82" s="45"/>
      <c r="V82" s="45"/>
      <c r="W82" s="45"/>
      <c r="X82" s="45"/>
      <c r="Y82" s="45"/>
      <c r="Z82" s="52" t="str">
        <f t="shared" si="3"/>
        <v>Очікую</v>
      </c>
      <c r="AA82" s="52" t="str">
        <f t="shared" si="4"/>
        <v>Очікую</v>
      </c>
      <c r="AB82" s="34"/>
      <c r="AC82" s="40"/>
    </row>
    <row r="83" spans="1:29" s="11" customFormat="1" ht="15" customHeight="1" x14ac:dyDescent="0.25">
      <c r="A83" s="41"/>
      <c r="B83" s="32"/>
      <c r="C83" s="45"/>
      <c r="D83" s="48">
        <v>74</v>
      </c>
      <c r="E83" s="46"/>
      <c r="F83" s="45"/>
      <c r="G83" s="45"/>
      <c r="H83" s="45"/>
      <c r="I83" s="45"/>
      <c r="J83" s="45"/>
      <c r="K83" s="45"/>
      <c r="L83" s="45"/>
      <c r="M83" s="45"/>
      <c r="N83" s="45"/>
      <c r="O83" s="45"/>
      <c r="P83" s="45"/>
      <c r="Q83" s="45"/>
      <c r="R83" s="45"/>
      <c r="S83" s="45"/>
      <c r="T83" s="45"/>
      <c r="U83" s="45"/>
      <c r="V83" s="45"/>
      <c r="W83" s="45"/>
      <c r="X83" s="45"/>
      <c r="Y83" s="45"/>
      <c r="Z83" s="52" t="str">
        <f t="shared" si="3"/>
        <v>Очікую</v>
      </c>
      <c r="AA83" s="52" t="str">
        <f t="shared" si="4"/>
        <v>Очікую</v>
      </c>
      <c r="AB83" s="34"/>
      <c r="AC83" s="40"/>
    </row>
    <row r="84" spans="1:29" s="11" customFormat="1" ht="15" customHeight="1" x14ac:dyDescent="0.25">
      <c r="A84" s="41"/>
      <c r="B84" s="32"/>
      <c r="C84" s="45"/>
      <c r="D84" s="48">
        <v>75</v>
      </c>
      <c r="E84" s="46"/>
      <c r="F84" s="45"/>
      <c r="G84" s="45"/>
      <c r="H84" s="45"/>
      <c r="I84" s="45"/>
      <c r="J84" s="45"/>
      <c r="K84" s="45"/>
      <c r="L84" s="45"/>
      <c r="M84" s="45"/>
      <c r="N84" s="45"/>
      <c r="O84" s="45"/>
      <c r="P84" s="45"/>
      <c r="Q84" s="45"/>
      <c r="R84" s="45"/>
      <c r="S84" s="45"/>
      <c r="T84" s="45"/>
      <c r="U84" s="45"/>
      <c r="V84" s="45"/>
      <c r="W84" s="45"/>
      <c r="X84" s="45"/>
      <c r="Y84" s="45"/>
      <c r="Z84" s="52" t="str">
        <f t="shared" si="3"/>
        <v>Очікую</v>
      </c>
      <c r="AA84" s="52" t="str">
        <f t="shared" si="4"/>
        <v>Очікую</v>
      </c>
      <c r="AB84" s="34"/>
      <c r="AC84" s="40"/>
    </row>
    <row r="85" spans="1:29" s="11" customFormat="1" ht="15" customHeight="1" x14ac:dyDescent="0.25">
      <c r="A85" s="41"/>
      <c r="B85" s="32"/>
      <c r="C85" s="45"/>
      <c r="D85" s="48">
        <v>76</v>
      </c>
      <c r="E85" s="46"/>
      <c r="F85" s="45"/>
      <c r="G85" s="45"/>
      <c r="H85" s="45"/>
      <c r="I85" s="45"/>
      <c r="J85" s="45"/>
      <c r="K85" s="45"/>
      <c r="L85" s="45"/>
      <c r="M85" s="45"/>
      <c r="N85" s="45"/>
      <c r="O85" s="45"/>
      <c r="P85" s="45"/>
      <c r="Q85" s="45"/>
      <c r="R85" s="45"/>
      <c r="S85" s="45"/>
      <c r="T85" s="45"/>
      <c r="U85" s="45"/>
      <c r="V85" s="45"/>
      <c r="W85" s="45"/>
      <c r="X85" s="45"/>
      <c r="Y85" s="45"/>
      <c r="Z85" s="52" t="str">
        <f t="shared" si="3"/>
        <v>Очікую</v>
      </c>
      <c r="AA85" s="52" t="str">
        <f t="shared" si="4"/>
        <v>Очікую</v>
      </c>
      <c r="AB85" s="34"/>
      <c r="AC85" s="40"/>
    </row>
    <row r="86" spans="1:29" s="11" customFormat="1" ht="15" customHeight="1" x14ac:dyDescent="0.25">
      <c r="A86" s="41"/>
      <c r="B86" s="32"/>
      <c r="C86" s="45"/>
      <c r="D86" s="48">
        <v>77</v>
      </c>
      <c r="E86" s="46"/>
      <c r="F86" s="45"/>
      <c r="G86" s="45"/>
      <c r="H86" s="45"/>
      <c r="I86" s="45"/>
      <c r="J86" s="45"/>
      <c r="K86" s="45"/>
      <c r="L86" s="45"/>
      <c r="M86" s="45"/>
      <c r="N86" s="45"/>
      <c r="O86" s="45"/>
      <c r="P86" s="45"/>
      <c r="Q86" s="45"/>
      <c r="R86" s="45"/>
      <c r="S86" s="45"/>
      <c r="T86" s="45"/>
      <c r="U86" s="45"/>
      <c r="V86" s="45"/>
      <c r="W86" s="45"/>
      <c r="X86" s="45"/>
      <c r="Y86" s="45"/>
      <c r="Z86" s="52" t="str">
        <f t="shared" si="3"/>
        <v>Очікую</v>
      </c>
      <c r="AA86" s="52" t="str">
        <f t="shared" si="4"/>
        <v>Очікую</v>
      </c>
      <c r="AB86" s="34"/>
      <c r="AC86" s="40"/>
    </row>
    <row r="87" spans="1:29" s="11" customFormat="1" ht="15" customHeight="1" x14ac:dyDescent="0.25">
      <c r="A87" s="41"/>
      <c r="B87" s="32"/>
      <c r="C87" s="45"/>
      <c r="D87" s="48">
        <v>78</v>
      </c>
      <c r="E87" s="46"/>
      <c r="F87" s="45"/>
      <c r="G87" s="45"/>
      <c r="H87" s="45"/>
      <c r="I87" s="45"/>
      <c r="J87" s="45"/>
      <c r="K87" s="45"/>
      <c r="L87" s="45"/>
      <c r="M87" s="45"/>
      <c r="N87" s="45"/>
      <c r="O87" s="45"/>
      <c r="P87" s="45"/>
      <c r="Q87" s="45"/>
      <c r="R87" s="45"/>
      <c r="S87" s="45"/>
      <c r="T87" s="45"/>
      <c r="U87" s="45"/>
      <c r="V87" s="45"/>
      <c r="W87" s="45"/>
      <c r="X87" s="45"/>
      <c r="Y87" s="45"/>
      <c r="Z87" s="52" t="str">
        <f t="shared" si="3"/>
        <v>Очікую</v>
      </c>
      <c r="AA87" s="52" t="str">
        <f t="shared" si="4"/>
        <v>Очікую</v>
      </c>
      <c r="AB87" s="34"/>
      <c r="AC87" s="40"/>
    </row>
    <row r="88" spans="1:29" s="11" customFormat="1" ht="15" customHeight="1" x14ac:dyDescent="0.25">
      <c r="A88" s="41"/>
      <c r="B88" s="32"/>
      <c r="C88" s="45"/>
      <c r="D88" s="48">
        <v>79</v>
      </c>
      <c r="E88" s="46"/>
      <c r="F88" s="45"/>
      <c r="G88" s="45"/>
      <c r="H88" s="45"/>
      <c r="I88" s="45"/>
      <c r="J88" s="45"/>
      <c r="K88" s="45"/>
      <c r="L88" s="45"/>
      <c r="M88" s="45"/>
      <c r="N88" s="45"/>
      <c r="O88" s="45"/>
      <c r="P88" s="45"/>
      <c r="Q88" s="45"/>
      <c r="R88" s="45"/>
      <c r="S88" s="45"/>
      <c r="T88" s="45"/>
      <c r="U88" s="45"/>
      <c r="V88" s="45"/>
      <c r="W88" s="45"/>
      <c r="X88" s="45"/>
      <c r="Y88" s="45"/>
      <c r="Z88" s="52" t="str">
        <f t="shared" si="3"/>
        <v>Очікую</v>
      </c>
      <c r="AA88" s="52" t="str">
        <f t="shared" si="4"/>
        <v>Очікую</v>
      </c>
      <c r="AB88" s="34"/>
      <c r="AC88" s="40"/>
    </row>
    <row r="89" spans="1:29" s="11" customFormat="1" ht="15" customHeight="1" x14ac:dyDescent="0.25">
      <c r="A89" s="41"/>
      <c r="B89" s="32"/>
      <c r="C89" s="45"/>
      <c r="D89" s="48">
        <v>80</v>
      </c>
      <c r="E89" s="46"/>
      <c r="F89" s="45"/>
      <c r="G89" s="45"/>
      <c r="H89" s="45"/>
      <c r="I89" s="45"/>
      <c r="J89" s="45"/>
      <c r="K89" s="45"/>
      <c r="L89" s="45"/>
      <c r="M89" s="45"/>
      <c r="N89" s="45"/>
      <c r="O89" s="45"/>
      <c r="P89" s="45"/>
      <c r="Q89" s="45"/>
      <c r="R89" s="45"/>
      <c r="S89" s="45"/>
      <c r="T89" s="45"/>
      <c r="U89" s="45"/>
      <c r="V89" s="45"/>
      <c r="W89" s="45"/>
      <c r="X89" s="45"/>
      <c r="Y89" s="45"/>
      <c r="Z89" s="52" t="str">
        <f t="shared" si="3"/>
        <v>Очікую</v>
      </c>
      <c r="AA89" s="52" t="str">
        <f t="shared" si="4"/>
        <v>Очікую</v>
      </c>
      <c r="AB89" s="34"/>
      <c r="AC89" s="40"/>
    </row>
    <row r="90" spans="1:29" s="11" customFormat="1" ht="15" customHeight="1" x14ac:dyDescent="0.25">
      <c r="A90" s="41"/>
      <c r="B90" s="32"/>
      <c r="C90" s="45"/>
      <c r="D90" s="48">
        <v>81</v>
      </c>
      <c r="E90" s="46"/>
      <c r="F90" s="45"/>
      <c r="G90" s="45"/>
      <c r="H90" s="45"/>
      <c r="I90" s="45"/>
      <c r="J90" s="45"/>
      <c r="K90" s="45"/>
      <c r="L90" s="45"/>
      <c r="M90" s="45"/>
      <c r="N90" s="45"/>
      <c r="O90" s="45"/>
      <c r="P90" s="45"/>
      <c r="Q90" s="45"/>
      <c r="R90" s="45"/>
      <c r="S90" s="45"/>
      <c r="T90" s="45"/>
      <c r="U90" s="45"/>
      <c r="V90" s="45"/>
      <c r="W90" s="45"/>
      <c r="X90" s="45"/>
      <c r="Y90" s="45"/>
      <c r="Z90" s="52" t="str">
        <f t="shared" si="3"/>
        <v>Очікую</v>
      </c>
      <c r="AA90" s="52" t="str">
        <f t="shared" si="4"/>
        <v>Очікую</v>
      </c>
      <c r="AB90" s="34"/>
      <c r="AC90" s="40"/>
    </row>
    <row r="91" spans="1:29" s="11" customFormat="1" ht="15" customHeight="1" x14ac:dyDescent="0.25">
      <c r="A91" s="41"/>
      <c r="B91" s="32"/>
      <c r="C91" s="45"/>
      <c r="D91" s="48">
        <v>82</v>
      </c>
      <c r="E91" s="46"/>
      <c r="F91" s="45"/>
      <c r="G91" s="45"/>
      <c r="H91" s="45"/>
      <c r="I91" s="45"/>
      <c r="J91" s="45"/>
      <c r="K91" s="45"/>
      <c r="L91" s="45"/>
      <c r="M91" s="45"/>
      <c r="N91" s="45"/>
      <c r="O91" s="45"/>
      <c r="P91" s="45"/>
      <c r="Q91" s="45"/>
      <c r="R91" s="45"/>
      <c r="S91" s="45"/>
      <c r="T91" s="45"/>
      <c r="U91" s="45"/>
      <c r="V91" s="45"/>
      <c r="W91" s="45"/>
      <c r="X91" s="45"/>
      <c r="Y91" s="45"/>
      <c r="Z91" s="52" t="str">
        <f t="shared" si="3"/>
        <v>Очікую</v>
      </c>
      <c r="AA91" s="52" t="str">
        <f t="shared" si="4"/>
        <v>Очікую</v>
      </c>
      <c r="AB91" s="34"/>
      <c r="AC91" s="40"/>
    </row>
    <row r="92" spans="1:29" s="11" customFormat="1" ht="15" customHeight="1" x14ac:dyDescent="0.25">
      <c r="A92" s="41"/>
      <c r="B92" s="32"/>
      <c r="C92" s="45"/>
      <c r="D92" s="48">
        <v>83</v>
      </c>
      <c r="E92" s="46"/>
      <c r="F92" s="45"/>
      <c r="G92" s="45"/>
      <c r="H92" s="45"/>
      <c r="I92" s="45"/>
      <c r="J92" s="45"/>
      <c r="K92" s="45"/>
      <c r="L92" s="45"/>
      <c r="M92" s="45"/>
      <c r="N92" s="45"/>
      <c r="O92" s="45"/>
      <c r="P92" s="45"/>
      <c r="Q92" s="45"/>
      <c r="R92" s="45"/>
      <c r="S92" s="45"/>
      <c r="T92" s="45"/>
      <c r="U92" s="45"/>
      <c r="V92" s="45"/>
      <c r="W92" s="45"/>
      <c r="X92" s="45"/>
      <c r="Y92" s="45"/>
      <c r="Z92" s="52" t="str">
        <f t="shared" si="3"/>
        <v>Очікую</v>
      </c>
      <c r="AA92" s="52" t="str">
        <f t="shared" si="4"/>
        <v>Очікую</v>
      </c>
      <c r="AB92" s="34"/>
      <c r="AC92" s="40"/>
    </row>
    <row r="93" spans="1:29" s="11" customFormat="1" ht="15" customHeight="1" x14ac:dyDescent="0.25">
      <c r="A93" s="41"/>
      <c r="B93" s="32"/>
      <c r="C93" s="45"/>
      <c r="D93" s="48">
        <v>84</v>
      </c>
      <c r="E93" s="46"/>
      <c r="F93" s="45"/>
      <c r="G93" s="45"/>
      <c r="H93" s="45"/>
      <c r="I93" s="45"/>
      <c r="J93" s="45"/>
      <c r="K93" s="45"/>
      <c r="L93" s="45"/>
      <c r="M93" s="45"/>
      <c r="N93" s="45"/>
      <c r="O93" s="45"/>
      <c r="P93" s="45"/>
      <c r="Q93" s="45"/>
      <c r="R93" s="45"/>
      <c r="S93" s="45"/>
      <c r="T93" s="45"/>
      <c r="U93" s="45"/>
      <c r="V93" s="45"/>
      <c r="W93" s="45"/>
      <c r="X93" s="45"/>
      <c r="Y93" s="45"/>
      <c r="Z93" s="52" t="str">
        <f t="shared" si="3"/>
        <v>Очікую</v>
      </c>
      <c r="AA93" s="52" t="str">
        <f t="shared" si="4"/>
        <v>Очікую</v>
      </c>
      <c r="AB93" s="34"/>
      <c r="AC93" s="40"/>
    </row>
    <row r="94" spans="1:29" s="11" customFormat="1" ht="15" customHeight="1" x14ac:dyDescent="0.25">
      <c r="A94" s="41"/>
      <c r="B94" s="32"/>
      <c r="C94" s="45"/>
      <c r="D94" s="48">
        <v>85</v>
      </c>
      <c r="E94" s="46"/>
      <c r="F94" s="45"/>
      <c r="G94" s="45"/>
      <c r="H94" s="45"/>
      <c r="I94" s="45"/>
      <c r="J94" s="45"/>
      <c r="K94" s="45"/>
      <c r="L94" s="45"/>
      <c r="M94" s="45"/>
      <c r="N94" s="45"/>
      <c r="O94" s="45"/>
      <c r="P94" s="45"/>
      <c r="Q94" s="45"/>
      <c r="R94" s="45"/>
      <c r="S94" s="45"/>
      <c r="T94" s="45"/>
      <c r="U94" s="45"/>
      <c r="V94" s="45"/>
      <c r="W94" s="45"/>
      <c r="X94" s="45"/>
      <c r="Y94" s="45"/>
      <c r="Z94" s="52" t="str">
        <f t="shared" si="3"/>
        <v>Очікую</v>
      </c>
      <c r="AA94" s="52" t="str">
        <f t="shared" si="4"/>
        <v>Очікую</v>
      </c>
      <c r="AB94" s="34"/>
      <c r="AC94" s="40"/>
    </row>
    <row r="95" spans="1:29" s="11" customFormat="1" ht="15" customHeight="1" x14ac:dyDescent="0.25">
      <c r="A95" s="41"/>
      <c r="B95" s="32"/>
      <c r="C95" s="45"/>
      <c r="D95" s="48">
        <v>86</v>
      </c>
      <c r="E95" s="46"/>
      <c r="F95" s="45"/>
      <c r="G95" s="45"/>
      <c r="H95" s="45"/>
      <c r="I95" s="45"/>
      <c r="J95" s="45"/>
      <c r="K95" s="45"/>
      <c r="L95" s="45"/>
      <c r="M95" s="45"/>
      <c r="N95" s="45"/>
      <c r="O95" s="45"/>
      <c r="P95" s="45"/>
      <c r="Q95" s="45"/>
      <c r="R95" s="45"/>
      <c r="S95" s="45"/>
      <c r="T95" s="45"/>
      <c r="U95" s="45"/>
      <c r="V95" s="45"/>
      <c r="W95" s="45"/>
      <c r="X95" s="45"/>
      <c r="Y95" s="45"/>
      <c r="Z95" s="52" t="str">
        <f t="shared" si="3"/>
        <v>Очікую</v>
      </c>
      <c r="AA95" s="52" t="str">
        <f t="shared" si="4"/>
        <v>Очікую</v>
      </c>
      <c r="AB95" s="34"/>
      <c r="AC95" s="40"/>
    </row>
    <row r="96" spans="1:29" s="11" customFormat="1" ht="15" customHeight="1" x14ac:dyDescent="0.25">
      <c r="A96" s="41"/>
      <c r="B96" s="32"/>
      <c r="C96" s="45"/>
      <c r="D96" s="48">
        <v>87</v>
      </c>
      <c r="E96" s="46"/>
      <c r="F96" s="45"/>
      <c r="G96" s="45"/>
      <c r="H96" s="45"/>
      <c r="I96" s="45"/>
      <c r="J96" s="45"/>
      <c r="K96" s="45"/>
      <c r="L96" s="45"/>
      <c r="M96" s="45"/>
      <c r="N96" s="45"/>
      <c r="O96" s="45"/>
      <c r="P96" s="45"/>
      <c r="Q96" s="45"/>
      <c r="R96" s="45"/>
      <c r="S96" s="45"/>
      <c r="T96" s="45"/>
      <c r="U96" s="45"/>
      <c r="V96" s="45"/>
      <c r="W96" s="45"/>
      <c r="X96" s="45"/>
      <c r="Y96" s="45"/>
      <c r="Z96" s="52" t="str">
        <f t="shared" si="3"/>
        <v>Очікую</v>
      </c>
      <c r="AA96" s="52" t="str">
        <f t="shared" si="4"/>
        <v>Очікую</v>
      </c>
      <c r="AB96" s="34"/>
      <c r="AC96" s="40"/>
    </row>
    <row r="97" spans="1:29" s="11" customFormat="1" ht="15" customHeight="1" x14ac:dyDescent="0.25">
      <c r="A97" s="41"/>
      <c r="B97" s="32"/>
      <c r="C97" s="45"/>
      <c r="D97" s="48">
        <v>88</v>
      </c>
      <c r="E97" s="46"/>
      <c r="F97" s="45"/>
      <c r="G97" s="45"/>
      <c r="H97" s="45"/>
      <c r="I97" s="45"/>
      <c r="J97" s="45"/>
      <c r="K97" s="45"/>
      <c r="L97" s="45"/>
      <c r="M97" s="45"/>
      <c r="N97" s="45"/>
      <c r="O97" s="45"/>
      <c r="P97" s="45"/>
      <c r="Q97" s="45"/>
      <c r="R97" s="45"/>
      <c r="S97" s="45"/>
      <c r="T97" s="45"/>
      <c r="U97" s="45"/>
      <c r="V97" s="45"/>
      <c r="W97" s="45"/>
      <c r="X97" s="45"/>
      <c r="Y97" s="45"/>
      <c r="Z97" s="52" t="str">
        <f t="shared" si="3"/>
        <v>Очікую</v>
      </c>
      <c r="AA97" s="52" t="str">
        <f t="shared" si="4"/>
        <v>Очікую</v>
      </c>
      <c r="AB97" s="34"/>
      <c r="AC97" s="40"/>
    </row>
    <row r="98" spans="1:29" s="11" customFormat="1" ht="15" customHeight="1" x14ac:dyDescent="0.25">
      <c r="A98" s="41"/>
      <c r="B98" s="32"/>
      <c r="C98" s="45"/>
      <c r="D98" s="48">
        <v>89</v>
      </c>
      <c r="E98" s="46"/>
      <c r="F98" s="45"/>
      <c r="G98" s="45"/>
      <c r="H98" s="45"/>
      <c r="I98" s="45"/>
      <c r="J98" s="45"/>
      <c r="K98" s="45"/>
      <c r="L98" s="45"/>
      <c r="M98" s="45"/>
      <c r="N98" s="45"/>
      <c r="O98" s="45"/>
      <c r="P98" s="45"/>
      <c r="Q98" s="45"/>
      <c r="R98" s="45"/>
      <c r="S98" s="45"/>
      <c r="T98" s="45"/>
      <c r="U98" s="45"/>
      <c r="V98" s="45"/>
      <c r="W98" s="45"/>
      <c r="X98" s="45"/>
      <c r="Y98" s="45"/>
      <c r="Z98" s="52" t="str">
        <f t="shared" si="3"/>
        <v>Очікую</v>
      </c>
      <c r="AA98" s="52" t="str">
        <f t="shared" si="4"/>
        <v>Очікую</v>
      </c>
      <c r="AB98" s="34"/>
      <c r="AC98" s="40"/>
    </row>
    <row r="99" spans="1:29" s="11" customFormat="1" ht="15" customHeight="1" x14ac:dyDescent="0.25">
      <c r="A99" s="41"/>
      <c r="B99" s="32"/>
      <c r="C99" s="45"/>
      <c r="D99" s="48">
        <v>90</v>
      </c>
      <c r="E99" s="46"/>
      <c r="F99" s="45"/>
      <c r="G99" s="45"/>
      <c r="H99" s="45"/>
      <c r="I99" s="45"/>
      <c r="J99" s="45"/>
      <c r="K99" s="45"/>
      <c r="L99" s="45"/>
      <c r="M99" s="45"/>
      <c r="N99" s="45"/>
      <c r="O99" s="45"/>
      <c r="P99" s="45"/>
      <c r="Q99" s="45"/>
      <c r="R99" s="45"/>
      <c r="S99" s="45"/>
      <c r="T99" s="45"/>
      <c r="U99" s="45"/>
      <c r="V99" s="45"/>
      <c r="W99" s="45"/>
      <c r="X99" s="45"/>
      <c r="Y99" s="45"/>
      <c r="Z99" s="52" t="str">
        <f t="shared" si="3"/>
        <v>Очікую</v>
      </c>
      <c r="AA99" s="52" t="str">
        <f t="shared" si="4"/>
        <v>Очікую</v>
      </c>
      <c r="AB99" s="34"/>
      <c r="AC99" s="40"/>
    </row>
    <row r="100" spans="1:29" s="11" customFormat="1" ht="15" customHeight="1" x14ac:dyDescent="0.25">
      <c r="A100" s="41"/>
      <c r="B100" s="32"/>
      <c r="C100" s="45"/>
      <c r="D100" s="48">
        <v>91</v>
      </c>
      <c r="E100" s="46"/>
      <c r="F100" s="45"/>
      <c r="G100" s="45"/>
      <c r="H100" s="45"/>
      <c r="I100" s="45"/>
      <c r="J100" s="45"/>
      <c r="K100" s="45"/>
      <c r="L100" s="45"/>
      <c r="M100" s="45"/>
      <c r="N100" s="45"/>
      <c r="O100" s="45"/>
      <c r="P100" s="45"/>
      <c r="Q100" s="45"/>
      <c r="R100" s="45"/>
      <c r="S100" s="45"/>
      <c r="T100" s="45"/>
      <c r="U100" s="45"/>
      <c r="V100" s="45"/>
      <c r="W100" s="45"/>
      <c r="X100" s="45"/>
      <c r="Y100" s="45"/>
      <c r="Z100" s="52" t="str">
        <f t="shared" si="3"/>
        <v>Очікую</v>
      </c>
      <c r="AA100" s="52" t="str">
        <f t="shared" si="4"/>
        <v>Очікую</v>
      </c>
      <c r="AB100" s="34"/>
      <c r="AC100" s="40"/>
    </row>
    <row r="101" spans="1:29" s="11" customFormat="1" ht="15" customHeight="1" x14ac:dyDescent="0.25">
      <c r="A101" s="41"/>
      <c r="B101" s="32"/>
      <c r="C101" s="45"/>
      <c r="D101" s="48">
        <v>92</v>
      </c>
      <c r="E101" s="46"/>
      <c r="F101" s="45"/>
      <c r="G101" s="45"/>
      <c r="H101" s="45"/>
      <c r="I101" s="45"/>
      <c r="J101" s="45"/>
      <c r="K101" s="45"/>
      <c r="L101" s="45"/>
      <c r="M101" s="45"/>
      <c r="N101" s="45"/>
      <c r="O101" s="45"/>
      <c r="P101" s="45"/>
      <c r="Q101" s="45"/>
      <c r="R101" s="45"/>
      <c r="S101" s="45"/>
      <c r="T101" s="45"/>
      <c r="U101" s="45"/>
      <c r="V101" s="45"/>
      <c r="W101" s="45"/>
      <c r="X101" s="45"/>
      <c r="Y101" s="45"/>
      <c r="Z101" s="52" t="str">
        <f t="shared" si="3"/>
        <v>Очікую</v>
      </c>
      <c r="AA101" s="52" t="str">
        <f t="shared" si="4"/>
        <v>Очікую</v>
      </c>
      <c r="AB101" s="34"/>
      <c r="AC101" s="40"/>
    </row>
    <row r="102" spans="1:29" s="11" customFormat="1" ht="15" customHeight="1" x14ac:dyDescent="0.25">
      <c r="A102" s="41"/>
      <c r="B102" s="32"/>
      <c r="C102" s="45"/>
      <c r="D102" s="48">
        <v>93</v>
      </c>
      <c r="E102" s="46"/>
      <c r="F102" s="45"/>
      <c r="G102" s="45"/>
      <c r="H102" s="45"/>
      <c r="I102" s="45"/>
      <c r="J102" s="45"/>
      <c r="K102" s="45"/>
      <c r="L102" s="45"/>
      <c r="M102" s="45"/>
      <c r="N102" s="45"/>
      <c r="O102" s="45"/>
      <c r="P102" s="45"/>
      <c r="Q102" s="45"/>
      <c r="R102" s="45"/>
      <c r="S102" s="45"/>
      <c r="T102" s="45"/>
      <c r="U102" s="45"/>
      <c r="V102" s="45"/>
      <c r="W102" s="45"/>
      <c r="X102" s="45"/>
      <c r="Y102" s="45"/>
      <c r="Z102" s="52" t="str">
        <f t="shared" si="3"/>
        <v>Очікую</v>
      </c>
      <c r="AA102" s="52" t="str">
        <f t="shared" si="4"/>
        <v>Очікую</v>
      </c>
      <c r="AB102" s="34"/>
      <c r="AC102" s="40"/>
    </row>
    <row r="103" spans="1:29" s="11" customFormat="1" ht="15" customHeight="1" x14ac:dyDescent="0.25">
      <c r="A103" s="41"/>
      <c r="B103" s="32"/>
      <c r="C103" s="45"/>
      <c r="D103" s="48">
        <v>94</v>
      </c>
      <c r="E103" s="46"/>
      <c r="F103" s="45"/>
      <c r="G103" s="45"/>
      <c r="H103" s="45"/>
      <c r="I103" s="45"/>
      <c r="J103" s="45"/>
      <c r="K103" s="45"/>
      <c r="L103" s="45"/>
      <c r="M103" s="45"/>
      <c r="N103" s="45"/>
      <c r="O103" s="45"/>
      <c r="P103" s="45"/>
      <c r="Q103" s="45"/>
      <c r="R103" s="45"/>
      <c r="S103" s="45"/>
      <c r="T103" s="45"/>
      <c r="U103" s="45"/>
      <c r="V103" s="45"/>
      <c r="W103" s="45"/>
      <c r="X103" s="45"/>
      <c r="Y103" s="45"/>
      <c r="Z103" s="52" t="str">
        <f t="shared" si="3"/>
        <v>Очікую</v>
      </c>
      <c r="AA103" s="52" t="str">
        <f t="shared" si="4"/>
        <v>Очікую</v>
      </c>
      <c r="AB103" s="34"/>
      <c r="AC103" s="40"/>
    </row>
    <row r="104" spans="1:29" s="11" customFormat="1" ht="15" customHeight="1" x14ac:dyDescent="0.25">
      <c r="A104" s="41"/>
      <c r="B104" s="32"/>
      <c r="C104" s="45"/>
      <c r="D104" s="48">
        <v>95</v>
      </c>
      <c r="E104" s="46"/>
      <c r="F104" s="45"/>
      <c r="G104" s="45"/>
      <c r="H104" s="45"/>
      <c r="I104" s="45"/>
      <c r="J104" s="45"/>
      <c r="K104" s="45"/>
      <c r="L104" s="45"/>
      <c r="M104" s="45"/>
      <c r="N104" s="45"/>
      <c r="O104" s="45"/>
      <c r="P104" s="45"/>
      <c r="Q104" s="45"/>
      <c r="R104" s="45"/>
      <c r="S104" s="45"/>
      <c r="T104" s="45"/>
      <c r="U104" s="45"/>
      <c r="V104" s="45"/>
      <c r="W104" s="45"/>
      <c r="X104" s="45"/>
      <c r="Y104" s="45"/>
      <c r="Z104" s="52" t="str">
        <f t="shared" si="3"/>
        <v>Очікую</v>
      </c>
      <c r="AA104" s="52" t="str">
        <f t="shared" si="4"/>
        <v>Очікую</v>
      </c>
      <c r="AB104" s="34"/>
      <c r="AC104" s="40"/>
    </row>
    <row r="105" spans="1:29" s="11" customFormat="1" ht="15" customHeight="1" x14ac:dyDescent="0.25">
      <c r="A105" s="41"/>
      <c r="B105" s="32"/>
      <c r="C105" s="45"/>
      <c r="D105" s="48">
        <v>96</v>
      </c>
      <c r="E105" s="46"/>
      <c r="F105" s="45"/>
      <c r="G105" s="45"/>
      <c r="H105" s="45"/>
      <c r="I105" s="45"/>
      <c r="J105" s="45"/>
      <c r="K105" s="45"/>
      <c r="L105" s="45"/>
      <c r="M105" s="45"/>
      <c r="N105" s="45"/>
      <c r="O105" s="45"/>
      <c r="P105" s="45"/>
      <c r="Q105" s="45"/>
      <c r="R105" s="45"/>
      <c r="S105" s="45"/>
      <c r="T105" s="45"/>
      <c r="U105" s="45"/>
      <c r="V105" s="45"/>
      <c r="W105" s="45"/>
      <c r="X105" s="45"/>
      <c r="Y105" s="45"/>
      <c r="Z105" s="52" t="str">
        <f t="shared" si="3"/>
        <v>Очікую</v>
      </c>
      <c r="AA105" s="52" t="str">
        <f t="shared" si="4"/>
        <v>Очікую</v>
      </c>
      <c r="AB105" s="34"/>
      <c r="AC105" s="40"/>
    </row>
    <row r="106" spans="1:29" s="11" customFormat="1" ht="15" customHeight="1" x14ac:dyDescent="0.25">
      <c r="A106" s="41"/>
      <c r="B106" s="32"/>
      <c r="C106" s="45"/>
      <c r="D106" s="48">
        <v>97</v>
      </c>
      <c r="E106" s="46"/>
      <c r="F106" s="45"/>
      <c r="G106" s="45"/>
      <c r="H106" s="45"/>
      <c r="I106" s="45"/>
      <c r="J106" s="45"/>
      <c r="K106" s="45"/>
      <c r="L106" s="45"/>
      <c r="M106" s="45"/>
      <c r="N106" s="45"/>
      <c r="O106" s="45"/>
      <c r="P106" s="45"/>
      <c r="Q106" s="45"/>
      <c r="R106" s="45"/>
      <c r="S106" s="45"/>
      <c r="T106" s="45"/>
      <c r="U106" s="45"/>
      <c r="V106" s="45"/>
      <c r="W106" s="45"/>
      <c r="X106" s="45"/>
      <c r="Y106" s="45"/>
      <c r="Z106" s="52" t="str">
        <f t="shared" si="3"/>
        <v>Очікую</v>
      </c>
      <c r="AA106" s="52" t="str">
        <f t="shared" si="4"/>
        <v>Очікую</v>
      </c>
      <c r="AB106" s="34"/>
      <c r="AC106" s="40"/>
    </row>
    <row r="107" spans="1:29" s="11" customFormat="1" ht="15" customHeight="1" x14ac:dyDescent="0.25">
      <c r="A107" s="41"/>
      <c r="B107" s="32"/>
      <c r="C107" s="45"/>
      <c r="D107" s="48">
        <v>98</v>
      </c>
      <c r="E107" s="46"/>
      <c r="F107" s="45"/>
      <c r="G107" s="45"/>
      <c r="H107" s="45"/>
      <c r="I107" s="45"/>
      <c r="J107" s="45"/>
      <c r="K107" s="45"/>
      <c r="L107" s="45"/>
      <c r="M107" s="45"/>
      <c r="N107" s="45"/>
      <c r="O107" s="45"/>
      <c r="P107" s="45"/>
      <c r="Q107" s="45"/>
      <c r="R107" s="45"/>
      <c r="S107" s="45"/>
      <c r="T107" s="45"/>
      <c r="U107" s="45"/>
      <c r="V107" s="45"/>
      <c r="W107" s="45"/>
      <c r="X107" s="45"/>
      <c r="Y107" s="45"/>
      <c r="Z107" s="52" t="str">
        <f t="shared" si="3"/>
        <v>Очікую</v>
      </c>
      <c r="AA107" s="52" t="str">
        <f t="shared" si="4"/>
        <v>Очікую</v>
      </c>
      <c r="AB107" s="34"/>
      <c r="AC107" s="40"/>
    </row>
    <row r="108" spans="1:29" s="11" customFormat="1" ht="15" customHeight="1" x14ac:dyDescent="0.25">
      <c r="A108" s="41"/>
      <c r="B108" s="32"/>
      <c r="C108" s="45"/>
      <c r="D108" s="48">
        <v>99</v>
      </c>
      <c r="E108" s="46"/>
      <c r="F108" s="45"/>
      <c r="G108" s="45"/>
      <c r="H108" s="45"/>
      <c r="I108" s="45"/>
      <c r="J108" s="45"/>
      <c r="K108" s="45"/>
      <c r="L108" s="45"/>
      <c r="M108" s="45"/>
      <c r="N108" s="45"/>
      <c r="O108" s="45"/>
      <c r="P108" s="45"/>
      <c r="Q108" s="45"/>
      <c r="R108" s="45"/>
      <c r="S108" s="45"/>
      <c r="T108" s="45"/>
      <c r="U108" s="45"/>
      <c r="V108" s="45"/>
      <c r="W108" s="45"/>
      <c r="X108" s="45"/>
      <c r="Y108" s="45"/>
      <c r="Z108" s="52" t="str">
        <f t="shared" si="3"/>
        <v>Очікую</v>
      </c>
      <c r="AA108" s="52" t="str">
        <f t="shared" si="4"/>
        <v>Очікую</v>
      </c>
      <c r="AB108" s="34"/>
      <c r="AC108" s="40"/>
    </row>
    <row r="109" spans="1:29" s="11" customFormat="1" ht="15" customHeight="1" x14ac:dyDescent="0.25">
      <c r="A109" s="41"/>
      <c r="B109" s="32"/>
      <c r="C109" s="45"/>
      <c r="D109" s="48">
        <v>100</v>
      </c>
      <c r="E109" s="46"/>
      <c r="F109" s="45"/>
      <c r="G109" s="45"/>
      <c r="H109" s="45"/>
      <c r="I109" s="45"/>
      <c r="J109" s="45"/>
      <c r="K109" s="45"/>
      <c r="L109" s="45"/>
      <c r="M109" s="45"/>
      <c r="N109" s="45"/>
      <c r="O109" s="45"/>
      <c r="P109" s="45"/>
      <c r="Q109" s="45"/>
      <c r="R109" s="45"/>
      <c r="S109" s="45"/>
      <c r="T109" s="45"/>
      <c r="U109" s="45"/>
      <c r="V109" s="45"/>
      <c r="W109" s="45"/>
      <c r="X109" s="45"/>
      <c r="Y109" s="45"/>
      <c r="Z109" s="52" t="str">
        <f t="shared" si="3"/>
        <v>Очікую</v>
      </c>
      <c r="AA109" s="52" t="str">
        <f t="shared" si="4"/>
        <v>Очікую</v>
      </c>
      <c r="AB109" s="34"/>
      <c r="AC109" s="40"/>
    </row>
    <row r="110" spans="1:29" ht="15" customHeight="1" x14ac:dyDescent="0.25">
      <c r="A110" s="41"/>
      <c r="B110" s="32"/>
      <c r="C110" s="25"/>
      <c r="D110" s="25"/>
      <c r="E110" s="26" t="s">
        <v>9</v>
      </c>
      <c r="F110" s="5" t="str">
        <f>ЛЗ2!F115</f>
        <v>Очікую</v>
      </c>
      <c r="G110" s="6"/>
      <c r="H110" s="6"/>
      <c r="I110" s="6"/>
      <c r="J110" s="6"/>
      <c r="K110" s="6"/>
      <c r="L110" s="25"/>
      <c r="M110" s="27"/>
      <c r="N110" s="25"/>
      <c r="O110" s="25"/>
      <c r="P110" s="25"/>
      <c r="Q110" s="25"/>
      <c r="R110" s="25"/>
      <c r="S110" s="25"/>
      <c r="T110" s="25"/>
      <c r="U110" s="28"/>
      <c r="V110" s="27"/>
      <c r="W110" s="25"/>
      <c r="X110" s="25"/>
      <c r="Y110" s="25"/>
      <c r="Z110" s="25"/>
      <c r="AA110" s="25"/>
      <c r="AB110" s="33"/>
      <c r="AC110" s="40"/>
    </row>
    <row r="111" spans="1:29" ht="15" customHeight="1" x14ac:dyDescent="0.25">
      <c r="A111" s="41"/>
      <c r="B111" s="32"/>
      <c r="C111" s="25"/>
      <c r="D111" s="25"/>
      <c r="E111" s="26" t="s">
        <v>10</v>
      </c>
      <c r="F111" s="5" t="str">
        <f>ЛЗ2!F116</f>
        <v>Очікую</v>
      </c>
      <c r="G111" s="6"/>
      <c r="H111" s="63" t="s">
        <v>11</v>
      </c>
      <c r="I111" s="6"/>
      <c r="J111" s="6"/>
      <c r="K111" s="6"/>
      <c r="L111" s="25"/>
      <c r="M111" s="27"/>
      <c r="N111" s="63"/>
      <c r="O111" s="63"/>
      <c r="P111" s="63"/>
      <c r="Q111" s="63"/>
      <c r="R111" s="6"/>
      <c r="S111" s="6"/>
      <c r="T111" s="6"/>
      <c r="U111" s="64"/>
      <c r="V111" s="64"/>
      <c r="W111" s="64"/>
      <c r="X111" s="64"/>
      <c r="Y111" s="64"/>
      <c r="Z111" s="64"/>
      <c r="AA111" s="25"/>
      <c r="AB111" s="33"/>
      <c r="AC111" s="40"/>
    </row>
    <row r="112" spans="1:29" ht="15" customHeight="1" x14ac:dyDescent="0.25">
      <c r="A112" s="41"/>
      <c r="B112" s="32"/>
      <c r="C112" s="25"/>
      <c r="D112" s="25"/>
      <c r="E112" s="26" t="s">
        <v>12</v>
      </c>
      <c r="F112" s="5">
        <f>ЛЗ2!F117</f>
        <v>0</v>
      </c>
      <c r="G112" s="6"/>
      <c r="H112" s="10"/>
      <c r="I112" s="6"/>
      <c r="J112" s="6"/>
      <c r="K112" s="6"/>
      <c r="L112" s="25"/>
      <c r="M112" s="27"/>
      <c r="N112" s="6"/>
      <c r="O112" s="6"/>
      <c r="P112" s="6"/>
      <c r="Q112" s="6"/>
      <c r="R112" s="6"/>
      <c r="S112" s="6"/>
      <c r="T112" s="6"/>
      <c r="U112" s="10"/>
      <c r="V112" s="10"/>
      <c r="W112" s="6"/>
      <c r="X112" s="6"/>
      <c r="Y112" s="6"/>
      <c r="Z112" s="6"/>
      <c r="AA112" s="25"/>
      <c r="AB112" s="33"/>
      <c r="AC112" s="40"/>
    </row>
    <row r="113" spans="1:29" ht="15" customHeight="1" x14ac:dyDescent="0.25">
      <c r="A113" s="41"/>
      <c r="B113" s="32"/>
      <c r="C113" s="25"/>
      <c r="D113" s="25"/>
      <c r="E113" s="26" t="s">
        <v>13</v>
      </c>
      <c r="F113" s="5" t="str">
        <f>ЛЗ2!F118</f>
        <v>Очікую</v>
      </c>
      <c r="G113" s="6"/>
      <c r="H113" s="64" t="s">
        <v>14</v>
      </c>
      <c r="I113" s="6"/>
      <c r="J113" s="6"/>
      <c r="K113" s="6"/>
      <c r="L113" s="25"/>
      <c r="M113" s="27"/>
      <c r="N113" s="64"/>
      <c r="O113" s="64"/>
      <c r="P113" s="64"/>
      <c r="Q113" s="64"/>
      <c r="R113" s="6"/>
      <c r="S113" s="6"/>
      <c r="T113" s="6"/>
      <c r="U113" s="64"/>
      <c r="V113" s="64"/>
      <c r="W113" s="64"/>
      <c r="X113" s="64"/>
      <c r="Y113" s="64"/>
      <c r="Z113" s="64"/>
      <c r="AA113" s="25"/>
      <c r="AB113" s="33"/>
      <c r="AC113" s="40"/>
    </row>
    <row r="114" spans="1:29" ht="12" customHeight="1" thickBot="1" x14ac:dyDescent="0.3">
      <c r="A114" s="41"/>
      <c r="B114" s="35"/>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c r="AA114" s="36"/>
      <c r="AB114" s="37"/>
      <c r="AC114" s="40"/>
    </row>
    <row r="115" spans="1:29" ht="12" customHeight="1" x14ac:dyDescent="0.25">
      <c r="A115" s="39"/>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40"/>
    </row>
    <row r="116" spans="1:29" ht="0" hidden="1" customHeight="1" x14ac:dyDescent="0.25">
      <c r="A116" s="42"/>
      <c r="AC116" s="42"/>
    </row>
    <row r="117" spans="1:29" ht="0" hidden="1" customHeight="1" x14ac:dyDescent="0.25">
      <c r="A117" s="42"/>
      <c r="AC117" s="42"/>
    </row>
    <row r="118" spans="1:29" ht="0" hidden="1" customHeight="1" x14ac:dyDescent="0.25">
      <c r="A118" s="42"/>
      <c r="AC118" s="42"/>
    </row>
    <row r="119" spans="1:29" ht="0" hidden="1" customHeight="1" x14ac:dyDescent="0.25">
      <c r="A119" s="42"/>
      <c r="AC119" s="42"/>
    </row>
    <row r="120" spans="1:29" ht="0" hidden="1" customHeight="1" x14ac:dyDescent="0.25">
      <c r="A120" s="42"/>
      <c r="B120" s="42"/>
      <c r="C120" s="42"/>
      <c r="D120" s="42"/>
      <c r="E120" s="42"/>
      <c r="F120" s="42"/>
      <c r="G120" s="42"/>
      <c r="H120" s="42"/>
      <c r="I120" s="42"/>
      <c r="J120" s="42"/>
      <c r="K120" s="42"/>
      <c r="L120" s="42"/>
      <c r="M120" s="42"/>
      <c r="N120" s="42"/>
      <c r="O120" s="42"/>
      <c r="P120" s="42"/>
      <c r="Q120" s="42"/>
      <c r="R120" s="42"/>
      <c r="S120" s="42"/>
      <c r="T120" s="42"/>
      <c r="U120" s="42"/>
      <c r="V120" s="42"/>
      <c r="W120" s="42"/>
      <c r="X120" s="42"/>
      <c r="Y120" s="42"/>
      <c r="Z120" s="42"/>
      <c r="AA120" s="42"/>
      <c r="AB120" s="42"/>
      <c r="AC120" s="42"/>
    </row>
  </sheetData>
  <sheetProtection insertRows="0" deleteRows="0"/>
  <mergeCells count="11">
    <mergeCell ref="C8:C9"/>
    <mergeCell ref="D8:D9"/>
    <mergeCell ref="E8:E9"/>
    <mergeCell ref="F8:Y8"/>
    <mergeCell ref="AA8:AA9"/>
    <mergeCell ref="Z8:Z9"/>
    <mergeCell ref="C3:AA3"/>
    <mergeCell ref="C4:AA4"/>
    <mergeCell ref="C5:AA5"/>
    <mergeCell ref="C6:AA6"/>
    <mergeCell ref="C7:AA7"/>
  </mergeCells>
  <printOptions horizontalCentered="1"/>
  <pageMargins left="0.19685039370078741" right="0.19685039370078741" top="0.19685039370078741" bottom="0.19685039370078741" header="0" footer="0"/>
  <pageSetup paperSize="9" scale="32"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E26B0A"/>
    <pageSetUpPr fitToPage="1"/>
  </sheetPr>
  <dimension ref="A1:BO120"/>
  <sheetViews>
    <sheetView zoomScaleNormal="100" workbookViewId="0"/>
  </sheetViews>
  <sheetFormatPr defaultColWidth="0" defaultRowHeight="0" customHeight="1" zeroHeight="1" x14ac:dyDescent="0.25"/>
  <cols>
    <col min="1" max="2" width="2.7109375" style="1" customWidth="1"/>
    <col min="3" max="3" width="4.140625" style="1" customWidth="1"/>
    <col min="4" max="4" width="6.5703125" style="1" customWidth="1"/>
    <col min="5" max="5" width="40.42578125" style="1" customWidth="1"/>
    <col min="6" max="25" width="6.7109375" style="1" customWidth="1"/>
    <col min="26" max="27" width="11.28515625" style="1" customWidth="1"/>
    <col min="28" max="29" width="2.7109375" style="1" customWidth="1"/>
    <col min="30" max="35" width="14.42578125" style="1" hidden="1" customWidth="1"/>
    <col min="36" max="36" width="14.85546875" style="1" hidden="1" customWidth="1"/>
    <col min="37" max="50" width="3.7109375" style="1" hidden="1" customWidth="1"/>
    <col min="51" max="67" width="5.7109375" style="1" hidden="1" customWidth="1"/>
    <col min="68" max="16384" width="14.42578125" style="1" hidden="1"/>
  </cols>
  <sheetData>
    <row r="1" spans="1:29" ht="12" customHeight="1" thickBot="1" x14ac:dyDescent="0.3">
      <c r="A1" s="38" t="s">
        <v>18</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row>
    <row r="2" spans="1:29" ht="12" customHeight="1" x14ac:dyDescent="0.25">
      <c r="A2" s="41"/>
      <c r="B2" s="29"/>
      <c r="C2" s="30"/>
      <c r="D2" s="30"/>
      <c r="E2" s="30"/>
      <c r="F2" s="30"/>
      <c r="G2" s="30"/>
      <c r="H2" s="30"/>
      <c r="I2" s="30"/>
      <c r="J2" s="30"/>
      <c r="K2" s="30"/>
      <c r="L2" s="30"/>
      <c r="M2" s="30"/>
      <c r="N2" s="30"/>
      <c r="O2" s="30"/>
      <c r="P2" s="30"/>
      <c r="Q2" s="30"/>
      <c r="R2" s="30"/>
      <c r="S2" s="30"/>
      <c r="T2" s="30"/>
      <c r="U2" s="30"/>
      <c r="V2" s="30"/>
      <c r="W2" s="30"/>
      <c r="X2" s="30"/>
      <c r="Y2" s="30"/>
      <c r="Z2" s="30"/>
      <c r="AA2" s="30"/>
      <c r="AB2" s="31"/>
      <c r="AC2" s="40"/>
    </row>
    <row r="3" spans="1:29" s="2" customFormat="1" ht="54.95" customHeight="1" x14ac:dyDescent="0.3">
      <c r="A3" s="41"/>
      <c r="B3" s="32"/>
      <c r="C3" s="85" t="s">
        <v>19</v>
      </c>
      <c r="D3" s="85"/>
      <c r="E3" s="85"/>
      <c r="F3" s="85"/>
      <c r="G3" s="85"/>
      <c r="H3" s="85"/>
      <c r="I3" s="85"/>
      <c r="J3" s="85"/>
      <c r="K3" s="85"/>
      <c r="L3" s="85"/>
      <c r="M3" s="85"/>
      <c r="N3" s="85"/>
      <c r="O3" s="85"/>
      <c r="P3" s="85"/>
      <c r="Q3" s="85"/>
      <c r="R3" s="85"/>
      <c r="S3" s="85"/>
      <c r="T3" s="85"/>
      <c r="U3" s="85"/>
      <c r="V3" s="85"/>
      <c r="W3" s="85"/>
      <c r="X3" s="85"/>
      <c r="Y3" s="85"/>
      <c r="Z3" s="85"/>
      <c r="AA3" s="85"/>
      <c r="AB3" s="33"/>
      <c r="AC3" s="40"/>
    </row>
    <row r="4" spans="1:29" s="3" customFormat="1" ht="15" customHeight="1" x14ac:dyDescent="0.25">
      <c r="A4" s="41"/>
      <c r="B4" s="32"/>
      <c r="C4" s="84" t="s">
        <v>23</v>
      </c>
      <c r="D4" s="84"/>
      <c r="E4" s="84"/>
      <c r="F4" s="84"/>
      <c r="G4" s="84"/>
      <c r="H4" s="84"/>
      <c r="I4" s="84"/>
      <c r="J4" s="84"/>
      <c r="K4" s="84"/>
      <c r="L4" s="84"/>
      <c r="M4" s="84"/>
      <c r="N4" s="84"/>
      <c r="O4" s="84"/>
      <c r="P4" s="84"/>
      <c r="Q4" s="84"/>
      <c r="R4" s="84"/>
      <c r="S4" s="84"/>
      <c r="T4" s="84"/>
      <c r="U4" s="84"/>
      <c r="V4" s="84"/>
      <c r="W4" s="84"/>
      <c r="X4" s="84"/>
      <c r="Y4" s="84"/>
      <c r="Z4" s="84"/>
      <c r="AA4" s="84"/>
      <c r="AB4" s="33"/>
      <c r="AC4" s="40"/>
    </row>
    <row r="5" spans="1:29" s="2" customFormat="1" ht="15" customHeight="1" x14ac:dyDescent="0.25">
      <c r="A5" s="41"/>
      <c r="B5" s="32"/>
      <c r="C5" s="86" t="str">
        <f>ЛЗ3!C5</f>
        <v>Успішності студентів спеціальності XXX «XXXXX»</v>
      </c>
      <c r="D5" s="86"/>
      <c r="E5" s="86"/>
      <c r="F5" s="86"/>
      <c r="G5" s="86"/>
      <c r="H5" s="86"/>
      <c r="I5" s="86"/>
      <c r="J5" s="86"/>
      <c r="K5" s="86"/>
      <c r="L5" s="86"/>
      <c r="M5" s="86"/>
      <c r="N5" s="86"/>
      <c r="O5" s="86"/>
      <c r="P5" s="86"/>
      <c r="Q5" s="86"/>
      <c r="R5" s="86"/>
      <c r="S5" s="86"/>
      <c r="T5" s="86"/>
      <c r="U5" s="86"/>
      <c r="V5" s="86"/>
      <c r="W5" s="86"/>
      <c r="X5" s="86"/>
      <c r="Y5" s="86"/>
      <c r="Z5" s="86"/>
      <c r="AA5" s="86"/>
      <c r="AB5" s="33"/>
      <c r="AC5" s="40"/>
    </row>
    <row r="6" spans="1:29" s="2" customFormat="1" ht="15" customHeight="1" x14ac:dyDescent="0.25">
      <c r="A6" s="41"/>
      <c r="B6" s="32"/>
      <c r="C6" s="86" t="str">
        <f>ЛЗ3!C6</f>
        <v>За X семестр XXXX-XXXX н.р.</v>
      </c>
      <c r="D6" s="86"/>
      <c r="E6" s="86"/>
      <c r="F6" s="86"/>
      <c r="G6" s="86"/>
      <c r="H6" s="86"/>
      <c r="I6" s="86"/>
      <c r="J6" s="86"/>
      <c r="K6" s="86"/>
      <c r="L6" s="86"/>
      <c r="M6" s="86"/>
      <c r="N6" s="86"/>
      <c r="O6" s="86"/>
      <c r="P6" s="86"/>
      <c r="Q6" s="86"/>
      <c r="R6" s="86"/>
      <c r="S6" s="86"/>
      <c r="T6" s="86"/>
      <c r="U6" s="86"/>
      <c r="V6" s="86"/>
      <c r="W6" s="86"/>
      <c r="X6" s="86"/>
      <c r="Y6" s="86"/>
      <c r="Z6" s="86"/>
      <c r="AA6" s="86"/>
      <c r="AB6" s="33"/>
      <c r="AC6" s="40"/>
    </row>
    <row r="7" spans="1:29" s="2" customFormat="1" ht="15" customHeight="1" x14ac:dyDescent="0.25">
      <c r="A7" s="41"/>
      <c r="B7" s="32"/>
      <c r="C7" s="87" t="str">
        <f>ЛЗ3!C7</f>
        <v>Група XXXX курс X</v>
      </c>
      <c r="D7" s="87"/>
      <c r="E7" s="87"/>
      <c r="F7" s="87"/>
      <c r="G7" s="87"/>
      <c r="H7" s="87"/>
      <c r="I7" s="87"/>
      <c r="J7" s="87"/>
      <c r="K7" s="87"/>
      <c r="L7" s="87"/>
      <c r="M7" s="87"/>
      <c r="N7" s="87"/>
      <c r="O7" s="87"/>
      <c r="P7" s="87"/>
      <c r="Q7" s="87"/>
      <c r="R7" s="87"/>
      <c r="S7" s="87"/>
      <c r="T7" s="87"/>
      <c r="U7" s="87"/>
      <c r="V7" s="87"/>
      <c r="W7" s="87"/>
      <c r="X7" s="87"/>
      <c r="Y7" s="87"/>
      <c r="Z7" s="87"/>
      <c r="AA7" s="87"/>
      <c r="AB7" s="33"/>
      <c r="AC7" s="40"/>
    </row>
    <row r="8" spans="1:29" ht="15" customHeight="1" x14ac:dyDescent="0.25">
      <c r="A8" s="41"/>
      <c r="B8" s="32"/>
      <c r="C8" s="88" t="s">
        <v>0</v>
      </c>
      <c r="D8" s="90" t="s">
        <v>1</v>
      </c>
      <c r="E8" s="90" t="s">
        <v>2</v>
      </c>
      <c r="F8" s="91" t="s">
        <v>17</v>
      </c>
      <c r="G8" s="92"/>
      <c r="H8" s="92"/>
      <c r="I8" s="92"/>
      <c r="J8" s="92"/>
      <c r="K8" s="92"/>
      <c r="L8" s="92"/>
      <c r="M8" s="92"/>
      <c r="N8" s="92"/>
      <c r="O8" s="92"/>
      <c r="P8" s="92"/>
      <c r="Q8" s="92"/>
      <c r="R8" s="92"/>
      <c r="S8" s="92"/>
      <c r="T8" s="92"/>
      <c r="U8" s="92"/>
      <c r="V8" s="92"/>
      <c r="W8" s="92"/>
      <c r="X8" s="92"/>
      <c r="Y8" s="93"/>
      <c r="Z8" s="94" t="s">
        <v>3</v>
      </c>
      <c r="AA8" s="94" t="s">
        <v>24</v>
      </c>
      <c r="AB8" s="33"/>
      <c r="AC8" s="40"/>
    </row>
    <row r="9" spans="1:29" ht="125.1" customHeight="1" x14ac:dyDescent="0.25">
      <c r="A9" s="41"/>
      <c r="B9" s="32"/>
      <c r="C9" s="89"/>
      <c r="D9" s="89"/>
      <c r="E9" s="89"/>
      <c r="F9" s="24">
        <v>1</v>
      </c>
      <c r="G9" s="24">
        <v>2</v>
      </c>
      <c r="H9" s="24">
        <v>3</v>
      </c>
      <c r="I9" s="24">
        <v>4</v>
      </c>
      <c r="J9" s="24">
        <v>5</v>
      </c>
      <c r="K9" s="24">
        <v>6</v>
      </c>
      <c r="L9" s="24">
        <v>7</v>
      </c>
      <c r="M9" s="24">
        <v>8</v>
      </c>
      <c r="N9" s="24">
        <v>9</v>
      </c>
      <c r="O9" s="24">
        <v>10</v>
      </c>
      <c r="P9" s="24">
        <v>11</v>
      </c>
      <c r="Q9" s="24">
        <v>12</v>
      </c>
      <c r="R9" s="24">
        <v>13</v>
      </c>
      <c r="S9" s="24">
        <v>14</v>
      </c>
      <c r="T9" s="24">
        <v>15</v>
      </c>
      <c r="U9" s="24">
        <v>16</v>
      </c>
      <c r="V9" s="24">
        <v>17</v>
      </c>
      <c r="W9" s="24">
        <v>18</v>
      </c>
      <c r="X9" s="24">
        <v>19</v>
      </c>
      <c r="Y9" s="24">
        <v>20</v>
      </c>
      <c r="Z9" s="95"/>
      <c r="AA9" s="95"/>
      <c r="AB9" s="33"/>
      <c r="AC9" s="40"/>
    </row>
    <row r="10" spans="1:29" s="11" customFormat="1" ht="15" customHeight="1" x14ac:dyDescent="0.25">
      <c r="A10" s="41"/>
      <c r="B10" s="32"/>
      <c r="C10" s="45"/>
      <c r="D10" s="45">
        <v>1</v>
      </c>
      <c r="E10" s="46"/>
      <c r="F10" s="45"/>
      <c r="G10" s="45"/>
      <c r="H10" s="45"/>
      <c r="I10" s="45"/>
      <c r="J10" s="45"/>
      <c r="K10" s="45"/>
      <c r="L10" s="45"/>
      <c r="M10" s="45"/>
      <c r="N10" s="45"/>
      <c r="O10" s="45"/>
      <c r="P10" s="45"/>
      <c r="Q10" s="45"/>
      <c r="R10" s="45"/>
      <c r="S10" s="45"/>
      <c r="T10" s="45"/>
      <c r="U10" s="45"/>
      <c r="V10" s="45"/>
      <c r="W10" s="45"/>
      <c r="X10" s="45"/>
      <c r="Y10" s="45"/>
      <c r="Z10" s="47" t="str">
        <f>IF(COUNTIF(F10:Y10,"=*")&gt;0,IF($C10="К","-"," - "),IF(COUNTIF(F10:Y10,"&lt;4")&gt;0,IF(C10="К","-"," - "),(IFERROR(AVERAGE(F10:Y10),"Очікую"))))</f>
        <v>Очікую</v>
      </c>
      <c r="AA10" s="47" t="str">
        <f>IFERROR(Z10/12*90,"Очікую")</f>
        <v>Очікую</v>
      </c>
      <c r="AB10" s="34"/>
      <c r="AC10" s="40"/>
    </row>
    <row r="11" spans="1:29" s="11" customFormat="1" ht="15" customHeight="1" x14ac:dyDescent="0.25">
      <c r="A11" s="41"/>
      <c r="B11" s="32"/>
      <c r="C11" s="45"/>
      <c r="D11" s="45">
        <v>2</v>
      </c>
      <c r="E11" s="46"/>
      <c r="F11" s="45"/>
      <c r="G11" s="45"/>
      <c r="H11" s="45"/>
      <c r="I11" s="45"/>
      <c r="J11" s="45"/>
      <c r="K11" s="45"/>
      <c r="L11" s="45"/>
      <c r="M11" s="45"/>
      <c r="N11" s="45"/>
      <c r="O11" s="45"/>
      <c r="P11" s="45"/>
      <c r="Q11" s="45"/>
      <c r="R11" s="45"/>
      <c r="S11" s="45"/>
      <c r="T11" s="45"/>
      <c r="U11" s="45"/>
      <c r="V11" s="45"/>
      <c r="W11" s="45"/>
      <c r="X11" s="45"/>
      <c r="Y11" s="45"/>
      <c r="Z11" s="47" t="str">
        <f t="shared" ref="Z11:Z74" si="0">IF(COUNTIF(F11:Y11,"=*")&gt;0,IF($C11="К","-"," - "),IF(COUNTIF(F11:Y11,"&lt;4")&gt;0,IF(C11="К","-"," - "),(IFERROR(AVERAGE(F11:Y11),"Очікую"))))</f>
        <v>Очікую</v>
      </c>
      <c r="AA11" s="47" t="str">
        <f t="shared" ref="AA11:AA74" si="1">IFERROR(Z11/12*90,"Очікую")</f>
        <v>Очікую</v>
      </c>
      <c r="AB11" s="34"/>
      <c r="AC11" s="40"/>
    </row>
    <row r="12" spans="1:29" s="11" customFormat="1" ht="15" customHeight="1" x14ac:dyDescent="0.25">
      <c r="A12" s="41"/>
      <c r="B12" s="32"/>
      <c r="C12" s="45"/>
      <c r="D12" s="45">
        <v>3</v>
      </c>
      <c r="E12" s="46"/>
      <c r="F12" s="45"/>
      <c r="G12" s="45"/>
      <c r="H12" s="45"/>
      <c r="I12" s="45"/>
      <c r="J12" s="45"/>
      <c r="K12" s="45"/>
      <c r="L12" s="45"/>
      <c r="M12" s="45"/>
      <c r="N12" s="45"/>
      <c r="O12" s="45"/>
      <c r="P12" s="45"/>
      <c r="Q12" s="45"/>
      <c r="R12" s="45"/>
      <c r="S12" s="45"/>
      <c r="T12" s="45"/>
      <c r="U12" s="45"/>
      <c r="V12" s="45"/>
      <c r="W12" s="45"/>
      <c r="X12" s="45"/>
      <c r="Y12" s="45"/>
      <c r="Z12" s="47" t="str">
        <f t="shared" si="0"/>
        <v>Очікую</v>
      </c>
      <c r="AA12" s="47" t="str">
        <f t="shared" si="1"/>
        <v>Очікую</v>
      </c>
      <c r="AB12" s="34"/>
      <c r="AC12" s="40"/>
    </row>
    <row r="13" spans="1:29" s="11" customFormat="1" ht="15" customHeight="1" x14ac:dyDescent="0.25">
      <c r="A13" s="41"/>
      <c r="B13" s="32"/>
      <c r="C13" s="45"/>
      <c r="D13" s="45">
        <v>4</v>
      </c>
      <c r="E13" s="46"/>
      <c r="F13" s="45"/>
      <c r="G13" s="45"/>
      <c r="H13" s="45"/>
      <c r="I13" s="45"/>
      <c r="J13" s="45"/>
      <c r="K13" s="45"/>
      <c r="L13" s="45"/>
      <c r="M13" s="45"/>
      <c r="N13" s="45"/>
      <c r="O13" s="45"/>
      <c r="P13" s="45"/>
      <c r="Q13" s="45"/>
      <c r="R13" s="45"/>
      <c r="S13" s="45"/>
      <c r="T13" s="45"/>
      <c r="U13" s="45"/>
      <c r="V13" s="45"/>
      <c r="W13" s="45"/>
      <c r="X13" s="45"/>
      <c r="Y13" s="45"/>
      <c r="Z13" s="47" t="str">
        <f t="shared" si="0"/>
        <v>Очікую</v>
      </c>
      <c r="AA13" s="47" t="str">
        <f t="shared" si="1"/>
        <v>Очікую</v>
      </c>
      <c r="AB13" s="34"/>
      <c r="AC13" s="40"/>
    </row>
    <row r="14" spans="1:29" s="11" customFormat="1" ht="15" customHeight="1" x14ac:dyDescent="0.25">
      <c r="A14" s="41"/>
      <c r="B14" s="32"/>
      <c r="C14" s="45"/>
      <c r="D14" s="45">
        <v>5</v>
      </c>
      <c r="E14" s="46"/>
      <c r="F14" s="45"/>
      <c r="G14" s="45"/>
      <c r="H14" s="45"/>
      <c r="I14" s="45"/>
      <c r="J14" s="45"/>
      <c r="K14" s="45"/>
      <c r="L14" s="45"/>
      <c r="M14" s="45"/>
      <c r="N14" s="45"/>
      <c r="O14" s="45"/>
      <c r="P14" s="45"/>
      <c r="Q14" s="45"/>
      <c r="R14" s="45"/>
      <c r="S14" s="45"/>
      <c r="T14" s="45"/>
      <c r="U14" s="45"/>
      <c r="V14" s="45"/>
      <c r="W14" s="45"/>
      <c r="X14" s="45"/>
      <c r="Y14" s="45"/>
      <c r="Z14" s="47" t="str">
        <f t="shared" si="0"/>
        <v>Очікую</v>
      </c>
      <c r="AA14" s="47" t="str">
        <f t="shared" si="1"/>
        <v>Очікую</v>
      </c>
      <c r="AB14" s="34"/>
      <c r="AC14" s="40"/>
    </row>
    <row r="15" spans="1:29" s="11" customFormat="1" ht="15" customHeight="1" x14ac:dyDescent="0.25">
      <c r="A15" s="41"/>
      <c r="B15" s="32"/>
      <c r="C15" s="45"/>
      <c r="D15" s="45">
        <v>6</v>
      </c>
      <c r="E15" s="46"/>
      <c r="F15" s="45"/>
      <c r="G15" s="45"/>
      <c r="H15" s="45"/>
      <c r="I15" s="45"/>
      <c r="J15" s="45"/>
      <c r="K15" s="45"/>
      <c r="L15" s="45"/>
      <c r="M15" s="45"/>
      <c r="N15" s="45"/>
      <c r="O15" s="45"/>
      <c r="P15" s="45"/>
      <c r="Q15" s="45"/>
      <c r="R15" s="45"/>
      <c r="S15" s="45"/>
      <c r="T15" s="45"/>
      <c r="U15" s="45"/>
      <c r="V15" s="45"/>
      <c r="W15" s="45"/>
      <c r="X15" s="45"/>
      <c r="Y15" s="45"/>
      <c r="Z15" s="47" t="str">
        <f t="shared" si="0"/>
        <v>Очікую</v>
      </c>
      <c r="AA15" s="47" t="str">
        <f t="shared" si="1"/>
        <v>Очікую</v>
      </c>
      <c r="AB15" s="34"/>
      <c r="AC15" s="40"/>
    </row>
    <row r="16" spans="1:29" s="11" customFormat="1" ht="15" customHeight="1" x14ac:dyDescent="0.25">
      <c r="A16" s="41"/>
      <c r="B16" s="32"/>
      <c r="C16" s="45"/>
      <c r="D16" s="45">
        <v>7</v>
      </c>
      <c r="E16" s="46"/>
      <c r="F16" s="45"/>
      <c r="G16" s="45"/>
      <c r="H16" s="45"/>
      <c r="I16" s="45"/>
      <c r="J16" s="45"/>
      <c r="K16" s="45"/>
      <c r="L16" s="45"/>
      <c r="M16" s="45"/>
      <c r="N16" s="45"/>
      <c r="O16" s="45"/>
      <c r="P16" s="45"/>
      <c r="Q16" s="45"/>
      <c r="R16" s="45"/>
      <c r="S16" s="45"/>
      <c r="T16" s="45"/>
      <c r="U16" s="45"/>
      <c r="V16" s="45"/>
      <c r="W16" s="45"/>
      <c r="X16" s="45"/>
      <c r="Y16" s="45"/>
      <c r="Z16" s="47" t="str">
        <f t="shared" si="0"/>
        <v>Очікую</v>
      </c>
      <c r="AA16" s="47" t="str">
        <f t="shared" si="1"/>
        <v>Очікую</v>
      </c>
      <c r="AB16" s="34"/>
      <c r="AC16" s="40"/>
    </row>
    <row r="17" spans="1:29" s="11" customFormat="1" ht="15" customHeight="1" x14ac:dyDescent="0.25">
      <c r="A17" s="41"/>
      <c r="B17" s="32"/>
      <c r="C17" s="45"/>
      <c r="D17" s="45">
        <v>8</v>
      </c>
      <c r="E17" s="46"/>
      <c r="F17" s="45"/>
      <c r="G17" s="45"/>
      <c r="H17" s="45"/>
      <c r="I17" s="45"/>
      <c r="J17" s="45"/>
      <c r="K17" s="45"/>
      <c r="L17" s="45"/>
      <c r="M17" s="45"/>
      <c r="N17" s="45"/>
      <c r="O17" s="45"/>
      <c r="P17" s="45"/>
      <c r="Q17" s="45"/>
      <c r="R17" s="45"/>
      <c r="S17" s="45"/>
      <c r="T17" s="45"/>
      <c r="U17" s="45"/>
      <c r="V17" s="45"/>
      <c r="W17" s="45"/>
      <c r="X17" s="45"/>
      <c r="Y17" s="45"/>
      <c r="Z17" s="47" t="str">
        <f t="shared" si="0"/>
        <v>Очікую</v>
      </c>
      <c r="AA17" s="47" t="str">
        <f t="shared" si="1"/>
        <v>Очікую</v>
      </c>
      <c r="AB17" s="34"/>
      <c r="AC17" s="40"/>
    </row>
    <row r="18" spans="1:29" s="11" customFormat="1" ht="15" customHeight="1" x14ac:dyDescent="0.25">
      <c r="A18" s="41"/>
      <c r="B18" s="32"/>
      <c r="C18" s="45"/>
      <c r="D18" s="45">
        <v>9</v>
      </c>
      <c r="E18" s="46"/>
      <c r="F18" s="45"/>
      <c r="G18" s="45"/>
      <c r="H18" s="45"/>
      <c r="I18" s="45"/>
      <c r="J18" s="45"/>
      <c r="K18" s="45"/>
      <c r="L18" s="45"/>
      <c r="M18" s="45"/>
      <c r="N18" s="45"/>
      <c r="O18" s="45"/>
      <c r="P18" s="45"/>
      <c r="Q18" s="45"/>
      <c r="R18" s="45"/>
      <c r="S18" s="45"/>
      <c r="T18" s="45"/>
      <c r="U18" s="45"/>
      <c r="V18" s="45"/>
      <c r="W18" s="45"/>
      <c r="X18" s="45"/>
      <c r="Y18" s="45"/>
      <c r="Z18" s="47" t="str">
        <f t="shared" si="0"/>
        <v>Очікую</v>
      </c>
      <c r="AA18" s="47" t="str">
        <f t="shared" si="1"/>
        <v>Очікую</v>
      </c>
      <c r="AB18" s="34"/>
      <c r="AC18" s="40"/>
    </row>
    <row r="19" spans="1:29" s="11" customFormat="1" ht="15" customHeight="1" x14ac:dyDescent="0.25">
      <c r="A19" s="41"/>
      <c r="B19" s="32"/>
      <c r="C19" s="45"/>
      <c r="D19" s="45">
        <v>10</v>
      </c>
      <c r="E19" s="46"/>
      <c r="F19" s="45"/>
      <c r="G19" s="45"/>
      <c r="H19" s="45"/>
      <c r="I19" s="45"/>
      <c r="J19" s="45"/>
      <c r="K19" s="45"/>
      <c r="L19" s="45"/>
      <c r="M19" s="45"/>
      <c r="N19" s="45"/>
      <c r="O19" s="45"/>
      <c r="P19" s="45"/>
      <c r="Q19" s="45"/>
      <c r="R19" s="45"/>
      <c r="S19" s="45"/>
      <c r="T19" s="45"/>
      <c r="U19" s="45"/>
      <c r="V19" s="45"/>
      <c r="W19" s="45"/>
      <c r="X19" s="45"/>
      <c r="Y19" s="45"/>
      <c r="Z19" s="47" t="str">
        <f t="shared" si="0"/>
        <v>Очікую</v>
      </c>
      <c r="AA19" s="47" t="str">
        <f t="shared" si="1"/>
        <v>Очікую</v>
      </c>
      <c r="AB19" s="34"/>
      <c r="AC19" s="40"/>
    </row>
    <row r="20" spans="1:29" s="11" customFormat="1" ht="15" customHeight="1" x14ac:dyDescent="0.25">
      <c r="A20" s="41"/>
      <c r="B20" s="32"/>
      <c r="C20" s="45"/>
      <c r="D20" s="45">
        <v>11</v>
      </c>
      <c r="E20" s="46"/>
      <c r="F20" s="45"/>
      <c r="G20" s="45"/>
      <c r="H20" s="45"/>
      <c r="I20" s="45"/>
      <c r="J20" s="45"/>
      <c r="K20" s="45"/>
      <c r="L20" s="45"/>
      <c r="M20" s="45"/>
      <c r="N20" s="45"/>
      <c r="O20" s="45"/>
      <c r="P20" s="45"/>
      <c r="Q20" s="45"/>
      <c r="R20" s="45"/>
      <c r="S20" s="45"/>
      <c r="T20" s="45"/>
      <c r="U20" s="45"/>
      <c r="V20" s="45"/>
      <c r="W20" s="45"/>
      <c r="X20" s="45"/>
      <c r="Y20" s="45"/>
      <c r="Z20" s="47" t="str">
        <f t="shared" si="0"/>
        <v>Очікую</v>
      </c>
      <c r="AA20" s="47" t="str">
        <f t="shared" si="1"/>
        <v>Очікую</v>
      </c>
      <c r="AB20" s="34"/>
      <c r="AC20" s="40"/>
    </row>
    <row r="21" spans="1:29" s="11" customFormat="1" ht="15" customHeight="1" x14ac:dyDescent="0.25">
      <c r="A21" s="41"/>
      <c r="B21" s="32"/>
      <c r="C21" s="45"/>
      <c r="D21" s="45">
        <v>12</v>
      </c>
      <c r="E21" s="46"/>
      <c r="F21" s="45"/>
      <c r="G21" s="45"/>
      <c r="H21" s="45"/>
      <c r="I21" s="45"/>
      <c r="J21" s="45"/>
      <c r="K21" s="45"/>
      <c r="L21" s="45"/>
      <c r="M21" s="45"/>
      <c r="N21" s="45"/>
      <c r="O21" s="45"/>
      <c r="P21" s="45"/>
      <c r="Q21" s="45"/>
      <c r="R21" s="45"/>
      <c r="S21" s="45"/>
      <c r="T21" s="45"/>
      <c r="U21" s="45"/>
      <c r="V21" s="45"/>
      <c r="W21" s="45"/>
      <c r="X21" s="45"/>
      <c r="Y21" s="45"/>
      <c r="Z21" s="47" t="str">
        <f t="shared" si="0"/>
        <v>Очікую</v>
      </c>
      <c r="AA21" s="47" t="str">
        <f t="shared" si="1"/>
        <v>Очікую</v>
      </c>
      <c r="AB21" s="34"/>
      <c r="AC21" s="40"/>
    </row>
    <row r="22" spans="1:29" s="11" customFormat="1" ht="15" customHeight="1" x14ac:dyDescent="0.25">
      <c r="A22" s="41"/>
      <c r="B22" s="32"/>
      <c r="C22" s="45"/>
      <c r="D22" s="45">
        <v>13</v>
      </c>
      <c r="E22" s="46"/>
      <c r="F22" s="45"/>
      <c r="G22" s="45"/>
      <c r="H22" s="45"/>
      <c r="I22" s="45"/>
      <c r="J22" s="45"/>
      <c r="K22" s="45"/>
      <c r="L22" s="45"/>
      <c r="M22" s="45"/>
      <c r="N22" s="45"/>
      <c r="O22" s="45"/>
      <c r="P22" s="45"/>
      <c r="Q22" s="45"/>
      <c r="R22" s="45"/>
      <c r="S22" s="45"/>
      <c r="T22" s="45"/>
      <c r="U22" s="45"/>
      <c r="V22" s="45"/>
      <c r="W22" s="45"/>
      <c r="X22" s="45"/>
      <c r="Y22" s="45"/>
      <c r="Z22" s="47" t="str">
        <f t="shared" si="0"/>
        <v>Очікую</v>
      </c>
      <c r="AA22" s="47" t="str">
        <f t="shared" si="1"/>
        <v>Очікую</v>
      </c>
      <c r="AB22" s="34"/>
      <c r="AC22" s="40"/>
    </row>
    <row r="23" spans="1:29" s="11" customFormat="1" ht="15" customHeight="1" x14ac:dyDescent="0.25">
      <c r="A23" s="41"/>
      <c r="B23" s="32"/>
      <c r="C23" s="45"/>
      <c r="D23" s="45">
        <v>14</v>
      </c>
      <c r="E23" s="46"/>
      <c r="F23" s="45"/>
      <c r="G23" s="45"/>
      <c r="H23" s="45"/>
      <c r="I23" s="45"/>
      <c r="J23" s="45"/>
      <c r="K23" s="45"/>
      <c r="L23" s="45"/>
      <c r="M23" s="45"/>
      <c r="N23" s="45"/>
      <c r="O23" s="45"/>
      <c r="P23" s="45"/>
      <c r="Q23" s="45"/>
      <c r="R23" s="45"/>
      <c r="S23" s="45"/>
      <c r="T23" s="45"/>
      <c r="U23" s="45"/>
      <c r="V23" s="45"/>
      <c r="W23" s="45"/>
      <c r="X23" s="45"/>
      <c r="Y23" s="45"/>
      <c r="Z23" s="47" t="str">
        <f t="shared" si="0"/>
        <v>Очікую</v>
      </c>
      <c r="AA23" s="47" t="str">
        <f t="shared" si="1"/>
        <v>Очікую</v>
      </c>
      <c r="AB23" s="34"/>
      <c r="AC23" s="40"/>
    </row>
    <row r="24" spans="1:29" s="11" customFormat="1" ht="15" customHeight="1" x14ac:dyDescent="0.25">
      <c r="A24" s="41"/>
      <c r="B24" s="32"/>
      <c r="C24" s="45"/>
      <c r="D24" s="45">
        <v>15</v>
      </c>
      <c r="E24" s="46"/>
      <c r="F24" s="45"/>
      <c r="G24" s="45"/>
      <c r="H24" s="45"/>
      <c r="I24" s="45"/>
      <c r="J24" s="45"/>
      <c r="K24" s="45"/>
      <c r="L24" s="45"/>
      <c r="M24" s="45"/>
      <c r="N24" s="45"/>
      <c r="O24" s="45"/>
      <c r="P24" s="45"/>
      <c r="Q24" s="45"/>
      <c r="R24" s="45"/>
      <c r="S24" s="45"/>
      <c r="T24" s="45"/>
      <c r="U24" s="45"/>
      <c r="V24" s="45"/>
      <c r="W24" s="45"/>
      <c r="X24" s="45"/>
      <c r="Y24" s="45"/>
      <c r="Z24" s="47" t="str">
        <f t="shared" si="0"/>
        <v>Очікую</v>
      </c>
      <c r="AA24" s="47" t="str">
        <f t="shared" si="1"/>
        <v>Очікую</v>
      </c>
      <c r="AB24" s="34"/>
      <c r="AC24" s="40"/>
    </row>
    <row r="25" spans="1:29" s="11" customFormat="1" ht="15" customHeight="1" x14ac:dyDescent="0.25">
      <c r="A25" s="41"/>
      <c r="B25" s="32"/>
      <c r="C25" s="45"/>
      <c r="D25" s="45">
        <v>16</v>
      </c>
      <c r="E25" s="46"/>
      <c r="F25" s="45"/>
      <c r="G25" s="45"/>
      <c r="H25" s="45"/>
      <c r="I25" s="45"/>
      <c r="J25" s="45"/>
      <c r="K25" s="45"/>
      <c r="L25" s="45"/>
      <c r="M25" s="45"/>
      <c r="N25" s="45"/>
      <c r="O25" s="45"/>
      <c r="P25" s="45"/>
      <c r="Q25" s="45"/>
      <c r="R25" s="45"/>
      <c r="S25" s="45"/>
      <c r="T25" s="45"/>
      <c r="U25" s="45"/>
      <c r="V25" s="45"/>
      <c r="W25" s="45"/>
      <c r="X25" s="45"/>
      <c r="Y25" s="45"/>
      <c r="Z25" s="47" t="str">
        <f t="shared" si="0"/>
        <v>Очікую</v>
      </c>
      <c r="AA25" s="47" t="str">
        <f t="shared" si="1"/>
        <v>Очікую</v>
      </c>
      <c r="AB25" s="34"/>
      <c r="AC25" s="40"/>
    </row>
    <row r="26" spans="1:29" s="11" customFormat="1" ht="15" customHeight="1" x14ac:dyDescent="0.25">
      <c r="A26" s="41"/>
      <c r="B26" s="32"/>
      <c r="C26" s="45"/>
      <c r="D26" s="45">
        <v>17</v>
      </c>
      <c r="E26" s="46"/>
      <c r="F26" s="45"/>
      <c r="G26" s="45"/>
      <c r="H26" s="45"/>
      <c r="I26" s="45"/>
      <c r="J26" s="45"/>
      <c r="K26" s="45"/>
      <c r="L26" s="45"/>
      <c r="M26" s="45"/>
      <c r="N26" s="45"/>
      <c r="O26" s="45"/>
      <c r="P26" s="45"/>
      <c r="Q26" s="45"/>
      <c r="R26" s="45"/>
      <c r="S26" s="45"/>
      <c r="T26" s="45"/>
      <c r="U26" s="45"/>
      <c r="V26" s="45"/>
      <c r="W26" s="45"/>
      <c r="X26" s="45"/>
      <c r="Y26" s="45"/>
      <c r="Z26" s="47" t="str">
        <f t="shared" si="0"/>
        <v>Очікую</v>
      </c>
      <c r="AA26" s="47" t="str">
        <f t="shared" si="1"/>
        <v>Очікую</v>
      </c>
      <c r="AB26" s="34"/>
      <c r="AC26" s="40"/>
    </row>
    <row r="27" spans="1:29" s="11" customFormat="1" ht="15" customHeight="1" x14ac:dyDescent="0.25">
      <c r="A27" s="41"/>
      <c r="B27" s="32"/>
      <c r="C27" s="45"/>
      <c r="D27" s="45">
        <v>18</v>
      </c>
      <c r="E27" s="46"/>
      <c r="F27" s="45"/>
      <c r="G27" s="45"/>
      <c r="H27" s="45"/>
      <c r="I27" s="45"/>
      <c r="J27" s="45"/>
      <c r="K27" s="45"/>
      <c r="L27" s="45"/>
      <c r="M27" s="45"/>
      <c r="N27" s="45"/>
      <c r="O27" s="45"/>
      <c r="P27" s="45"/>
      <c r="Q27" s="45"/>
      <c r="R27" s="45"/>
      <c r="S27" s="45"/>
      <c r="T27" s="45"/>
      <c r="U27" s="45"/>
      <c r="V27" s="45"/>
      <c r="W27" s="45"/>
      <c r="X27" s="45"/>
      <c r="Y27" s="45"/>
      <c r="Z27" s="47" t="str">
        <f t="shared" si="0"/>
        <v>Очікую</v>
      </c>
      <c r="AA27" s="47" t="str">
        <f t="shared" si="1"/>
        <v>Очікую</v>
      </c>
      <c r="AB27" s="34"/>
      <c r="AC27" s="40"/>
    </row>
    <row r="28" spans="1:29" s="11" customFormat="1" ht="15" customHeight="1" x14ac:dyDescent="0.25">
      <c r="A28" s="41"/>
      <c r="B28" s="32"/>
      <c r="C28" s="45"/>
      <c r="D28" s="45">
        <v>19</v>
      </c>
      <c r="E28" s="46"/>
      <c r="F28" s="45"/>
      <c r="G28" s="45"/>
      <c r="H28" s="45"/>
      <c r="I28" s="45"/>
      <c r="J28" s="45"/>
      <c r="K28" s="45"/>
      <c r="L28" s="45"/>
      <c r="M28" s="45"/>
      <c r="N28" s="45"/>
      <c r="O28" s="45"/>
      <c r="P28" s="45"/>
      <c r="Q28" s="45"/>
      <c r="R28" s="45"/>
      <c r="S28" s="45"/>
      <c r="T28" s="45"/>
      <c r="U28" s="45"/>
      <c r="V28" s="45"/>
      <c r="W28" s="45"/>
      <c r="X28" s="45"/>
      <c r="Y28" s="45"/>
      <c r="Z28" s="47" t="str">
        <f t="shared" si="0"/>
        <v>Очікую</v>
      </c>
      <c r="AA28" s="47" t="str">
        <f t="shared" si="1"/>
        <v>Очікую</v>
      </c>
      <c r="AB28" s="34"/>
      <c r="AC28" s="40"/>
    </row>
    <row r="29" spans="1:29" s="11" customFormat="1" ht="15" customHeight="1" x14ac:dyDescent="0.25">
      <c r="A29" s="41"/>
      <c r="B29" s="32"/>
      <c r="C29" s="45"/>
      <c r="D29" s="45">
        <v>20</v>
      </c>
      <c r="E29" s="46"/>
      <c r="F29" s="45"/>
      <c r="G29" s="45"/>
      <c r="H29" s="45"/>
      <c r="I29" s="45"/>
      <c r="J29" s="45"/>
      <c r="K29" s="45"/>
      <c r="L29" s="45"/>
      <c r="M29" s="45"/>
      <c r="N29" s="45"/>
      <c r="O29" s="45"/>
      <c r="P29" s="45"/>
      <c r="Q29" s="45"/>
      <c r="R29" s="45"/>
      <c r="S29" s="45"/>
      <c r="T29" s="45"/>
      <c r="U29" s="45"/>
      <c r="V29" s="45"/>
      <c r="W29" s="45"/>
      <c r="X29" s="45"/>
      <c r="Y29" s="45"/>
      <c r="Z29" s="47" t="str">
        <f t="shared" si="0"/>
        <v>Очікую</v>
      </c>
      <c r="AA29" s="47" t="str">
        <f t="shared" si="1"/>
        <v>Очікую</v>
      </c>
      <c r="AB29" s="34"/>
      <c r="AC29" s="40"/>
    </row>
    <row r="30" spans="1:29" s="11" customFormat="1" ht="15" customHeight="1" x14ac:dyDescent="0.25">
      <c r="A30" s="41"/>
      <c r="B30" s="32"/>
      <c r="C30" s="45"/>
      <c r="D30" s="45">
        <v>21</v>
      </c>
      <c r="E30" s="46"/>
      <c r="F30" s="45"/>
      <c r="G30" s="45"/>
      <c r="H30" s="45"/>
      <c r="I30" s="45"/>
      <c r="J30" s="45"/>
      <c r="K30" s="45"/>
      <c r="L30" s="45"/>
      <c r="M30" s="45"/>
      <c r="N30" s="45"/>
      <c r="O30" s="45"/>
      <c r="P30" s="45"/>
      <c r="Q30" s="45"/>
      <c r="R30" s="45"/>
      <c r="S30" s="45"/>
      <c r="T30" s="45"/>
      <c r="U30" s="45"/>
      <c r="V30" s="45"/>
      <c r="W30" s="45"/>
      <c r="X30" s="45"/>
      <c r="Y30" s="45"/>
      <c r="Z30" s="47" t="str">
        <f t="shared" si="0"/>
        <v>Очікую</v>
      </c>
      <c r="AA30" s="47" t="str">
        <f t="shared" si="1"/>
        <v>Очікую</v>
      </c>
      <c r="AB30" s="34"/>
      <c r="AC30" s="40"/>
    </row>
    <row r="31" spans="1:29" s="11" customFormat="1" ht="15" customHeight="1" x14ac:dyDescent="0.25">
      <c r="A31" s="41"/>
      <c r="B31" s="32"/>
      <c r="C31" s="45"/>
      <c r="D31" s="45">
        <v>22</v>
      </c>
      <c r="E31" s="46"/>
      <c r="F31" s="45"/>
      <c r="G31" s="45"/>
      <c r="H31" s="45"/>
      <c r="I31" s="45"/>
      <c r="J31" s="45"/>
      <c r="K31" s="45"/>
      <c r="L31" s="45"/>
      <c r="M31" s="45"/>
      <c r="N31" s="45"/>
      <c r="O31" s="45"/>
      <c r="P31" s="45"/>
      <c r="Q31" s="45"/>
      <c r="R31" s="45"/>
      <c r="S31" s="45"/>
      <c r="T31" s="45"/>
      <c r="U31" s="45"/>
      <c r="V31" s="45"/>
      <c r="W31" s="45"/>
      <c r="X31" s="45"/>
      <c r="Y31" s="45"/>
      <c r="Z31" s="47" t="str">
        <f t="shared" si="0"/>
        <v>Очікую</v>
      </c>
      <c r="AA31" s="47" t="str">
        <f t="shared" si="1"/>
        <v>Очікую</v>
      </c>
      <c r="AB31" s="34"/>
      <c r="AC31" s="40"/>
    </row>
    <row r="32" spans="1:29" s="11" customFormat="1" ht="15" customHeight="1" x14ac:dyDescent="0.25">
      <c r="A32" s="41"/>
      <c r="B32" s="32"/>
      <c r="C32" s="45"/>
      <c r="D32" s="45">
        <v>23</v>
      </c>
      <c r="E32" s="46"/>
      <c r="F32" s="45"/>
      <c r="G32" s="45"/>
      <c r="H32" s="45"/>
      <c r="I32" s="45"/>
      <c r="J32" s="45"/>
      <c r="K32" s="45"/>
      <c r="L32" s="45"/>
      <c r="M32" s="45"/>
      <c r="N32" s="45"/>
      <c r="O32" s="45"/>
      <c r="P32" s="45"/>
      <c r="Q32" s="45"/>
      <c r="R32" s="45"/>
      <c r="S32" s="45"/>
      <c r="T32" s="45"/>
      <c r="U32" s="45"/>
      <c r="V32" s="45"/>
      <c r="W32" s="45"/>
      <c r="X32" s="45"/>
      <c r="Y32" s="45"/>
      <c r="Z32" s="47" t="str">
        <f t="shared" si="0"/>
        <v>Очікую</v>
      </c>
      <c r="AA32" s="47" t="str">
        <f t="shared" si="1"/>
        <v>Очікую</v>
      </c>
      <c r="AB32" s="34"/>
      <c r="AC32" s="40"/>
    </row>
    <row r="33" spans="1:29" s="11" customFormat="1" ht="15" customHeight="1" x14ac:dyDescent="0.25">
      <c r="A33" s="41"/>
      <c r="B33" s="32"/>
      <c r="C33" s="45"/>
      <c r="D33" s="45">
        <v>24</v>
      </c>
      <c r="E33" s="46"/>
      <c r="F33" s="45"/>
      <c r="G33" s="45"/>
      <c r="H33" s="45"/>
      <c r="I33" s="45"/>
      <c r="J33" s="45"/>
      <c r="K33" s="45"/>
      <c r="L33" s="45"/>
      <c r="M33" s="45"/>
      <c r="N33" s="45"/>
      <c r="O33" s="45"/>
      <c r="P33" s="45"/>
      <c r="Q33" s="45"/>
      <c r="R33" s="45"/>
      <c r="S33" s="45"/>
      <c r="T33" s="45"/>
      <c r="U33" s="45"/>
      <c r="V33" s="45"/>
      <c r="W33" s="45"/>
      <c r="X33" s="45"/>
      <c r="Y33" s="45"/>
      <c r="Z33" s="47" t="str">
        <f t="shared" si="0"/>
        <v>Очікую</v>
      </c>
      <c r="AA33" s="47" t="str">
        <f t="shared" si="1"/>
        <v>Очікую</v>
      </c>
      <c r="AB33" s="34"/>
      <c r="AC33" s="40"/>
    </row>
    <row r="34" spans="1:29" s="11" customFormat="1" ht="15" customHeight="1" x14ac:dyDescent="0.25">
      <c r="A34" s="41"/>
      <c r="B34" s="32"/>
      <c r="C34" s="45"/>
      <c r="D34" s="45">
        <v>25</v>
      </c>
      <c r="E34" s="46"/>
      <c r="F34" s="45"/>
      <c r="G34" s="45"/>
      <c r="H34" s="45"/>
      <c r="I34" s="45"/>
      <c r="J34" s="45"/>
      <c r="K34" s="45"/>
      <c r="L34" s="45"/>
      <c r="M34" s="45"/>
      <c r="N34" s="45"/>
      <c r="O34" s="45"/>
      <c r="P34" s="45"/>
      <c r="Q34" s="45"/>
      <c r="R34" s="45"/>
      <c r="S34" s="45"/>
      <c r="T34" s="45"/>
      <c r="U34" s="45"/>
      <c r="V34" s="45"/>
      <c r="W34" s="45"/>
      <c r="X34" s="45"/>
      <c r="Y34" s="45"/>
      <c r="Z34" s="47" t="str">
        <f t="shared" si="0"/>
        <v>Очікую</v>
      </c>
      <c r="AA34" s="47" t="str">
        <f t="shared" si="1"/>
        <v>Очікую</v>
      </c>
      <c r="AB34" s="34"/>
      <c r="AC34" s="40"/>
    </row>
    <row r="35" spans="1:29" s="11" customFormat="1" ht="15" customHeight="1" x14ac:dyDescent="0.25">
      <c r="A35" s="41"/>
      <c r="B35" s="32"/>
      <c r="C35" s="45"/>
      <c r="D35" s="45">
        <v>26</v>
      </c>
      <c r="E35" s="46"/>
      <c r="F35" s="45"/>
      <c r="G35" s="45"/>
      <c r="H35" s="45"/>
      <c r="I35" s="45"/>
      <c r="J35" s="45"/>
      <c r="K35" s="45"/>
      <c r="L35" s="45"/>
      <c r="M35" s="45"/>
      <c r="N35" s="45"/>
      <c r="O35" s="45"/>
      <c r="P35" s="45"/>
      <c r="Q35" s="45"/>
      <c r="R35" s="45"/>
      <c r="S35" s="45"/>
      <c r="T35" s="45"/>
      <c r="U35" s="45"/>
      <c r="V35" s="45"/>
      <c r="W35" s="45"/>
      <c r="X35" s="45"/>
      <c r="Y35" s="45"/>
      <c r="Z35" s="47" t="str">
        <f t="shared" si="0"/>
        <v>Очікую</v>
      </c>
      <c r="AA35" s="47" t="str">
        <f t="shared" si="1"/>
        <v>Очікую</v>
      </c>
      <c r="AB35" s="34"/>
      <c r="AC35" s="40"/>
    </row>
    <row r="36" spans="1:29" s="11" customFormat="1" ht="15" customHeight="1" x14ac:dyDescent="0.25">
      <c r="A36" s="41"/>
      <c r="B36" s="32"/>
      <c r="C36" s="45"/>
      <c r="D36" s="45">
        <v>27</v>
      </c>
      <c r="E36" s="46"/>
      <c r="F36" s="45"/>
      <c r="G36" s="45"/>
      <c r="H36" s="45"/>
      <c r="I36" s="45"/>
      <c r="J36" s="45"/>
      <c r="K36" s="45"/>
      <c r="L36" s="45"/>
      <c r="M36" s="45"/>
      <c r="N36" s="45"/>
      <c r="O36" s="45"/>
      <c r="P36" s="45"/>
      <c r="Q36" s="45"/>
      <c r="R36" s="45"/>
      <c r="S36" s="45"/>
      <c r="T36" s="45"/>
      <c r="U36" s="45"/>
      <c r="V36" s="45"/>
      <c r="W36" s="45"/>
      <c r="X36" s="45"/>
      <c r="Y36" s="45"/>
      <c r="Z36" s="47" t="str">
        <f t="shared" si="0"/>
        <v>Очікую</v>
      </c>
      <c r="AA36" s="47" t="str">
        <f t="shared" si="1"/>
        <v>Очікую</v>
      </c>
      <c r="AB36" s="34"/>
      <c r="AC36" s="40"/>
    </row>
    <row r="37" spans="1:29" s="11" customFormat="1" ht="15" customHeight="1" x14ac:dyDescent="0.25">
      <c r="A37" s="41"/>
      <c r="B37" s="32"/>
      <c r="C37" s="45"/>
      <c r="D37" s="45">
        <v>28</v>
      </c>
      <c r="E37" s="46"/>
      <c r="F37" s="45"/>
      <c r="G37" s="45"/>
      <c r="H37" s="45"/>
      <c r="I37" s="45"/>
      <c r="J37" s="45"/>
      <c r="K37" s="45"/>
      <c r="L37" s="45"/>
      <c r="M37" s="45"/>
      <c r="N37" s="45"/>
      <c r="O37" s="45"/>
      <c r="P37" s="45"/>
      <c r="Q37" s="45"/>
      <c r="R37" s="45"/>
      <c r="S37" s="45"/>
      <c r="T37" s="45"/>
      <c r="U37" s="45"/>
      <c r="V37" s="45"/>
      <c r="W37" s="45"/>
      <c r="X37" s="45"/>
      <c r="Y37" s="45"/>
      <c r="Z37" s="47" t="str">
        <f t="shared" si="0"/>
        <v>Очікую</v>
      </c>
      <c r="AA37" s="47" t="str">
        <f t="shared" si="1"/>
        <v>Очікую</v>
      </c>
      <c r="AB37" s="34"/>
      <c r="AC37" s="40"/>
    </row>
    <row r="38" spans="1:29" s="11" customFormat="1" ht="15" customHeight="1" x14ac:dyDescent="0.25">
      <c r="A38" s="41"/>
      <c r="B38" s="32"/>
      <c r="C38" s="45"/>
      <c r="D38" s="45">
        <v>29</v>
      </c>
      <c r="E38" s="46"/>
      <c r="F38" s="45"/>
      <c r="G38" s="45"/>
      <c r="H38" s="45"/>
      <c r="I38" s="45"/>
      <c r="J38" s="45"/>
      <c r="K38" s="45"/>
      <c r="L38" s="45"/>
      <c r="M38" s="45"/>
      <c r="N38" s="45"/>
      <c r="O38" s="45"/>
      <c r="P38" s="45"/>
      <c r="Q38" s="45"/>
      <c r="R38" s="45"/>
      <c r="S38" s="45"/>
      <c r="T38" s="45"/>
      <c r="U38" s="45"/>
      <c r="V38" s="45"/>
      <c r="W38" s="45"/>
      <c r="X38" s="45"/>
      <c r="Y38" s="45"/>
      <c r="Z38" s="47" t="str">
        <f t="shared" si="0"/>
        <v>Очікую</v>
      </c>
      <c r="AA38" s="47" t="str">
        <f t="shared" si="1"/>
        <v>Очікую</v>
      </c>
      <c r="AB38" s="34"/>
      <c r="AC38" s="40"/>
    </row>
    <row r="39" spans="1:29" s="11" customFormat="1" ht="15" customHeight="1" x14ac:dyDescent="0.25">
      <c r="A39" s="41"/>
      <c r="B39" s="32"/>
      <c r="C39" s="45"/>
      <c r="D39" s="45">
        <v>30</v>
      </c>
      <c r="E39" s="46"/>
      <c r="F39" s="45"/>
      <c r="G39" s="45"/>
      <c r="H39" s="45"/>
      <c r="I39" s="45"/>
      <c r="J39" s="45"/>
      <c r="K39" s="45"/>
      <c r="L39" s="45"/>
      <c r="M39" s="45"/>
      <c r="N39" s="45"/>
      <c r="O39" s="45"/>
      <c r="P39" s="45"/>
      <c r="Q39" s="45"/>
      <c r="R39" s="45"/>
      <c r="S39" s="45"/>
      <c r="T39" s="45"/>
      <c r="U39" s="45"/>
      <c r="V39" s="45"/>
      <c r="W39" s="45"/>
      <c r="X39" s="45"/>
      <c r="Y39" s="45"/>
      <c r="Z39" s="47" t="str">
        <f t="shared" si="0"/>
        <v>Очікую</v>
      </c>
      <c r="AA39" s="47" t="str">
        <f t="shared" si="1"/>
        <v>Очікую</v>
      </c>
      <c r="AB39" s="34"/>
      <c r="AC39" s="40"/>
    </row>
    <row r="40" spans="1:29" s="11" customFormat="1" ht="15" customHeight="1" x14ac:dyDescent="0.25">
      <c r="A40" s="41"/>
      <c r="B40" s="32"/>
      <c r="C40" s="45"/>
      <c r="D40" s="45">
        <v>31</v>
      </c>
      <c r="E40" s="46"/>
      <c r="F40" s="45"/>
      <c r="G40" s="45"/>
      <c r="H40" s="45"/>
      <c r="I40" s="45"/>
      <c r="J40" s="45"/>
      <c r="K40" s="45"/>
      <c r="L40" s="45"/>
      <c r="M40" s="45"/>
      <c r="N40" s="45"/>
      <c r="O40" s="45"/>
      <c r="P40" s="45"/>
      <c r="Q40" s="45"/>
      <c r="R40" s="45"/>
      <c r="S40" s="45"/>
      <c r="T40" s="45"/>
      <c r="U40" s="45"/>
      <c r="V40" s="45"/>
      <c r="W40" s="45"/>
      <c r="X40" s="45"/>
      <c r="Y40" s="45"/>
      <c r="Z40" s="47" t="str">
        <f t="shared" si="0"/>
        <v>Очікую</v>
      </c>
      <c r="AA40" s="47" t="str">
        <f t="shared" si="1"/>
        <v>Очікую</v>
      </c>
      <c r="AB40" s="34"/>
      <c r="AC40" s="40"/>
    </row>
    <row r="41" spans="1:29" s="11" customFormat="1" ht="15" customHeight="1" x14ac:dyDescent="0.25">
      <c r="A41" s="41"/>
      <c r="B41" s="32"/>
      <c r="C41" s="45"/>
      <c r="D41" s="45">
        <v>32</v>
      </c>
      <c r="E41" s="46"/>
      <c r="F41" s="45"/>
      <c r="G41" s="45"/>
      <c r="H41" s="45"/>
      <c r="I41" s="45"/>
      <c r="J41" s="45"/>
      <c r="K41" s="45"/>
      <c r="L41" s="45"/>
      <c r="M41" s="45"/>
      <c r="N41" s="45"/>
      <c r="O41" s="45"/>
      <c r="P41" s="45"/>
      <c r="Q41" s="45"/>
      <c r="R41" s="45"/>
      <c r="S41" s="45"/>
      <c r="T41" s="45"/>
      <c r="U41" s="45"/>
      <c r="V41" s="45"/>
      <c r="W41" s="45"/>
      <c r="X41" s="45"/>
      <c r="Y41" s="45"/>
      <c r="Z41" s="47" t="str">
        <f t="shared" si="0"/>
        <v>Очікую</v>
      </c>
      <c r="AA41" s="47" t="str">
        <f t="shared" si="1"/>
        <v>Очікую</v>
      </c>
      <c r="AB41" s="34"/>
      <c r="AC41" s="40"/>
    </row>
    <row r="42" spans="1:29" s="11" customFormat="1" ht="15" customHeight="1" x14ac:dyDescent="0.25">
      <c r="A42" s="41"/>
      <c r="B42" s="32"/>
      <c r="C42" s="45"/>
      <c r="D42" s="45">
        <v>33</v>
      </c>
      <c r="E42" s="46"/>
      <c r="F42" s="45"/>
      <c r="G42" s="45"/>
      <c r="H42" s="45"/>
      <c r="I42" s="45"/>
      <c r="J42" s="45"/>
      <c r="K42" s="45"/>
      <c r="L42" s="45"/>
      <c r="M42" s="45"/>
      <c r="N42" s="45"/>
      <c r="O42" s="45"/>
      <c r="P42" s="45"/>
      <c r="Q42" s="45"/>
      <c r="R42" s="45"/>
      <c r="S42" s="45"/>
      <c r="T42" s="45"/>
      <c r="U42" s="45"/>
      <c r="V42" s="45"/>
      <c r="W42" s="45"/>
      <c r="X42" s="45"/>
      <c r="Y42" s="45"/>
      <c r="Z42" s="47" t="str">
        <f t="shared" si="0"/>
        <v>Очікую</v>
      </c>
      <c r="AA42" s="47" t="str">
        <f t="shared" si="1"/>
        <v>Очікую</v>
      </c>
      <c r="AB42" s="34"/>
      <c r="AC42" s="40"/>
    </row>
    <row r="43" spans="1:29" s="11" customFormat="1" ht="15" customHeight="1" x14ac:dyDescent="0.25">
      <c r="A43" s="41"/>
      <c r="B43" s="32"/>
      <c r="C43" s="45"/>
      <c r="D43" s="45">
        <v>34</v>
      </c>
      <c r="E43" s="46"/>
      <c r="F43" s="45"/>
      <c r="G43" s="45"/>
      <c r="H43" s="45"/>
      <c r="I43" s="45"/>
      <c r="J43" s="45"/>
      <c r="K43" s="45"/>
      <c r="L43" s="45"/>
      <c r="M43" s="45"/>
      <c r="N43" s="45"/>
      <c r="O43" s="45"/>
      <c r="P43" s="45"/>
      <c r="Q43" s="45"/>
      <c r="R43" s="45"/>
      <c r="S43" s="45"/>
      <c r="T43" s="45"/>
      <c r="U43" s="45"/>
      <c r="V43" s="45"/>
      <c r="W43" s="45"/>
      <c r="X43" s="45"/>
      <c r="Y43" s="45"/>
      <c r="Z43" s="47" t="str">
        <f t="shared" si="0"/>
        <v>Очікую</v>
      </c>
      <c r="AA43" s="47" t="str">
        <f t="shared" si="1"/>
        <v>Очікую</v>
      </c>
      <c r="AB43" s="34"/>
      <c r="AC43" s="40"/>
    </row>
    <row r="44" spans="1:29" s="11" customFormat="1" ht="15" customHeight="1" x14ac:dyDescent="0.25">
      <c r="A44" s="41"/>
      <c r="B44" s="32"/>
      <c r="C44" s="45"/>
      <c r="D44" s="45">
        <v>35</v>
      </c>
      <c r="E44" s="46"/>
      <c r="F44" s="45"/>
      <c r="G44" s="45"/>
      <c r="H44" s="45"/>
      <c r="I44" s="45"/>
      <c r="J44" s="45"/>
      <c r="K44" s="45"/>
      <c r="L44" s="45"/>
      <c r="M44" s="45"/>
      <c r="N44" s="45"/>
      <c r="O44" s="45"/>
      <c r="P44" s="45"/>
      <c r="Q44" s="45"/>
      <c r="R44" s="45"/>
      <c r="S44" s="45"/>
      <c r="T44" s="45"/>
      <c r="U44" s="45"/>
      <c r="V44" s="45"/>
      <c r="W44" s="45"/>
      <c r="X44" s="45"/>
      <c r="Y44" s="45"/>
      <c r="Z44" s="47" t="str">
        <f t="shared" si="0"/>
        <v>Очікую</v>
      </c>
      <c r="AA44" s="47" t="str">
        <f t="shared" si="1"/>
        <v>Очікую</v>
      </c>
      <c r="AB44" s="34"/>
      <c r="AC44" s="40"/>
    </row>
    <row r="45" spans="1:29" s="11" customFormat="1" ht="15" customHeight="1" x14ac:dyDescent="0.25">
      <c r="A45" s="41"/>
      <c r="B45" s="32"/>
      <c r="C45" s="45"/>
      <c r="D45" s="45">
        <v>36</v>
      </c>
      <c r="E45" s="46"/>
      <c r="F45" s="45"/>
      <c r="G45" s="45"/>
      <c r="H45" s="45"/>
      <c r="I45" s="45"/>
      <c r="J45" s="45"/>
      <c r="K45" s="45"/>
      <c r="L45" s="45"/>
      <c r="M45" s="45"/>
      <c r="N45" s="45"/>
      <c r="O45" s="45"/>
      <c r="P45" s="45"/>
      <c r="Q45" s="45"/>
      <c r="R45" s="45"/>
      <c r="S45" s="45"/>
      <c r="T45" s="45"/>
      <c r="U45" s="45"/>
      <c r="V45" s="45"/>
      <c r="W45" s="45"/>
      <c r="X45" s="45"/>
      <c r="Y45" s="45"/>
      <c r="Z45" s="47" t="str">
        <f t="shared" si="0"/>
        <v>Очікую</v>
      </c>
      <c r="AA45" s="47" t="str">
        <f t="shared" si="1"/>
        <v>Очікую</v>
      </c>
      <c r="AB45" s="34"/>
      <c r="AC45" s="40"/>
    </row>
    <row r="46" spans="1:29" s="11" customFormat="1" ht="15" customHeight="1" x14ac:dyDescent="0.25">
      <c r="A46" s="41"/>
      <c r="B46" s="32"/>
      <c r="C46" s="45"/>
      <c r="D46" s="45">
        <v>37</v>
      </c>
      <c r="E46" s="46"/>
      <c r="F46" s="45"/>
      <c r="G46" s="45"/>
      <c r="H46" s="45"/>
      <c r="I46" s="45"/>
      <c r="J46" s="45"/>
      <c r="K46" s="45"/>
      <c r="L46" s="45"/>
      <c r="M46" s="45"/>
      <c r="N46" s="45"/>
      <c r="O46" s="45"/>
      <c r="P46" s="45"/>
      <c r="Q46" s="45"/>
      <c r="R46" s="45"/>
      <c r="S46" s="45"/>
      <c r="T46" s="45"/>
      <c r="U46" s="45"/>
      <c r="V46" s="45"/>
      <c r="W46" s="45"/>
      <c r="X46" s="45"/>
      <c r="Y46" s="45"/>
      <c r="Z46" s="47" t="str">
        <f t="shared" si="0"/>
        <v>Очікую</v>
      </c>
      <c r="AA46" s="47" t="str">
        <f t="shared" si="1"/>
        <v>Очікую</v>
      </c>
      <c r="AB46" s="34"/>
      <c r="AC46" s="40"/>
    </row>
    <row r="47" spans="1:29" s="11" customFormat="1" ht="15" customHeight="1" x14ac:dyDescent="0.25">
      <c r="A47" s="41"/>
      <c r="B47" s="32"/>
      <c r="C47" s="45"/>
      <c r="D47" s="45">
        <v>38</v>
      </c>
      <c r="E47" s="46"/>
      <c r="F47" s="45"/>
      <c r="G47" s="45"/>
      <c r="H47" s="45"/>
      <c r="I47" s="45"/>
      <c r="J47" s="45"/>
      <c r="K47" s="45"/>
      <c r="L47" s="45"/>
      <c r="M47" s="45"/>
      <c r="N47" s="45"/>
      <c r="O47" s="45"/>
      <c r="P47" s="45"/>
      <c r="Q47" s="45"/>
      <c r="R47" s="45"/>
      <c r="S47" s="45"/>
      <c r="T47" s="45"/>
      <c r="U47" s="45"/>
      <c r="V47" s="45"/>
      <c r="W47" s="45"/>
      <c r="X47" s="45"/>
      <c r="Y47" s="45"/>
      <c r="Z47" s="47" t="str">
        <f t="shared" si="0"/>
        <v>Очікую</v>
      </c>
      <c r="AA47" s="47" t="str">
        <f t="shared" si="1"/>
        <v>Очікую</v>
      </c>
      <c r="AB47" s="34"/>
      <c r="AC47" s="40"/>
    </row>
    <row r="48" spans="1:29" s="11" customFormat="1" ht="15" customHeight="1" x14ac:dyDescent="0.25">
      <c r="A48" s="41"/>
      <c r="B48" s="32"/>
      <c r="C48" s="45"/>
      <c r="D48" s="45">
        <v>39</v>
      </c>
      <c r="E48" s="46"/>
      <c r="F48" s="45"/>
      <c r="G48" s="45"/>
      <c r="H48" s="45"/>
      <c r="I48" s="45"/>
      <c r="J48" s="45"/>
      <c r="K48" s="45"/>
      <c r="L48" s="45"/>
      <c r="M48" s="45"/>
      <c r="N48" s="45"/>
      <c r="O48" s="45"/>
      <c r="P48" s="45"/>
      <c r="Q48" s="45"/>
      <c r="R48" s="45"/>
      <c r="S48" s="45"/>
      <c r="T48" s="45"/>
      <c r="U48" s="45"/>
      <c r="V48" s="45"/>
      <c r="W48" s="45"/>
      <c r="X48" s="45"/>
      <c r="Y48" s="45"/>
      <c r="Z48" s="47" t="str">
        <f t="shared" si="0"/>
        <v>Очікую</v>
      </c>
      <c r="AA48" s="47" t="str">
        <f t="shared" si="1"/>
        <v>Очікую</v>
      </c>
      <c r="AB48" s="34"/>
      <c r="AC48" s="40"/>
    </row>
    <row r="49" spans="1:29" s="11" customFormat="1" ht="15" customHeight="1" x14ac:dyDescent="0.25">
      <c r="A49" s="41"/>
      <c r="B49" s="32"/>
      <c r="C49" s="45"/>
      <c r="D49" s="45">
        <v>40</v>
      </c>
      <c r="E49" s="46"/>
      <c r="F49" s="45"/>
      <c r="G49" s="45"/>
      <c r="H49" s="45"/>
      <c r="I49" s="45"/>
      <c r="J49" s="45"/>
      <c r="K49" s="45"/>
      <c r="L49" s="45"/>
      <c r="M49" s="45"/>
      <c r="N49" s="45"/>
      <c r="O49" s="45"/>
      <c r="P49" s="45"/>
      <c r="Q49" s="45"/>
      <c r="R49" s="45"/>
      <c r="S49" s="45"/>
      <c r="T49" s="45"/>
      <c r="U49" s="45"/>
      <c r="V49" s="45"/>
      <c r="W49" s="45"/>
      <c r="X49" s="45"/>
      <c r="Y49" s="45"/>
      <c r="Z49" s="47" t="str">
        <f t="shared" si="0"/>
        <v>Очікую</v>
      </c>
      <c r="AA49" s="47" t="str">
        <f t="shared" si="1"/>
        <v>Очікую</v>
      </c>
      <c r="AB49" s="34"/>
      <c r="AC49" s="40"/>
    </row>
    <row r="50" spans="1:29" s="11" customFormat="1" ht="15" customHeight="1" x14ac:dyDescent="0.25">
      <c r="A50" s="41"/>
      <c r="B50" s="32"/>
      <c r="C50" s="45"/>
      <c r="D50" s="45">
        <v>41</v>
      </c>
      <c r="E50" s="46"/>
      <c r="F50" s="45"/>
      <c r="G50" s="45"/>
      <c r="H50" s="45"/>
      <c r="I50" s="45"/>
      <c r="J50" s="45"/>
      <c r="K50" s="45"/>
      <c r="L50" s="45"/>
      <c r="M50" s="45"/>
      <c r="N50" s="45"/>
      <c r="O50" s="45"/>
      <c r="P50" s="45"/>
      <c r="Q50" s="45"/>
      <c r="R50" s="45"/>
      <c r="S50" s="45"/>
      <c r="T50" s="45"/>
      <c r="U50" s="45"/>
      <c r="V50" s="45"/>
      <c r="W50" s="45"/>
      <c r="X50" s="45"/>
      <c r="Y50" s="45"/>
      <c r="Z50" s="47" t="str">
        <f t="shared" si="0"/>
        <v>Очікую</v>
      </c>
      <c r="AA50" s="47" t="str">
        <f t="shared" si="1"/>
        <v>Очікую</v>
      </c>
      <c r="AB50" s="34"/>
      <c r="AC50" s="40"/>
    </row>
    <row r="51" spans="1:29" s="11" customFormat="1" ht="15" customHeight="1" x14ac:dyDescent="0.25">
      <c r="A51" s="41"/>
      <c r="B51" s="32"/>
      <c r="C51" s="45"/>
      <c r="D51" s="45">
        <v>42</v>
      </c>
      <c r="E51" s="46"/>
      <c r="F51" s="45"/>
      <c r="G51" s="45"/>
      <c r="H51" s="45"/>
      <c r="I51" s="45"/>
      <c r="J51" s="45"/>
      <c r="K51" s="45"/>
      <c r="L51" s="45"/>
      <c r="M51" s="45"/>
      <c r="N51" s="45"/>
      <c r="O51" s="45"/>
      <c r="P51" s="45"/>
      <c r="Q51" s="45"/>
      <c r="R51" s="45"/>
      <c r="S51" s="45"/>
      <c r="T51" s="45"/>
      <c r="U51" s="45"/>
      <c r="V51" s="45"/>
      <c r="W51" s="45"/>
      <c r="X51" s="45"/>
      <c r="Y51" s="45"/>
      <c r="Z51" s="47" t="str">
        <f t="shared" si="0"/>
        <v>Очікую</v>
      </c>
      <c r="AA51" s="47" t="str">
        <f t="shared" si="1"/>
        <v>Очікую</v>
      </c>
      <c r="AB51" s="34"/>
      <c r="AC51" s="40"/>
    </row>
    <row r="52" spans="1:29" s="11" customFormat="1" ht="15" customHeight="1" x14ac:dyDescent="0.25">
      <c r="A52" s="41"/>
      <c r="B52" s="32"/>
      <c r="C52" s="45"/>
      <c r="D52" s="45">
        <v>43</v>
      </c>
      <c r="E52" s="46"/>
      <c r="F52" s="45"/>
      <c r="G52" s="45"/>
      <c r="H52" s="45"/>
      <c r="I52" s="45"/>
      <c r="J52" s="45"/>
      <c r="K52" s="45"/>
      <c r="L52" s="45"/>
      <c r="M52" s="45"/>
      <c r="N52" s="45"/>
      <c r="O52" s="45"/>
      <c r="P52" s="45"/>
      <c r="Q52" s="45"/>
      <c r="R52" s="45"/>
      <c r="S52" s="45"/>
      <c r="T52" s="45"/>
      <c r="U52" s="45"/>
      <c r="V52" s="45"/>
      <c r="W52" s="45"/>
      <c r="X52" s="45"/>
      <c r="Y52" s="45"/>
      <c r="Z52" s="47" t="str">
        <f t="shared" si="0"/>
        <v>Очікую</v>
      </c>
      <c r="AA52" s="47" t="str">
        <f t="shared" si="1"/>
        <v>Очікую</v>
      </c>
      <c r="AB52" s="34"/>
      <c r="AC52" s="40"/>
    </row>
    <row r="53" spans="1:29" s="11" customFormat="1" ht="15" customHeight="1" x14ac:dyDescent="0.25">
      <c r="A53" s="41"/>
      <c r="B53" s="32"/>
      <c r="C53" s="45"/>
      <c r="D53" s="45">
        <v>44</v>
      </c>
      <c r="E53" s="46"/>
      <c r="F53" s="45"/>
      <c r="G53" s="45"/>
      <c r="H53" s="45"/>
      <c r="I53" s="45"/>
      <c r="J53" s="45"/>
      <c r="K53" s="45"/>
      <c r="L53" s="45"/>
      <c r="M53" s="45"/>
      <c r="N53" s="45"/>
      <c r="O53" s="45"/>
      <c r="P53" s="45"/>
      <c r="Q53" s="45"/>
      <c r="R53" s="45"/>
      <c r="S53" s="45"/>
      <c r="T53" s="45"/>
      <c r="U53" s="45"/>
      <c r="V53" s="45"/>
      <c r="W53" s="45"/>
      <c r="X53" s="45"/>
      <c r="Y53" s="45"/>
      <c r="Z53" s="47" t="str">
        <f t="shared" si="0"/>
        <v>Очікую</v>
      </c>
      <c r="AA53" s="47" t="str">
        <f t="shared" si="1"/>
        <v>Очікую</v>
      </c>
      <c r="AB53" s="34"/>
      <c r="AC53" s="40"/>
    </row>
    <row r="54" spans="1:29" s="11" customFormat="1" ht="15" customHeight="1" x14ac:dyDescent="0.25">
      <c r="A54" s="41"/>
      <c r="B54" s="32"/>
      <c r="C54" s="45"/>
      <c r="D54" s="45">
        <v>45</v>
      </c>
      <c r="E54" s="46"/>
      <c r="F54" s="45"/>
      <c r="G54" s="45"/>
      <c r="H54" s="45"/>
      <c r="I54" s="45"/>
      <c r="J54" s="45"/>
      <c r="K54" s="45"/>
      <c r="L54" s="45"/>
      <c r="M54" s="45"/>
      <c r="N54" s="45"/>
      <c r="O54" s="45"/>
      <c r="P54" s="45"/>
      <c r="Q54" s="45"/>
      <c r="R54" s="45"/>
      <c r="S54" s="45"/>
      <c r="T54" s="45"/>
      <c r="U54" s="45"/>
      <c r="V54" s="45"/>
      <c r="W54" s="45"/>
      <c r="X54" s="45"/>
      <c r="Y54" s="45"/>
      <c r="Z54" s="47" t="str">
        <f t="shared" si="0"/>
        <v>Очікую</v>
      </c>
      <c r="AA54" s="47" t="str">
        <f t="shared" si="1"/>
        <v>Очікую</v>
      </c>
      <c r="AB54" s="34"/>
      <c r="AC54" s="40"/>
    </row>
    <row r="55" spans="1:29" s="11" customFormat="1" ht="15" customHeight="1" x14ac:dyDescent="0.25">
      <c r="A55" s="41"/>
      <c r="B55" s="32"/>
      <c r="C55" s="45"/>
      <c r="D55" s="45">
        <v>46</v>
      </c>
      <c r="E55" s="46"/>
      <c r="F55" s="45"/>
      <c r="G55" s="45"/>
      <c r="H55" s="45"/>
      <c r="I55" s="45"/>
      <c r="J55" s="45"/>
      <c r="K55" s="45"/>
      <c r="L55" s="45"/>
      <c r="M55" s="45"/>
      <c r="N55" s="45"/>
      <c r="O55" s="45"/>
      <c r="P55" s="45"/>
      <c r="Q55" s="45"/>
      <c r="R55" s="45"/>
      <c r="S55" s="45"/>
      <c r="T55" s="45"/>
      <c r="U55" s="45"/>
      <c r="V55" s="45"/>
      <c r="W55" s="45"/>
      <c r="X55" s="45"/>
      <c r="Y55" s="45"/>
      <c r="Z55" s="47" t="str">
        <f t="shared" si="0"/>
        <v>Очікую</v>
      </c>
      <c r="AA55" s="47" t="str">
        <f t="shared" si="1"/>
        <v>Очікую</v>
      </c>
      <c r="AB55" s="34"/>
      <c r="AC55" s="40"/>
    </row>
    <row r="56" spans="1:29" s="11" customFormat="1" ht="15" customHeight="1" x14ac:dyDescent="0.25">
      <c r="A56" s="41"/>
      <c r="B56" s="32"/>
      <c r="C56" s="45"/>
      <c r="D56" s="45">
        <v>47</v>
      </c>
      <c r="E56" s="46"/>
      <c r="F56" s="45"/>
      <c r="G56" s="45"/>
      <c r="H56" s="45"/>
      <c r="I56" s="45"/>
      <c r="J56" s="45"/>
      <c r="K56" s="45"/>
      <c r="L56" s="45"/>
      <c r="M56" s="45"/>
      <c r="N56" s="45"/>
      <c r="O56" s="45"/>
      <c r="P56" s="45"/>
      <c r="Q56" s="45"/>
      <c r="R56" s="45"/>
      <c r="S56" s="45"/>
      <c r="T56" s="45"/>
      <c r="U56" s="45"/>
      <c r="V56" s="45"/>
      <c r="W56" s="45"/>
      <c r="X56" s="45"/>
      <c r="Y56" s="45"/>
      <c r="Z56" s="47" t="str">
        <f t="shared" si="0"/>
        <v>Очікую</v>
      </c>
      <c r="AA56" s="47" t="str">
        <f t="shared" si="1"/>
        <v>Очікую</v>
      </c>
      <c r="AB56" s="34"/>
      <c r="AC56" s="40"/>
    </row>
    <row r="57" spans="1:29" s="11" customFormat="1" ht="15" customHeight="1" x14ac:dyDescent="0.25">
      <c r="A57" s="41"/>
      <c r="B57" s="32"/>
      <c r="C57" s="45"/>
      <c r="D57" s="45">
        <v>48</v>
      </c>
      <c r="E57" s="46"/>
      <c r="F57" s="45"/>
      <c r="G57" s="45"/>
      <c r="H57" s="45"/>
      <c r="I57" s="45"/>
      <c r="J57" s="45"/>
      <c r="K57" s="45"/>
      <c r="L57" s="45"/>
      <c r="M57" s="45"/>
      <c r="N57" s="45"/>
      <c r="O57" s="45"/>
      <c r="P57" s="45"/>
      <c r="Q57" s="45"/>
      <c r="R57" s="45"/>
      <c r="S57" s="45"/>
      <c r="T57" s="45"/>
      <c r="U57" s="45"/>
      <c r="V57" s="45"/>
      <c r="W57" s="45"/>
      <c r="X57" s="45"/>
      <c r="Y57" s="45"/>
      <c r="Z57" s="47" t="str">
        <f t="shared" si="0"/>
        <v>Очікую</v>
      </c>
      <c r="AA57" s="47" t="str">
        <f t="shared" si="1"/>
        <v>Очікую</v>
      </c>
      <c r="AB57" s="34"/>
      <c r="AC57" s="40"/>
    </row>
    <row r="58" spans="1:29" s="11" customFormat="1" ht="15" customHeight="1" x14ac:dyDescent="0.25">
      <c r="A58" s="41"/>
      <c r="B58" s="32"/>
      <c r="C58" s="45"/>
      <c r="D58" s="45">
        <v>49</v>
      </c>
      <c r="E58" s="46"/>
      <c r="F58" s="45"/>
      <c r="G58" s="45"/>
      <c r="H58" s="45"/>
      <c r="I58" s="45"/>
      <c r="J58" s="45"/>
      <c r="K58" s="45"/>
      <c r="L58" s="45"/>
      <c r="M58" s="45"/>
      <c r="N58" s="45"/>
      <c r="O58" s="45"/>
      <c r="P58" s="45"/>
      <c r="Q58" s="45"/>
      <c r="R58" s="45"/>
      <c r="S58" s="45"/>
      <c r="T58" s="45"/>
      <c r="U58" s="45"/>
      <c r="V58" s="45"/>
      <c r="W58" s="45"/>
      <c r="X58" s="45"/>
      <c r="Y58" s="45"/>
      <c r="Z58" s="47" t="str">
        <f t="shared" si="0"/>
        <v>Очікую</v>
      </c>
      <c r="AA58" s="47" t="str">
        <f t="shared" si="1"/>
        <v>Очікую</v>
      </c>
      <c r="AB58" s="34"/>
      <c r="AC58" s="40"/>
    </row>
    <row r="59" spans="1:29" s="11" customFormat="1" ht="15" customHeight="1" x14ac:dyDescent="0.25">
      <c r="A59" s="41"/>
      <c r="B59" s="32"/>
      <c r="C59" s="45"/>
      <c r="D59" s="45">
        <v>50</v>
      </c>
      <c r="E59" s="46"/>
      <c r="F59" s="45"/>
      <c r="G59" s="45"/>
      <c r="H59" s="45"/>
      <c r="I59" s="45"/>
      <c r="J59" s="45"/>
      <c r="K59" s="45"/>
      <c r="L59" s="45"/>
      <c r="M59" s="45"/>
      <c r="N59" s="45"/>
      <c r="O59" s="45"/>
      <c r="P59" s="45"/>
      <c r="Q59" s="45"/>
      <c r="R59" s="45"/>
      <c r="S59" s="45"/>
      <c r="T59" s="45"/>
      <c r="U59" s="45"/>
      <c r="V59" s="45"/>
      <c r="W59" s="45"/>
      <c r="X59" s="45"/>
      <c r="Y59" s="45"/>
      <c r="Z59" s="47" t="str">
        <f t="shared" si="0"/>
        <v>Очікую</v>
      </c>
      <c r="AA59" s="47" t="str">
        <f t="shared" si="1"/>
        <v>Очікую</v>
      </c>
      <c r="AB59" s="34"/>
      <c r="AC59" s="40"/>
    </row>
    <row r="60" spans="1:29" s="11" customFormat="1" ht="15" customHeight="1" x14ac:dyDescent="0.25">
      <c r="A60" s="41"/>
      <c r="B60" s="32"/>
      <c r="C60" s="45"/>
      <c r="D60" s="45">
        <v>51</v>
      </c>
      <c r="E60" s="46"/>
      <c r="F60" s="45"/>
      <c r="G60" s="45"/>
      <c r="H60" s="45"/>
      <c r="I60" s="45"/>
      <c r="J60" s="45"/>
      <c r="K60" s="45"/>
      <c r="L60" s="45"/>
      <c r="M60" s="45"/>
      <c r="N60" s="45"/>
      <c r="O60" s="45"/>
      <c r="P60" s="45"/>
      <c r="Q60" s="45"/>
      <c r="R60" s="45"/>
      <c r="S60" s="45"/>
      <c r="T60" s="45"/>
      <c r="U60" s="45"/>
      <c r="V60" s="45"/>
      <c r="W60" s="45"/>
      <c r="X60" s="45"/>
      <c r="Y60" s="45"/>
      <c r="Z60" s="47" t="str">
        <f t="shared" si="0"/>
        <v>Очікую</v>
      </c>
      <c r="AA60" s="47" t="str">
        <f t="shared" si="1"/>
        <v>Очікую</v>
      </c>
      <c r="AB60" s="34"/>
      <c r="AC60" s="40"/>
    </row>
    <row r="61" spans="1:29" s="11" customFormat="1" ht="15" customHeight="1" x14ac:dyDescent="0.25">
      <c r="A61" s="41"/>
      <c r="B61" s="32"/>
      <c r="C61" s="45"/>
      <c r="D61" s="45">
        <v>52</v>
      </c>
      <c r="E61" s="46"/>
      <c r="F61" s="45"/>
      <c r="G61" s="45"/>
      <c r="H61" s="45"/>
      <c r="I61" s="45"/>
      <c r="J61" s="45"/>
      <c r="K61" s="45"/>
      <c r="L61" s="45"/>
      <c r="M61" s="45"/>
      <c r="N61" s="45"/>
      <c r="O61" s="45"/>
      <c r="P61" s="45"/>
      <c r="Q61" s="45"/>
      <c r="R61" s="45"/>
      <c r="S61" s="45"/>
      <c r="T61" s="45"/>
      <c r="U61" s="45"/>
      <c r="V61" s="45"/>
      <c r="W61" s="45"/>
      <c r="X61" s="45"/>
      <c r="Y61" s="45"/>
      <c r="Z61" s="47" t="str">
        <f t="shared" si="0"/>
        <v>Очікую</v>
      </c>
      <c r="AA61" s="47" t="str">
        <f t="shared" si="1"/>
        <v>Очікую</v>
      </c>
      <c r="AB61" s="34"/>
      <c r="AC61" s="40"/>
    </row>
    <row r="62" spans="1:29" s="11" customFormat="1" ht="15" customHeight="1" x14ac:dyDescent="0.25">
      <c r="A62" s="41"/>
      <c r="B62" s="32"/>
      <c r="C62" s="45"/>
      <c r="D62" s="45">
        <v>53</v>
      </c>
      <c r="E62" s="46"/>
      <c r="F62" s="45"/>
      <c r="G62" s="45"/>
      <c r="H62" s="45"/>
      <c r="I62" s="45"/>
      <c r="J62" s="45"/>
      <c r="K62" s="45"/>
      <c r="L62" s="45"/>
      <c r="M62" s="45"/>
      <c r="N62" s="45"/>
      <c r="O62" s="45"/>
      <c r="P62" s="45"/>
      <c r="Q62" s="45"/>
      <c r="R62" s="45"/>
      <c r="S62" s="45"/>
      <c r="T62" s="45"/>
      <c r="U62" s="45"/>
      <c r="V62" s="45"/>
      <c r="W62" s="45"/>
      <c r="X62" s="45"/>
      <c r="Y62" s="45"/>
      <c r="Z62" s="47" t="str">
        <f t="shared" si="0"/>
        <v>Очікую</v>
      </c>
      <c r="AA62" s="47" t="str">
        <f t="shared" si="1"/>
        <v>Очікую</v>
      </c>
      <c r="AB62" s="34"/>
      <c r="AC62" s="40"/>
    </row>
    <row r="63" spans="1:29" s="11" customFormat="1" ht="15" customHeight="1" x14ac:dyDescent="0.25">
      <c r="A63" s="41"/>
      <c r="B63" s="32"/>
      <c r="C63" s="45"/>
      <c r="D63" s="45">
        <v>54</v>
      </c>
      <c r="E63" s="46"/>
      <c r="F63" s="45"/>
      <c r="G63" s="45"/>
      <c r="H63" s="45"/>
      <c r="I63" s="45"/>
      <c r="J63" s="45"/>
      <c r="K63" s="45"/>
      <c r="L63" s="45"/>
      <c r="M63" s="45"/>
      <c r="N63" s="45"/>
      <c r="O63" s="45"/>
      <c r="P63" s="45"/>
      <c r="Q63" s="45"/>
      <c r="R63" s="45"/>
      <c r="S63" s="45"/>
      <c r="T63" s="45"/>
      <c r="U63" s="45"/>
      <c r="V63" s="45"/>
      <c r="W63" s="45"/>
      <c r="X63" s="45"/>
      <c r="Y63" s="45"/>
      <c r="Z63" s="47" t="str">
        <f t="shared" si="0"/>
        <v>Очікую</v>
      </c>
      <c r="AA63" s="47" t="str">
        <f t="shared" si="1"/>
        <v>Очікую</v>
      </c>
      <c r="AB63" s="34"/>
      <c r="AC63" s="40"/>
    </row>
    <row r="64" spans="1:29" s="11" customFormat="1" ht="15" customHeight="1" x14ac:dyDescent="0.25">
      <c r="A64" s="41"/>
      <c r="B64" s="32"/>
      <c r="C64" s="45"/>
      <c r="D64" s="45">
        <v>55</v>
      </c>
      <c r="E64" s="46"/>
      <c r="F64" s="45"/>
      <c r="G64" s="45"/>
      <c r="H64" s="45"/>
      <c r="I64" s="45"/>
      <c r="J64" s="45"/>
      <c r="K64" s="45"/>
      <c r="L64" s="45"/>
      <c r="M64" s="45"/>
      <c r="N64" s="45"/>
      <c r="O64" s="45"/>
      <c r="P64" s="45"/>
      <c r="Q64" s="45"/>
      <c r="R64" s="45"/>
      <c r="S64" s="45"/>
      <c r="T64" s="45"/>
      <c r="U64" s="45"/>
      <c r="V64" s="45"/>
      <c r="W64" s="45"/>
      <c r="X64" s="45"/>
      <c r="Y64" s="45"/>
      <c r="Z64" s="47" t="str">
        <f t="shared" si="0"/>
        <v>Очікую</v>
      </c>
      <c r="AA64" s="47" t="str">
        <f t="shared" si="1"/>
        <v>Очікую</v>
      </c>
      <c r="AB64" s="34"/>
      <c r="AC64" s="40"/>
    </row>
    <row r="65" spans="1:29" s="11" customFormat="1" ht="15" customHeight="1" x14ac:dyDescent="0.25">
      <c r="A65" s="41"/>
      <c r="B65" s="32"/>
      <c r="C65" s="45"/>
      <c r="D65" s="45">
        <v>56</v>
      </c>
      <c r="E65" s="46"/>
      <c r="F65" s="45"/>
      <c r="G65" s="45"/>
      <c r="H65" s="45"/>
      <c r="I65" s="45"/>
      <c r="J65" s="45"/>
      <c r="K65" s="45"/>
      <c r="L65" s="45"/>
      <c r="M65" s="45"/>
      <c r="N65" s="45"/>
      <c r="O65" s="45"/>
      <c r="P65" s="45"/>
      <c r="Q65" s="45"/>
      <c r="R65" s="45"/>
      <c r="S65" s="45"/>
      <c r="T65" s="45"/>
      <c r="U65" s="45"/>
      <c r="V65" s="45"/>
      <c r="W65" s="45"/>
      <c r="X65" s="45"/>
      <c r="Y65" s="45"/>
      <c r="Z65" s="47" t="str">
        <f t="shared" si="0"/>
        <v>Очікую</v>
      </c>
      <c r="AA65" s="47" t="str">
        <f t="shared" si="1"/>
        <v>Очікую</v>
      </c>
      <c r="AB65" s="34"/>
      <c r="AC65" s="40"/>
    </row>
    <row r="66" spans="1:29" s="11" customFormat="1" ht="15" customHeight="1" x14ac:dyDescent="0.25">
      <c r="A66" s="41"/>
      <c r="B66" s="32"/>
      <c r="C66" s="45"/>
      <c r="D66" s="45">
        <v>57</v>
      </c>
      <c r="E66" s="46"/>
      <c r="F66" s="45"/>
      <c r="G66" s="45"/>
      <c r="H66" s="45"/>
      <c r="I66" s="45"/>
      <c r="J66" s="45"/>
      <c r="K66" s="45"/>
      <c r="L66" s="45"/>
      <c r="M66" s="45"/>
      <c r="N66" s="45"/>
      <c r="O66" s="45"/>
      <c r="P66" s="45"/>
      <c r="Q66" s="45"/>
      <c r="R66" s="45"/>
      <c r="S66" s="45"/>
      <c r="T66" s="45"/>
      <c r="U66" s="45"/>
      <c r="V66" s="45"/>
      <c r="W66" s="45"/>
      <c r="X66" s="45"/>
      <c r="Y66" s="45"/>
      <c r="Z66" s="47" t="str">
        <f t="shared" si="0"/>
        <v>Очікую</v>
      </c>
      <c r="AA66" s="47" t="str">
        <f t="shared" si="1"/>
        <v>Очікую</v>
      </c>
      <c r="AB66" s="34"/>
      <c r="AC66" s="40"/>
    </row>
    <row r="67" spans="1:29" s="11" customFormat="1" ht="15" customHeight="1" x14ac:dyDescent="0.25">
      <c r="A67" s="41"/>
      <c r="B67" s="32"/>
      <c r="C67" s="45"/>
      <c r="D67" s="45">
        <v>58</v>
      </c>
      <c r="E67" s="46"/>
      <c r="F67" s="45"/>
      <c r="G67" s="45"/>
      <c r="H67" s="45"/>
      <c r="I67" s="45"/>
      <c r="J67" s="45"/>
      <c r="K67" s="45"/>
      <c r="L67" s="45"/>
      <c r="M67" s="45"/>
      <c r="N67" s="45"/>
      <c r="O67" s="45"/>
      <c r="P67" s="45"/>
      <c r="Q67" s="45"/>
      <c r="R67" s="45"/>
      <c r="S67" s="45"/>
      <c r="T67" s="45"/>
      <c r="U67" s="45"/>
      <c r="V67" s="45"/>
      <c r="W67" s="45"/>
      <c r="X67" s="45"/>
      <c r="Y67" s="45"/>
      <c r="Z67" s="47" t="str">
        <f t="shared" si="0"/>
        <v>Очікую</v>
      </c>
      <c r="AA67" s="47" t="str">
        <f t="shared" si="1"/>
        <v>Очікую</v>
      </c>
      <c r="AB67" s="34"/>
      <c r="AC67" s="40"/>
    </row>
    <row r="68" spans="1:29" s="11" customFormat="1" ht="15" customHeight="1" x14ac:dyDescent="0.25">
      <c r="A68" s="41"/>
      <c r="B68" s="32"/>
      <c r="C68" s="45"/>
      <c r="D68" s="45">
        <v>59</v>
      </c>
      <c r="E68" s="46"/>
      <c r="F68" s="45"/>
      <c r="G68" s="45"/>
      <c r="H68" s="45"/>
      <c r="I68" s="45"/>
      <c r="J68" s="45"/>
      <c r="K68" s="45"/>
      <c r="L68" s="45"/>
      <c r="M68" s="45"/>
      <c r="N68" s="45"/>
      <c r="O68" s="45"/>
      <c r="P68" s="45"/>
      <c r="Q68" s="45"/>
      <c r="R68" s="45"/>
      <c r="S68" s="45"/>
      <c r="T68" s="45"/>
      <c r="U68" s="45"/>
      <c r="V68" s="45"/>
      <c r="W68" s="45"/>
      <c r="X68" s="45"/>
      <c r="Y68" s="45"/>
      <c r="Z68" s="47" t="str">
        <f t="shared" si="0"/>
        <v>Очікую</v>
      </c>
      <c r="AA68" s="47" t="str">
        <f t="shared" si="1"/>
        <v>Очікую</v>
      </c>
      <c r="AB68" s="34"/>
      <c r="AC68" s="40"/>
    </row>
    <row r="69" spans="1:29" s="11" customFormat="1" ht="15" customHeight="1" x14ac:dyDescent="0.25">
      <c r="A69" s="41"/>
      <c r="B69" s="32"/>
      <c r="C69" s="45"/>
      <c r="D69" s="45">
        <v>60</v>
      </c>
      <c r="E69" s="46"/>
      <c r="F69" s="45"/>
      <c r="G69" s="45"/>
      <c r="H69" s="45"/>
      <c r="I69" s="45"/>
      <c r="J69" s="45"/>
      <c r="K69" s="45"/>
      <c r="L69" s="45"/>
      <c r="M69" s="45"/>
      <c r="N69" s="45"/>
      <c r="O69" s="45"/>
      <c r="P69" s="45"/>
      <c r="Q69" s="45"/>
      <c r="R69" s="45"/>
      <c r="S69" s="45"/>
      <c r="T69" s="45"/>
      <c r="U69" s="45"/>
      <c r="V69" s="45"/>
      <c r="W69" s="45"/>
      <c r="X69" s="45"/>
      <c r="Y69" s="45"/>
      <c r="Z69" s="47" t="str">
        <f t="shared" si="0"/>
        <v>Очікую</v>
      </c>
      <c r="AA69" s="47" t="str">
        <f t="shared" si="1"/>
        <v>Очікую</v>
      </c>
      <c r="AB69" s="34"/>
      <c r="AC69" s="40"/>
    </row>
    <row r="70" spans="1:29" s="11" customFormat="1" ht="15" customHeight="1" x14ac:dyDescent="0.25">
      <c r="A70" s="41"/>
      <c r="B70" s="32"/>
      <c r="C70" s="45"/>
      <c r="D70" s="45">
        <v>61</v>
      </c>
      <c r="E70" s="46"/>
      <c r="F70" s="45"/>
      <c r="G70" s="45"/>
      <c r="H70" s="45"/>
      <c r="I70" s="45"/>
      <c r="J70" s="45"/>
      <c r="K70" s="45"/>
      <c r="L70" s="45"/>
      <c r="M70" s="45"/>
      <c r="N70" s="45"/>
      <c r="O70" s="45"/>
      <c r="P70" s="45"/>
      <c r="Q70" s="45"/>
      <c r="R70" s="45"/>
      <c r="S70" s="45"/>
      <c r="T70" s="45"/>
      <c r="U70" s="45"/>
      <c r="V70" s="45"/>
      <c r="W70" s="45"/>
      <c r="X70" s="45"/>
      <c r="Y70" s="45"/>
      <c r="Z70" s="47" t="str">
        <f t="shared" si="0"/>
        <v>Очікую</v>
      </c>
      <c r="AA70" s="47" t="str">
        <f t="shared" si="1"/>
        <v>Очікую</v>
      </c>
      <c r="AB70" s="34"/>
      <c r="AC70" s="40"/>
    </row>
    <row r="71" spans="1:29" s="11" customFormat="1" ht="15" customHeight="1" x14ac:dyDescent="0.25">
      <c r="A71" s="41"/>
      <c r="B71" s="32"/>
      <c r="C71" s="45"/>
      <c r="D71" s="45">
        <v>62</v>
      </c>
      <c r="E71" s="46"/>
      <c r="F71" s="45"/>
      <c r="G71" s="45"/>
      <c r="H71" s="45"/>
      <c r="I71" s="45"/>
      <c r="J71" s="45"/>
      <c r="K71" s="45"/>
      <c r="L71" s="45"/>
      <c r="M71" s="45"/>
      <c r="N71" s="45"/>
      <c r="O71" s="45"/>
      <c r="P71" s="45"/>
      <c r="Q71" s="45"/>
      <c r="R71" s="45"/>
      <c r="S71" s="45"/>
      <c r="T71" s="45"/>
      <c r="U71" s="45"/>
      <c r="V71" s="45"/>
      <c r="W71" s="45"/>
      <c r="X71" s="45"/>
      <c r="Y71" s="45"/>
      <c r="Z71" s="47" t="str">
        <f t="shared" si="0"/>
        <v>Очікую</v>
      </c>
      <c r="AA71" s="47" t="str">
        <f t="shared" si="1"/>
        <v>Очікую</v>
      </c>
      <c r="AB71" s="34"/>
      <c r="AC71" s="40"/>
    </row>
    <row r="72" spans="1:29" s="11" customFormat="1" ht="15" customHeight="1" x14ac:dyDescent="0.25">
      <c r="A72" s="41"/>
      <c r="B72" s="32"/>
      <c r="C72" s="45"/>
      <c r="D72" s="45">
        <v>63</v>
      </c>
      <c r="E72" s="46"/>
      <c r="F72" s="45"/>
      <c r="G72" s="45"/>
      <c r="H72" s="45"/>
      <c r="I72" s="45"/>
      <c r="J72" s="45"/>
      <c r="K72" s="45"/>
      <c r="L72" s="45"/>
      <c r="M72" s="45"/>
      <c r="N72" s="45"/>
      <c r="O72" s="45"/>
      <c r="P72" s="45"/>
      <c r="Q72" s="45"/>
      <c r="R72" s="45"/>
      <c r="S72" s="45"/>
      <c r="T72" s="45"/>
      <c r="U72" s="45"/>
      <c r="V72" s="45"/>
      <c r="W72" s="45"/>
      <c r="X72" s="45"/>
      <c r="Y72" s="45"/>
      <c r="Z72" s="47" t="str">
        <f t="shared" si="0"/>
        <v>Очікую</v>
      </c>
      <c r="AA72" s="47" t="str">
        <f t="shared" si="1"/>
        <v>Очікую</v>
      </c>
      <c r="AB72" s="34"/>
      <c r="AC72" s="40"/>
    </row>
    <row r="73" spans="1:29" s="11" customFormat="1" ht="15" customHeight="1" x14ac:dyDescent="0.25">
      <c r="A73" s="41"/>
      <c r="B73" s="32"/>
      <c r="C73" s="45"/>
      <c r="D73" s="45">
        <v>64</v>
      </c>
      <c r="E73" s="46"/>
      <c r="F73" s="45"/>
      <c r="G73" s="45"/>
      <c r="H73" s="45"/>
      <c r="I73" s="45"/>
      <c r="J73" s="45"/>
      <c r="K73" s="45"/>
      <c r="L73" s="45"/>
      <c r="M73" s="45"/>
      <c r="N73" s="45"/>
      <c r="O73" s="45"/>
      <c r="P73" s="45"/>
      <c r="Q73" s="45"/>
      <c r="R73" s="45"/>
      <c r="S73" s="45"/>
      <c r="T73" s="45"/>
      <c r="U73" s="45"/>
      <c r="V73" s="45"/>
      <c r="W73" s="45"/>
      <c r="X73" s="45"/>
      <c r="Y73" s="45"/>
      <c r="Z73" s="47" t="str">
        <f t="shared" si="0"/>
        <v>Очікую</v>
      </c>
      <c r="AA73" s="47" t="str">
        <f t="shared" si="1"/>
        <v>Очікую</v>
      </c>
      <c r="AB73" s="34"/>
      <c r="AC73" s="40"/>
    </row>
    <row r="74" spans="1:29" s="11" customFormat="1" ht="15" customHeight="1" x14ac:dyDescent="0.25">
      <c r="A74" s="41"/>
      <c r="B74" s="32"/>
      <c r="C74" s="45"/>
      <c r="D74" s="45">
        <v>65</v>
      </c>
      <c r="E74" s="46"/>
      <c r="F74" s="45"/>
      <c r="G74" s="45"/>
      <c r="H74" s="45"/>
      <c r="I74" s="45"/>
      <c r="J74" s="45"/>
      <c r="K74" s="45"/>
      <c r="L74" s="45"/>
      <c r="M74" s="45"/>
      <c r="N74" s="45"/>
      <c r="O74" s="45"/>
      <c r="P74" s="45"/>
      <c r="Q74" s="45"/>
      <c r="R74" s="45"/>
      <c r="S74" s="45"/>
      <c r="T74" s="45"/>
      <c r="U74" s="45"/>
      <c r="V74" s="45"/>
      <c r="W74" s="45"/>
      <c r="X74" s="45"/>
      <c r="Y74" s="45"/>
      <c r="Z74" s="47" t="str">
        <f t="shared" si="0"/>
        <v>Очікую</v>
      </c>
      <c r="AA74" s="47" t="str">
        <f t="shared" si="1"/>
        <v>Очікую</v>
      </c>
      <c r="AB74" s="34"/>
      <c r="AC74" s="40"/>
    </row>
    <row r="75" spans="1:29" s="11" customFormat="1" ht="15" customHeight="1" x14ac:dyDescent="0.25">
      <c r="A75" s="41"/>
      <c r="B75" s="32"/>
      <c r="C75" s="45"/>
      <c r="D75" s="45">
        <v>66</v>
      </c>
      <c r="E75" s="46"/>
      <c r="F75" s="45"/>
      <c r="G75" s="45"/>
      <c r="H75" s="45"/>
      <c r="I75" s="45"/>
      <c r="J75" s="45"/>
      <c r="K75" s="45"/>
      <c r="L75" s="45"/>
      <c r="M75" s="45"/>
      <c r="N75" s="45"/>
      <c r="O75" s="45"/>
      <c r="P75" s="45"/>
      <c r="Q75" s="45"/>
      <c r="R75" s="45"/>
      <c r="S75" s="45"/>
      <c r="T75" s="45"/>
      <c r="U75" s="45"/>
      <c r="V75" s="45"/>
      <c r="W75" s="45"/>
      <c r="X75" s="45"/>
      <c r="Y75" s="45"/>
      <c r="Z75" s="47" t="str">
        <f t="shared" ref="Z75:Z109" si="2">IF(COUNTIF(F75:Y75,"=*")&gt;0,IF($C75="К","-"," - "),IF(COUNTIF(F75:Y75,"&lt;4")&gt;0,IF(C75="К","-"," - "),(IFERROR(AVERAGE(F75:Y75),"Очікую"))))</f>
        <v>Очікую</v>
      </c>
      <c r="AA75" s="47" t="str">
        <f t="shared" ref="AA75:AA109" si="3">IFERROR(Z75/12*90,"Очікую")</f>
        <v>Очікую</v>
      </c>
      <c r="AB75" s="34"/>
      <c r="AC75" s="40"/>
    </row>
    <row r="76" spans="1:29" s="11" customFormat="1" ht="15" customHeight="1" x14ac:dyDescent="0.25">
      <c r="A76" s="41"/>
      <c r="B76" s="32"/>
      <c r="C76" s="45"/>
      <c r="D76" s="45">
        <v>67</v>
      </c>
      <c r="E76" s="46"/>
      <c r="F76" s="45"/>
      <c r="G76" s="45"/>
      <c r="H76" s="45"/>
      <c r="I76" s="45"/>
      <c r="J76" s="45"/>
      <c r="K76" s="45"/>
      <c r="L76" s="45"/>
      <c r="M76" s="45"/>
      <c r="N76" s="45"/>
      <c r="O76" s="45"/>
      <c r="P76" s="45"/>
      <c r="Q76" s="45"/>
      <c r="R76" s="45"/>
      <c r="S76" s="45"/>
      <c r="T76" s="45"/>
      <c r="U76" s="45"/>
      <c r="V76" s="45"/>
      <c r="W76" s="45"/>
      <c r="X76" s="45"/>
      <c r="Y76" s="45"/>
      <c r="Z76" s="47" t="str">
        <f t="shared" si="2"/>
        <v>Очікую</v>
      </c>
      <c r="AA76" s="47" t="str">
        <f t="shared" si="3"/>
        <v>Очікую</v>
      </c>
      <c r="AB76" s="34"/>
      <c r="AC76" s="40"/>
    </row>
    <row r="77" spans="1:29" s="11" customFormat="1" ht="15" customHeight="1" x14ac:dyDescent="0.25">
      <c r="A77" s="41"/>
      <c r="B77" s="32"/>
      <c r="C77" s="45"/>
      <c r="D77" s="45">
        <v>68</v>
      </c>
      <c r="E77" s="46"/>
      <c r="F77" s="45"/>
      <c r="G77" s="45"/>
      <c r="H77" s="45"/>
      <c r="I77" s="45"/>
      <c r="J77" s="45"/>
      <c r="K77" s="45"/>
      <c r="L77" s="45"/>
      <c r="M77" s="45"/>
      <c r="N77" s="45"/>
      <c r="O77" s="45"/>
      <c r="P77" s="45"/>
      <c r="Q77" s="45"/>
      <c r="R77" s="45"/>
      <c r="S77" s="45"/>
      <c r="T77" s="45"/>
      <c r="U77" s="45"/>
      <c r="V77" s="45"/>
      <c r="W77" s="45"/>
      <c r="X77" s="45"/>
      <c r="Y77" s="45"/>
      <c r="Z77" s="47" t="str">
        <f t="shared" si="2"/>
        <v>Очікую</v>
      </c>
      <c r="AA77" s="47" t="str">
        <f t="shared" si="3"/>
        <v>Очікую</v>
      </c>
      <c r="AB77" s="34"/>
      <c r="AC77" s="40"/>
    </row>
    <row r="78" spans="1:29" s="11" customFormat="1" ht="15" customHeight="1" x14ac:dyDescent="0.25">
      <c r="A78" s="41"/>
      <c r="B78" s="32"/>
      <c r="C78" s="45"/>
      <c r="D78" s="45">
        <v>69</v>
      </c>
      <c r="E78" s="46"/>
      <c r="F78" s="45"/>
      <c r="G78" s="45"/>
      <c r="H78" s="45"/>
      <c r="I78" s="45"/>
      <c r="J78" s="45"/>
      <c r="K78" s="45"/>
      <c r="L78" s="45"/>
      <c r="M78" s="45"/>
      <c r="N78" s="45"/>
      <c r="O78" s="45"/>
      <c r="P78" s="45"/>
      <c r="Q78" s="45"/>
      <c r="R78" s="45"/>
      <c r="S78" s="45"/>
      <c r="T78" s="45"/>
      <c r="U78" s="45"/>
      <c r="V78" s="45"/>
      <c r="W78" s="45"/>
      <c r="X78" s="45"/>
      <c r="Y78" s="45"/>
      <c r="Z78" s="47" t="str">
        <f t="shared" si="2"/>
        <v>Очікую</v>
      </c>
      <c r="AA78" s="47" t="str">
        <f t="shared" si="3"/>
        <v>Очікую</v>
      </c>
      <c r="AB78" s="34"/>
      <c r="AC78" s="40"/>
    </row>
    <row r="79" spans="1:29" s="11" customFormat="1" ht="15" customHeight="1" x14ac:dyDescent="0.25">
      <c r="A79" s="41"/>
      <c r="B79" s="32"/>
      <c r="C79" s="45"/>
      <c r="D79" s="45">
        <v>70</v>
      </c>
      <c r="E79" s="46"/>
      <c r="F79" s="45"/>
      <c r="G79" s="45"/>
      <c r="H79" s="45"/>
      <c r="I79" s="45"/>
      <c r="J79" s="45"/>
      <c r="K79" s="45"/>
      <c r="L79" s="45"/>
      <c r="M79" s="45"/>
      <c r="N79" s="45"/>
      <c r="O79" s="45"/>
      <c r="P79" s="45"/>
      <c r="Q79" s="45"/>
      <c r="R79" s="45"/>
      <c r="S79" s="45"/>
      <c r="T79" s="45"/>
      <c r="U79" s="45"/>
      <c r="V79" s="45"/>
      <c r="W79" s="45"/>
      <c r="X79" s="45"/>
      <c r="Y79" s="45"/>
      <c r="Z79" s="47" t="str">
        <f t="shared" si="2"/>
        <v>Очікую</v>
      </c>
      <c r="AA79" s="47" t="str">
        <f t="shared" si="3"/>
        <v>Очікую</v>
      </c>
      <c r="AB79" s="34"/>
      <c r="AC79" s="40"/>
    </row>
    <row r="80" spans="1:29" s="11" customFormat="1" ht="15" customHeight="1" x14ac:dyDescent="0.25">
      <c r="A80" s="41"/>
      <c r="B80" s="32"/>
      <c r="C80" s="45"/>
      <c r="D80" s="45">
        <v>71</v>
      </c>
      <c r="E80" s="46"/>
      <c r="F80" s="45"/>
      <c r="G80" s="45"/>
      <c r="H80" s="45"/>
      <c r="I80" s="45"/>
      <c r="J80" s="45"/>
      <c r="K80" s="45"/>
      <c r="L80" s="45"/>
      <c r="M80" s="45"/>
      <c r="N80" s="45"/>
      <c r="O80" s="45"/>
      <c r="P80" s="45"/>
      <c r="Q80" s="45"/>
      <c r="R80" s="45"/>
      <c r="S80" s="45"/>
      <c r="T80" s="45"/>
      <c r="U80" s="45"/>
      <c r="V80" s="45"/>
      <c r="W80" s="45"/>
      <c r="X80" s="45"/>
      <c r="Y80" s="45"/>
      <c r="Z80" s="47" t="str">
        <f t="shared" si="2"/>
        <v>Очікую</v>
      </c>
      <c r="AA80" s="47" t="str">
        <f t="shared" si="3"/>
        <v>Очікую</v>
      </c>
      <c r="AB80" s="34"/>
      <c r="AC80" s="40"/>
    </row>
    <row r="81" spans="1:29" s="11" customFormat="1" ht="15" customHeight="1" x14ac:dyDescent="0.25">
      <c r="A81" s="41"/>
      <c r="B81" s="32"/>
      <c r="C81" s="45"/>
      <c r="D81" s="45">
        <v>72</v>
      </c>
      <c r="E81" s="46"/>
      <c r="F81" s="45"/>
      <c r="G81" s="45"/>
      <c r="H81" s="45"/>
      <c r="I81" s="45"/>
      <c r="J81" s="45"/>
      <c r="K81" s="45"/>
      <c r="L81" s="45"/>
      <c r="M81" s="45"/>
      <c r="N81" s="45"/>
      <c r="O81" s="45"/>
      <c r="P81" s="45"/>
      <c r="Q81" s="45"/>
      <c r="R81" s="45"/>
      <c r="S81" s="45"/>
      <c r="T81" s="45"/>
      <c r="U81" s="45"/>
      <c r="V81" s="45"/>
      <c r="W81" s="45"/>
      <c r="X81" s="45"/>
      <c r="Y81" s="45"/>
      <c r="Z81" s="47" t="str">
        <f t="shared" si="2"/>
        <v>Очікую</v>
      </c>
      <c r="AA81" s="47" t="str">
        <f t="shared" si="3"/>
        <v>Очікую</v>
      </c>
      <c r="AB81" s="34"/>
      <c r="AC81" s="40"/>
    </row>
    <row r="82" spans="1:29" s="11" customFormat="1" ht="15" customHeight="1" x14ac:dyDescent="0.25">
      <c r="A82" s="41"/>
      <c r="B82" s="32"/>
      <c r="C82" s="45"/>
      <c r="D82" s="45">
        <v>73</v>
      </c>
      <c r="E82" s="46"/>
      <c r="F82" s="45"/>
      <c r="G82" s="45"/>
      <c r="H82" s="45"/>
      <c r="I82" s="45"/>
      <c r="J82" s="45"/>
      <c r="K82" s="45"/>
      <c r="L82" s="45"/>
      <c r="M82" s="45"/>
      <c r="N82" s="45"/>
      <c r="O82" s="45"/>
      <c r="P82" s="45"/>
      <c r="Q82" s="45"/>
      <c r="R82" s="45"/>
      <c r="S82" s="45"/>
      <c r="T82" s="45"/>
      <c r="U82" s="45"/>
      <c r="V82" s="45"/>
      <c r="W82" s="45"/>
      <c r="X82" s="45"/>
      <c r="Y82" s="45"/>
      <c r="Z82" s="47" t="str">
        <f t="shared" si="2"/>
        <v>Очікую</v>
      </c>
      <c r="AA82" s="47" t="str">
        <f t="shared" si="3"/>
        <v>Очікую</v>
      </c>
      <c r="AB82" s="34"/>
      <c r="AC82" s="40"/>
    </row>
    <row r="83" spans="1:29" s="11" customFormat="1" ht="15" customHeight="1" x14ac:dyDescent="0.25">
      <c r="A83" s="41"/>
      <c r="B83" s="32"/>
      <c r="C83" s="45"/>
      <c r="D83" s="45">
        <v>74</v>
      </c>
      <c r="E83" s="46"/>
      <c r="F83" s="45"/>
      <c r="G83" s="45"/>
      <c r="H83" s="45"/>
      <c r="I83" s="45"/>
      <c r="J83" s="45"/>
      <c r="K83" s="45"/>
      <c r="L83" s="45"/>
      <c r="M83" s="45"/>
      <c r="N83" s="45"/>
      <c r="O83" s="45"/>
      <c r="P83" s="45"/>
      <c r="Q83" s="45"/>
      <c r="R83" s="45"/>
      <c r="S83" s="45"/>
      <c r="T83" s="45"/>
      <c r="U83" s="45"/>
      <c r="V83" s="45"/>
      <c r="W83" s="45"/>
      <c r="X83" s="45"/>
      <c r="Y83" s="45"/>
      <c r="Z83" s="47" t="str">
        <f t="shared" si="2"/>
        <v>Очікую</v>
      </c>
      <c r="AA83" s="47" t="str">
        <f t="shared" si="3"/>
        <v>Очікую</v>
      </c>
      <c r="AB83" s="34"/>
      <c r="AC83" s="40"/>
    </row>
    <row r="84" spans="1:29" s="11" customFormat="1" ht="15" customHeight="1" x14ac:dyDescent="0.25">
      <c r="A84" s="41"/>
      <c r="B84" s="32"/>
      <c r="C84" s="45"/>
      <c r="D84" s="45">
        <v>75</v>
      </c>
      <c r="E84" s="46"/>
      <c r="F84" s="45"/>
      <c r="G84" s="45"/>
      <c r="H84" s="45"/>
      <c r="I84" s="45"/>
      <c r="J84" s="45"/>
      <c r="K84" s="45"/>
      <c r="L84" s="45"/>
      <c r="M84" s="45"/>
      <c r="N84" s="45"/>
      <c r="O84" s="45"/>
      <c r="P84" s="45"/>
      <c r="Q84" s="45"/>
      <c r="R84" s="45"/>
      <c r="S84" s="45"/>
      <c r="T84" s="45"/>
      <c r="U84" s="45"/>
      <c r="V84" s="45"/>
      <c r="W84" s="45"/>
      <c r="X84" s="45"/>
      <c r="Y84" s="45"/>
      <c r="Z84" s="47" t="str">
        <f t="shared" si="2"/>
        <v>Очікую</v>
      </c>
      <c r="AA84" s="47" t="str">
        <f t="shared" si="3"/>
        <v>Очікую</v>
      </c>
      <c r="AB84" s="34"/>
      <c r="AC84" s="40"/>
    </row>
    <row r="85" spans="1:29" s="11" customFormat="1" ht="15" customHeight="1" x14ac:dyDescent="0.25">
      <c r="A85" s="41"/>
      <c r="B85" s="32"/>
      <c r="C85" s="45"/>
      <c r="D85" s="45">
        <v>76</v>
      </c>
      <c r="E85" s="46"/>
      <c r="F85" s="45"/>
      <c r="G85" s="45"/>
      <c r="H85" s="45"/>
      <c r="I85" s="45"/>
      <c r="J85" s="45"/>
      <c r="K85" s="45"/>
      <c r="L85" s="45"/>
      <c r="M85" s="45"/>
      <c r="N85" s="45"/>
      <c r="O85" s="45"/>
      <c r="P85" s="45"/>
      <c r="Q85" s="45"/>
      <c r="R85" s="45"/>
      <c r="S85" s="45"/>
      <c r="T85" s="45"/>
      <c r="U85" s="45"/>
      <c r="V85" s="45"/>
      <c r="W85" s="45"/>
      <c r="X85" s="45"/>
      <c r="Y85" s="45"/>
      <c r="Z85" s="47" t="str">
        <f t="shared" si="2"/>
        <v>Очікую</v>
      </c>
      <c r="AA85" s="47" t="str">
        <f t="shared" si="3"/>
        <v>Очікую</v>
      </c>
      <c r="AB85" s="34"/>
      <c r="AC85" s="40"/>
    </row>
    <row r="86" spans="1:29" s="11" customFormat="1" ht="15" customHeight="1" x14ac:dyDescent="0.25">
      <c r="A86" s="41"/>
      <c r="B86" s="32"/>
      <c r="C86" s="45"/>
      <c r="D86" s="45">
        <v>77</v>
      </c>
      <c r="E86" s="46"/>
      <c r="F86" s="45"/>
      <c r="G86" s="45"/>
      <c r="H86" s="45"/>
      <c r="I86" s="45"/>
      <c r="J86" s="45"/>
      <c r="K86" s="45"/>
      <c r="L86" s="45"/>
      <c r="M86" s="45"/>
      <c r="N86" s="45"/>
      <c r="O86" s="45"/>
      <c r="P86" s="45"/>
      <c r="Q86" s="45"/>
      <c r="R86" s="45"/>
      <c r="S86" s="45"/>
      <c r="T86" s="45"/>
      <c r="U86" s="45"/>
      <c r="V86" s="45"/>
      <c r="W86" s="45"/>
      <c r="X86" s="45"/>
      <c r="Y86" s="45"/>
      <c r="Z86" s="47" t="str">
        <f t="shared" si="2"/>
        <v>Очікую</v>
      </c>
      <c r="AA86" s="47" t="str">
        <f t="shared" si="3"/>
        <v>Очікую</v>
      </c>
      <c r="AB86" s="34"/>
      <c r="AC86" s="40"/>
    </row>
    <row r="87" spans="1:29" s="11" customFormat="1" ht="15" customHeight="1" x14ac:dyDescent="0.25">
      <c r="A87" s="41"/>
      <c r="B87" s="32"/>
      <c r="C87" s="45"/>
      <c r="D87" s="45">
        <v>78</v>
      </c>
      <c r="E87" s="46"/>
      <c r="F87" s="45"/>
      <c r="G87" s="45"/>
      <c r="H87" s="45"/>
      <c r="I87" s="45"/>
      <c r="J87" s="45"/>
      <c r="K87" s="45"/>
      <c r="L87" s="45"/>
      <c r="M87" s="45"/>
      <c r="N87" s="45"/>
      <c r="O87" s="45"/>
      <c r="P87" s="45"/>
      <c r="Q87" s="45"/>
      <c r="R87" s="45"/>
      <c r="S87" s="45"/>
      <c r="T87" s="45"/>
      <c r="U87" s="45"/>
      <c r="V87" s="45"/>
      <c r="W87" s="45"/>
      <c r="X87" s="45"/>
      <c r="Y87" s="45"/>
      <c r="Z87" s="47" t="str">
        <f t="shared" si="2"/>
        <v>Очікую</v>
      </c>
      <c r="AA87" s="47" t="str">
        <f t="shared" si="3"/>
        <v>Очікую</v>
      </c>
      <c r="AB87" s="34"/>
      <c r="AC87" s="40"/>
    </row>
    <row r="88" spans="1:29" s="11" customFormat="1" ht="15" customHeight="1" x14ac:dyDescent="0.25">
      <c r="A88" s="41"/>
      <c r="B88" s="32"/>
      <c r="C88" s="45"/>
      <c r="D88" s="45">
        <v>79</v>
      </c>
      <c r="E88" s="46"/>
      <c r="F88" s="45"/>
      <c r="G88" s="45"/>
      <c r="H88" s="45"/>
      <c r="I88" s="45"/>
      <c r="J88" s="45"/>
      <c r="K88" s="45"/>
      <c r="L88" s="45"/>
      <c r="M88" s="45"/>
      <c r="N88" s="45"/>
      <c r="O88" s="45"/>
      <c r="P88" s="45"/>
      <c r="Q88" s="45"/>
      <c r="R88" s="45"/>
      <c r="S88" s="45"/>
      <c r="T88" s="45"/>
      <c r="U88" s="45"/>
      <c r="V88" s="45"/>
      <c r="W88" s="45"/>
      <c r="X88" s="45"/>
      <c r="Y88" s="45"/>
      <c r="Z88" s="47" t="str">
        <f t="shared" si="2"/>
        <v>Очікую</v>
      </c>
      <c r="AA88" s="47" t="str">
        <f t="shared" si="3"/>
        <v>Очікую</v>
      </c>
      <c r="AB88" s="34"/>
      <c r="AC88" s="40"/>
    </row>
    <row r="89" spans="1:29" s="11" customFormat="1" ht="15" customHeight="1" x14ac:dyDescent="0.25">
      <c r="A89" s="41"/>
      <c r="B89" s="32"/>
      <c r="C89" s="45"/>
      <c r="D89" s="45">
        <v>80</v>
      </c>
      <c r="E89" s="46"/>
      <c r="F89" s="45"/>
      <c r="G89" s="45"/>
      <c r="H89" s="45"/>
      <c r="I89" s="45"/>
      <c r="J89" s="45"/>
      <c r="K89" s="45"/>
      <c r="L89" s="45"/>
      <c r="M89" s="45"/>
      <c r="N89" s="45"/>
      <c r="O89" s="45"/>
      <c r="P89" s="45"/>
      <c r="Q89" s="45"/>
      <c r="R89" s="45"/>
      <c r="S89" s="45"/>
      <c r="T89" s="45"/>
      <c r="U89" s="45"/>
      <c r="V89" s="45"/>
      <c r="W89" s="45"/>
      <c r="X89" s="45"/>
      <c r="Y89" s="45"/>
      <c r="Z89" s="47" t="str">
        <f t="shared" si="2"/>
        <v>Очікую</v>
      </c>
      <c r="AA89" s="47" t="str">
        <f t="shared" si="3"/>
        <v>Очікую</v>
      </c>
      <c r="AB89" s="34"/>
      <c r="AC89" s="40"/>
    </row>
    <row r="90" spans="1:29" s="11" customFormat="1" ht="15" customHeight="1" x14ac:dyDescent="0.25">
      <c r="A90" s="41"/>
      <c r="B90" s="32"/>
      <c r="C90" s="45"/>
      <c r="D90" s="45">
        <v>81</v>
      </c>
      <c r="E90" s="46"/>
      <c r="F90" s="45"/>
      <c r="G90" s="45"/>
      <c r="H90" s="45"/>
      <c r="I90" s="45"/>
      <c r="J90" s="45"/>
      <c r="K90" s="45"/>
      <c r="L90" s="45"/>
      <c r="M90" s="45"/>
      <c r="N90" s="45"/>
      <c r="O90" s="45"/>
      <c r="P90" s="45"/>
      <c r="Q90" s="45"/>
      <c r="R90" s="45"/>
      <c r="S90" s="45"/>
      <c r="T90" s="45"/>
      <c r="U90" s="45"/>
      <c r="V90" s="45"/>
      <c r="W90" s="45"/>
      <c r="X90" s="45"/>
      <c r="Y90" s="45"/>
      <c r="Z90" s="47" t="str">
        <f t="shared" si="2"/>
        <v>Очікую</v>
      </c>
      <c r="AA90" s="47" t="str">
        <f t="shared" si="3"/>
        <v>Очікую</v>
      </c>
      <c r="AB90" s="34"/>
      <c r="AC90" s="40"/>
    </row>
    <row r="91" spans="1:29" s="11" customFormat="1" ht="15" customHeight="1" x14ac:dyDescent="0.25">
      <c r="A91" s="41"/>
      <c r="B91" s="32"/>
      <c r="C91" s="45"/>
      <c r="D91" s="45">
        <v>82</v>
      </c>
      <c r="E91" s="46"/>
      <c r="F91" s="45"/>
      <c r="G91" s="45"/>
      <c r="H91" s="45"/>
      <c r="I91" s="45"/>
      <c r="J91" s="45"/>
      <c r="K91" s="45"/>
      <c r="L91" s="45"/>
      <c r="M91" s="45"/>
      <c r="N91" s="45"/>
      <c r="O91" s="45"/>
      <c r="P91" s="45"/>
      <c r="Q91" s="45"/>
      <c r="R91" s="45"/>
      <c r="S91" s="45"/>
      <c r="T91" s="45"/>
      <c r="U91" s="45"/>
      <c r="V91" s="45"/>
      <c r="W91" s="45"/>
      <c r="X91" s="45"/>
      <c r="Y91" s="45"/>
      <c r="Z91" s="47" t="str">
        <f t="shared" si="2"/>
        <v>Очікую</v>
      </c>
      <c r="AA91" s="47" t="str">
        <f t="shared" si="3"/>
        <v>Очікую</v>
      </c>
      <c r="AB91" s="34"/>
      <c r="AC91" s="40"/>
    </row>
    <row r="92" spans="1:29" s="11" customFormat="1" ht="15" customHeight="1" x14ac:dyDescent="0.25">
      <c r="A92" s="41"/>
      <c r="B92" s="32"/>
      <c r="C92" s="45"/>
      <c r="D92" s="45">
        <v>83</v>
      </c>
      <c r="E92" s="46"/>
      <c r="F92" s="45"/>
      <c r="G92" s="45"/>
      <c r="H92" s="45"/>
      <c r="I92" s="45"/>
      <c r="J92" s="45"/>
      <c r="K92" s="45"/>
      <c r="L92" s="45"/>
      <c r="M92" s="45"/>
      <c r="N92" s="45"/>
      <c r="O92" s="45"/>
      <c r="P92" s="45"/>
      <c r="Q92" s="45"/>
      <c r="R92" s="45"/>
      <c r="S92" s="45"/>
      <c r="T92" s="45"/>
      <c r="U92" s="45"/>
      <c r="V92" s="45"/>
      <c r="W92" s="45"/>
      <c r="X92" s="45"/>
      <c r="Y92" s="45"/>
      <c r="Z92" s="47" t="str">
        <f t="shared" si="2"/>
        <v>Очікую</v>
      </c>
      <c r="AA92" s="47" t="str">
        <f t="shared" si="3"/>
        <v>Очікую</v>
      </c>
      <c r="AB92" s="34"/>
      <c r="AC92" s="40"/>
    </row>
    <row r="93" spans="1:29" s="11" customFormat="1" ht="15" customHeight="1" x14ac:dyDescent="0.25">
      <c r="A93" s="41"/>
      <c r="B93" s="32"/>
      <c r="C93" s="45"/>
      <c r="D93" s="45">
        <v>84</v>
      </c>
      <c r="E93" s="46"/>
      <c r="F93" s="45"/>
      <c r="G93" s="45"/>
      <c r="H93" s="45"/>
      <c r="I93" s="45"/>
      <c r="J93" s="45"/>
      <c r="K93" s="45"/>
      <c r="L93" s="45"/>
      <c r="M93" s="45"/>
      <c r="N93" s="45"/>
      <c r="O93" s="45"/>
      <c r="P93" s="45"/>
      <c r="Q93" s="45"/>
      <c r="R93" s="45"/>
      <c r="S93" s="45"/>
      <c r="T93" s="45"/>
      <c r="U93" s="45"/>
      <c r="V93" s="45"/>
      <c r="W93" s="45"/>
      <c r="X93" s="45"/>
      <c r="Y93" s="45"/>
      <c r="Z93" s="47" t="str">
        <f t="shared" si="2"/>
        <v>Очікую</v>
      </c>
      <c r="AA93" s="47" t="str">
        <f t="shared" si="3"/>
        <v>Очікую</v>
      </c>
      <c r="AB93" s="34"/>
      <c r="AC93" s="40"/>
    </row>
    <row r="94" spans="1:29" s="11" customFormat="1" ht="15" customHeight="1" x14ac:dyDescent="0.25">
      <c r="A94" s="41"/>
      <c r="B94" s="32"/>
      <c r="C94" s="45"/>
      <c r="D94" s="45">
        <v>85</v>
      </c>
      <c r="E94" s="46"/>
      <c r="F94" s="45"/>
      <c r="G94" s="45"/>
      <c r="H94" s="45"/>
      <c r="I94" s="45"/>
      <c r="J94" s="45"/>
      <c r="K94" s="45"/>
      <c r="L94" s="45"/>
      <c r="M94" s="45"/>
      <c r="N94" s="45"/>
      <c r="O94" s="45"/>
      <c r="P94" s="45"/>
      <c r="Q94" s="45"/>
      <c r="R94" s="45"/>
      <c r="S94" s="45"/>
      <c r="T94" s="45"/>
      <c r="U94" s="45"/>
      <c r="V94" s="45"/>
      <c r="W94" s="45"/>
      <c r="X94" s="45"/>
      <c r="Y94" s="45"/>
      <c r="Z94" s="47" t="str">
        <f t="shared" si="2"/>
        <v>Очікую</v>
      </c>
      <c r="AA94" s="47" t="str">
        <f t="shared" si="3"/>
        <v>Очікую</v>
      </c>
      <c r="AB94" s="34"/>
      <c r="AC94" s="40"/>
    </row>
    <row r="95" spans="1:29" s="11" customFormat="1" ht="15" customHeight="1" x14ac:dyDescent="0.25">
      <c r="A95" s="41"/>
      <c r="B95" s="32"/>
      <c r="C95" s="45"/>
      <c r="D95" s="45">
        <v>86</v>
      </c>
      <c r="E95" s="46"/>
      <c r="F95" s="45"/>
      <c r="G95" s="45"/>
      <c r="H95" s="45"/>
      <c r="I95" s="45"/>
      <c r="J95" s="45"/>
      <c r="K95" s="45"/>
      <c r="L95" s="45"/>
      <c r="M95" s="45"/>
      <c r="N95" s="45"/>
      <c r="O95" s="45"/>
      <c r="P95" s="45"/>
      <c r="Q95" s="45"/>
      <c r="R95" s="45"/>
      <c r="S95" s="45"/>
      <c r="T95" s="45"/>
      <c r="U95" s="45"/>
      <c r="V95" s="45"/>
      <c r="W95" s="45"/>
      <c r="X95" s="45"/>
      <c r="Y95" s="45"/>
      <c r="Z95" s="47" t="str">
        <f t="shared" si="2"/>
        <v>Очікую</v>
      </c>
      <c r="AA95" s="47" t="str">
        <f t="shared" si="3"/>
        <v>Очікую</v>
      </c>
      <c r="AB95" s="34"/>
      <c r="AC95" s="40"/>
    </row>
    <row r="96" spans="1:29" s="11" customFormat="1" ht="15" customHeight="1" x14ac:dyDescent="0.25">
      <c r="A96" s="41"/>
      <c r="B96" s="32"/>
      <c r="C96" s="45"/>
      <c r="D96" s="45">
        <v>87</v>
      </c>
      <c r="E96" s="46"/>
      <c r="F96" s="45"/>
      <c r="G96" s="45"/>
      <c r="H96" s="45"/>
      <c r="I96" s="45"/>
      <c r="J96" s="45"/>
      <c r="K96" s="45"/>
      <c r="L96" s="45"/>
      <c r="M96" s="45"/>
      <c r="N96" s="45"/>
      <c r="O96" s="45"/>
      <c r="P96" s="45"/>
      <c r="Q96" s="45"/>
      <c r="R96" s="45"/>
      <c r="S96" s="45"/>
      <c r="T96" s="45"/>
      <c r="U96" s="45"/>
      <c r="V96" s="45"/>
      <c r="W96" s="45"/>
      <c r="X96" s="45"/>
      <c r="Y96" s="45"/>
      <c r="Z96" s="47" t="str">
        <f t="shared" si="2"/>
        <v>Очікую</v>
      </c>
      <c r="AA96" s="47" t="str">
        <f t="shared" si="3"/>
        <v>Очікую</v>
      </c>
      <c r="AB96" s="34"/>
      <c r="AC96" s="40"/>
    </row>
    <row r="97" spans="1:29" s="11" customFormat="1" ht="15" customHeight="1" x14ac:dyDescent="0.25">
      <c r="A97" s="41"/>
      <c r="B97" s="32"/>
      <c r="C97" s="45"/>
      <c r="D97" s="45">
        <v>88</v>
      </c>
      <c r="E97" s="46"/>
      <c r="F97" s="45"/>
      <c r="G97" s="45"/>
      <c r="H97" s="45"/>
      <c r="I97" s="45"/>
      <c r="J97" s="45"/>
      <c r="K97" s="45"/>
      <c r="L97" s="45"/>
      <c r="M97" s="45"/>
      <c r="N97" s="45"/>
      <c r="O97" s="45"/>
      <c r="P97" s="45"/>
      <c r="Q97" s="45"/>
      <c r="R97" s="45"/>
      <c r="S97" s="45"/>
      <c r="T97" s="45"/>
      <c r="U97" s="45"/>
      <c r="V97" s="45"/>
      <c r="W97" s="45"/>
      <c r="X97" s="45"/>
      <c r="Y97" s="45"/>
      <c r="Z97" s="47" t="str">
        <f t="shared" si="2"/>
        <v>Очікую</v>
      </c>
      <c r="AA97" s="47" t="str">
        <f t="shared" si="3"/>
        <v>Очікую</v>
      </c>
      <c r="AB97" s="34"/>
      <c r="AC97" s="40"/>
    </row>
    <row r="98" spans="1:29" s="11" customFormat="1" ht="15" customHeight="1" x14ac:dyDescent="0.25">
      <c r="A98" s="41"/>
      <c r="B98" s="32"/>
      <c r="C98" s="45"/>
      <c r="D98" s="45">
        <v>89</v>
      </c>
      <c r="E98" s="46"/>
      <c r="F98" s="45"/>
      <c r="G98" s="45"/>
      <c r="H98" s="45"/>
      <c r="I98" s="45"/>
      <c r="J98" s="45"/>
      <c r="K98" s="45"/>
      <c r="L98" s="45"/>
      <c r="M98" s="45"/>
      <c r="N98" s="45"/>
      <c r="O98" s="45"/>
      <c r="P98" s="45"/>
      <c r="Q98" s="45"/>
      <c r="R98" s="45"/>
      <c r="S98" s="45"/>
      <c r="T98" s="45"/>
      <c r="U98" s="45"/>
      <c r="V98" s="45"/>
      <c r="W98" s="45"/>
      <c r="X98" s="45"/>
      <c r="Y98" s="45"/>
      <c r="Z98" s="47" t="str">
        <f t="shared" si="2"/>
        <v>Очікую</v>
      </c>
      <c r="AA98" s="47" t="str">
        <f t="shared" si="3"/>
        <v>Очікую</v>
      </c>
      <c r="AB98" s="34"/>
      <c r="AC98" s="40"/>
    </row>
    <row r="99" spans="1:29" s="11" customFormat="1" ht="15" customHeight="1" x14ac:dyDescent="0.25">
      <c r="A99" s="41"/>
      <c r="B99" s="32"/>
      <c r="C99" s="45"/>
      <c r="D99" s="45">
        <v>90</v>
      </c>
      <c r="E99" s="46"/>
      <c r="F99" s="45"/>
      <c r="G99" s="45"/>
      <c r="H99" s="45"/>
      <c r="I99" s="45"/>
      <c r="J99" s="45"/>
      <c r="K99" s="45"/>
      <c r="L99" s="45"/>
      <c r="M99" s="45"/>
      <c r="N99" s="45"/>
      <c r="O99" s="45"/>
      <c r="P99" s="45"/>
      <c r="Q99" s="45"/>
      <c r="R99" s="45"/>
      <c r="S99" s="45"/>
      <c r="T99" s="45"/>
      <c r="U99" s="45"/>
      <c r="V99" s="45"/>
      <c r="W99" s="45"/>
      <c r="X99" s="45"/>
      <c r="Y99" s="45"/>
      <c r="Z99" s="47" t="str">
        <f t="shared" si="2"/>
        <v>Очікую</v>
      </c>
      <c r="AA99" s="47" t="str">
        <f t="shared" si="3"/>
        <v>Очікую</v>
      </c>
      <c r="AB99" s="34"/>
      <c r="AC99" s="40"/>
    </row>
    <row r="100" spans="1:29" s="11" customFormat="1" ht="15" customHeight="1" x14ac:dyDescent="0.25">
      <c r="A100" s="41"/>
      <c r="B100" s="32"/>
      <c r="C100" s="45"/>
      <c r="D100" s="45">
        <v>91</v>
      </c>
      <c r="E100" s="46"/>
      <c r="F100" s="45"/>
      <c r="G100" s="45"/>
      <c r="H100" s="45"/>
      <c r="I100" s="45"/>
      <c r="J100" s="45"/>
      <c r="K100" s="45"/>
      <c r="L100" s="45"/>
      <c r="M100" s="45"/>
      <c r="N100" s="45"/>
      <c r="O100" s="45"/>
      <c r="P100" s="45"/>
      <c r="Q100" s="45"/>
      <c r="R100" s="45"/>
      <c r="S100" s="45"/>
      <c r="T100" s="45"/>
      <c r="U100" s="45"/>
      <c r="V100" s="45"/>
      <c r="W100" s="45"/>
      <c r="X100" s="45"/>
      <c r="Y100" s="45"/>
      <c r="Z100" s="47" t="str">
        <f t="shared" si="2"/>
        <v>Очікую</v>
      </c>
      <c r="AA100" s="47" t="str">
        <f t="shared" si="3"/>
        <v>Очікую</v>
      </c>
      <c r="AB100" s="34"/>
      <c r="AC100" s="40"/>
    </row>
    <row r="101" spans="1:29" s="11" customFormat="1" ht="15" customHeight="1" x14ac:dyDescent="0.25">
      <c r="A101" s="41"/>
      <c r="B101" s="32"/>
      <c r="C101" s="45"/>
      <c r="D101" s="45">
        <v>92</v>
      </c>
      <c r="E101" s="46"/>
      <c r="F101" s="45"/>
      <c r="G101" s="45"/>
      <c r="H101" s="45"/>
      <c r="I101" s="45"/>
      <c r="J101" s="45"/>
      <c r="K101" s="45"/>
      <c r="L101" s="45"/>
      <c r="M101" s="45"/>
      <c r="N101" s="45"/>
      <c r="O101" s="45"/>
      <c r="P101" s="45"/>
      <c r="Q101" s="45"/>
      <c r="R101" s="45"/>
      <c r="S101" s="45"/>
      <c r="T101" s="45"/>
      <c r="U101" s="45"/>
      <c r="V101" s="45"/>
      <c r="W101" s="45"/>
      <c r="X101" s="45"/>
      <c r="Y101" s="45"/>
      <c r="Z101" s="47" t="str">
        <f t="shared" si="2"/>
        <v>Очікую</v>
      </c>
      <c r="AA101" s="47" t="str">
        <f t="shared" si="3"/>
        <v>Очікую</v>
      </c>
      <c r="AB101" s="34"/>
      <c r="AC101" s="40"/>
    </row>
    <row r="102" spans="1:29" s="11" customFormat="1" ht="15" customHeight="1" x14ac:dyDescent="0.25">
      <c r="A102" s="41"/>
      <c r="B102" s="32"/>
      <c r="C102" s="45"/>
      <c r="D102" s="45">
        <v>93</v>
      </c>
      <c r="E102" s="46"/>
      <c r="F102" s="45"/>
      <c r="G102" s="45"/>
      <c r="H102" s="45"/>
      <c r="I102" s="45"/>
      <c r="J102" s="45"/>
      <c r="K102" s="45"/>
      <c r="L102" s="45"/>
      <c r="M102" s="45"/>
      <c r="N102" s="45"/>
      <c r="O102" s="45"/>
      <c r="P102" s="45"/>
      <c r="Q102" s="45"/>
      <c r="R102" s="45"/>
      <c r="S102" s="45"/>
      <c r="T102" s="45"/>
      <c r="U102" s="45"/>
      <c r="V102" s="45"/>
      <c r="W102" s="45"/>
      <c r="X102" s="45"/>
      <c r="Y102" s="45"/>
      <c r="Z102" s="47" t="str">
        <f t="shared" si="2"/>
        <v>Очікую</v>
      </c>
      <c r="AA102" s="47" t="str">
        <f t="shared" si="3"/>
        <v>Очікую</v>
      </c>
      <c r="AB102" s="34"/>
      <c r="AC102" s="40"/>
    </row>
    <row r="103" spans="1:29" s="11" customFormat="1" ht="15" customHeight="1" x14ac:dyDescent="0.25">
      <c r="A103" s="41"/>
      <c r="B103" s="32"/>
      <c r="C103" s="45"/>
      <c r="D103" s="45">
        <v>94</v>
      </c>
      <c r="E103" s="46"/>
      <c r="F103" s="45"/>
      <c r="G103" s="45"/>
      <c r="H103" s="45"/>
      <c r="I103" s="45"/>
      <c r="J103" s="45"/>
      <c r="K103" s="45"/>
      <c r="L103" s="45"/>
      <c r="M103" s="45"/>
      <c r="N103" s="45"/>
      <c r="O103" s="45"/>
      <c r="P103" s="45"/>
      <c r="Q103" s="45"/>
      <c r="R103" s="45"/>
      <c r="S103" s="45"/>
      <c r="T103" s="45"/>
      <c r="U103" s="45"/>
      <c r="V103" s="45"/>
      <c r="W103" s="45"/>
      <c r="X103" s="45"/>
      <c r="Y103" s="45"/>
      <c r="Z103" s="47" t="str">
        <f t="shared" si="2"/>
        <v>Очікую</v>
      </c>
      <c r="AA103" s="47" t="str">
        <f t="shared" si="3"/>
        <v>Очікую</v>
      </c>
      <c r="AB103" s="34"/>
      <c r="AC103" s="40"/>
    </row>
    <row r="104" spans="1:29" s="11" customFormat="1" ht="15" customHeight="1" x14ac:dyDescent="0.25">
      <c r="A104" s="41"/>
      <c r="B104" s="32"/>
      <c r="C104" s="45"/>
      <c r="D104" s="45">
        <v>95</v>
      </c>
      <c r="E104" s="46"/>
      <c r="F104" s="45"/>
      <c r="G104" s="45"/>
      <c r="H104" s="45"/>
      <c r="I104" s="45"/>
      <c r="J104" s="45"/>
      <c r="K104" s="45"/>
      <c r="L104" s="45"/>
      <c r="M104" s="45"/>
      <c r="N104" s="45"/>
      <c r="O104" s="45"/>
      <c r="P104" s="45"/>
      <c r="Q104" s="45"/>
      <c r="R104" s="45"/>
      <c r="S104" s="45"/>
      <c r="T104" s="45"/>
      <c r="U104" s="45"/>
      <c r="V104" s="45"/>
      <c r="W104" s="45"/>
      <c r="X104" s="45"/>
      <c r="Y104" s="45"/>
      <c r="Z104" s="47" t="str">
        <f t="shared" si="2"/>
        <v>Очікую</v>
      </c>
      <c r="AA104" s="47" t="str">
        <f t="shared" si="3"/>
        <v>Очікую</v>
      </c>
      <c r="AB104" s="34"/>
      <c r="AC104" s="40"/>
    </row>
    <row r="105" spans="1:29" s="11" customFormat="1" ht="15" customHeight="1" x14ac:dyDescent="0.25">
      <c r="A105" s="41"/>
      <c r="B105" s="32"/>
      <c r="C105" s="45"/>
      <c r="D105" s="45">
        <v>96</v>
      </c>
      <c r="E105" s="46"/>
      <c r="F105" s="45"/>
      <c r="G105" s="45"/>
      <c r="H105" s="45"/>
      <c r="I105" s="45"/>
      <c r="J105" s="45"/>
      <c r="K105" s="45"/>
      <c r="L105" s="45"/>
      <c r="M105" s="45"/>
      <c r="N105" s="45"/>
      <c r="O105" s="45"/>
      <c r="P105" s="45"/>
      <c r="Q105" s="45"/>
      <c r="R105" s="45"/>
      <c r="S105" s="45"/>
      <c r="T105" s="45"/>
      <c r="U105" s="45"/>
      <c r="V105" s="45"/>
      <c r="W105" s="45"/>
      <c r="X105" s="45"/>
      <c r="Y105" s="45"/>
      <c r="Z105" s="47" t="str">
        <f t="shared" si="2"/>
        <v>Очікую</v>
      </c>
      <c r="AA105" s="47" t="str">
        <f t="shared" si="3"/>
        <v>Очікую</v>
      </c>
      <c r="AB105" s="34"/>
      <c r="AC105" s="40"/>
    </row>
    <row r="106" spans="1:29" s="11" customFormat="1" ht="15" customHeight="1" x14ac:dyDescent="0.25">
      <c r="A106" s="41"/>
      <c r="B106" s="32"/>
      <c r="C106" s="45"/>
      <c r="D106" s="45">
        <v>97</v>
      </c>
      <c r="E106" s="46"/>
      <c r="F106" s="45"/>
      <c r="G106" s="45"/>
      <c r="H106" s="45"/>
      <c r="I106" s="45"/>
      <c r="J106" s="45"/>
      <c r="K106" s="45"/>
      <c r="L106" s="45"/>
      <c r="M106" s="45"/>
      <c r="N106" s="45"/>
      <c r="O106" s="45"/>
      <c r="P106" s="45"/>
      <c r="Q106" s="45"/>
      <c r="R106" s="45"/>
      <c r="S106" s="45"/>
      <c r="T106" s="45"/>
      <c r="U106" s="45"/>
      <c r="V106" s="45"/>
      <c r="W106" s="45"/>
      <c r="X106" s="45"/>
      <c r="Y106" s="45"/>
      <c r="Z106" s="47" t="str">
        <f t="shared" si="2"/>
        <v>Очікую</v>
      </c>
      <c r="AA106" s="47" t="str">
        <f t="shared" si="3"/>
        <v>Очікую</v>
      </c>
      <c r="AB106" s="34"/>
      <c r="AC106" s="40"/>
    </row>
    <row r="107" spans="1:29" s="11" customFormat="1" ht="15" customHeight="1" x14ac:dyDescent="0.25">
      <c r="A107" s="41"/>
      <c r="B107" s="32"/>
      <c r="C107" s="45"/>
      <c r="D107" s="45">
        <v>98</v>
      </c>
      <c r="E107" s="46"/>
      <c r="F107" s="45"/>
      <c r="G107" s="45"/>
      <c r="H107" s="45"/>
      <c r="I107" s="45"/>
      <c r="J107" s="45"/>
      <c r="K107" s="45"/>
      <c r="L107" s="45"/>
      <c r="M107" s="45"/>
      <c r="N107" s="45"/>
      <c r="O107" s="45"/>
      <c r="P107" s="45"/>
      <c r="Q107" s="45"/>
      <c r="R107" s="45"/>
      <c r="S107" s="45"/>
      <c r="T107" s="45"/>
      <c r="U107" s="45"/>
      <c r="V107" s="45"/>
      <c r="W107" s="45"/>
      <c r="X107" s="45"/>
      <c r="Y107" s="45"/>
      <c r="Z107" s="47" t="str">
        <f t="shared" si="2"/>
        <v>Очікую</v>
      </c>
      <c r="AA107" s="47" t="str">
        <f t="shared" si="3"/>
        <v>Очікую</v>
      </c>
      <c r="AB107" s="34"/>
      <c r="AC107" s="40"/>
    </row>
    <row r="108" spans="1:29" s="11" customFormat="1" ht="15" customHeight="1" x14ac:dyDescent="0.25">
      <c r="A108" s="41"/>
      <c r="B108" s="32"/>
      <c r="C108" s="45"/>
      <c r="D108" s="45">
        <v>99</v>
      </c>
      <c r="E108" s="46"/>
      <c r="F108" s="45"/>
      <c r="G108" s="45"/>
      <c r="H108" s="45"/>
      <c r="I108" s="45"/>
      <c r="J108" s="45"/>
      <c r="K108" s="45"/>
      <c r="L108" s="45"/>
      <c r="M108" s="45"/>
      <c r="N108" s="45"/>
      <c r="O108" s="45"/>
      <c r="P108" s="45"/>
      <c r="Q108" s="45"/>
      <c r="R108" s="45"/>
      <c r="S108" s="45"/>
      <c r="T108" s="45"/>
      <c r="U108" s="45"/>
      <c r="V108" s="45"/>
      <c r="W108" s="45"/>
      <c r="X108" s="45"/>
      <c r="Y108" s="45"/>
      <c r="Z108" s="47" t="str">
        <f t="shared" si="2"/>
        <v>Очікую</v>
      </c>
      <c r="AA108" s="47" t="str">
        <f t="shared" si="3"/>
        <v>Очікую</v>
      </c>
      <c r="AB108" s="34"/>
      <c r="AC108" s="40"/>
    </row>
    <row r="109" spans="1:29" s="11" customFormat="1" ht="15" customHeight="1" x14ac:dyDescent="0.25">
      <c r="A109" s="41"/>
      <c r="B109" s="32"/>
      <c r="C109" s="45"/>
      <c r="D109" s="45">
        <v>100</v>
      </c>
      <c r="E109" s="46"/>
      <c r="F109" s="45"/>
      <c r="G109" s="45"/>
      <c r="H109" s="45"/>
      <c r="I109" s="45"/>
      <c r="J109" s="45"/>
      <c r="K109" s="45"/>
      <c r="L109" s="45"/>
      <c r="M109" s="45"/>
      <c r="N109" s="45"/>
      <c r="O109" s="45"/>
      <c r="P109" s="45"/>
      <c r="Q109" s="45"/>
      <c r="R109" s="45"/>
      <c r="S109" s="45"/>
      <c r="T109" s="45"/>
      <c r="U109" s="45"/>
      <c r="V109" s="45"/>
      <c r="W109" s="45"/>
      <c r="X109" s="45"/>
      <c r="Y109" s="45"/>
      <c r="Z109" s="47" t="str">
        <f t="shared" si="2"/>
        <v>Очікую</v>
      </c>
      <c r="AA109" s="47" t="str">
        <f t="shared" si="3"/>
        <v>Очікую</v>
      </c>
      <c r="AB109" s="34"/>
      <c r="AC109" s="40"/>
    </row>
    <row r="110" spans="1:29" ht="15" customHeight="1" x14ac:dyDescent="0.25">
      <c r="A110" s="41"/>
      <c r="B110" s="32"/>
      <c r="C110" s="25"/>
      <c r="D110" s="25"/>
      <c r="E110" s="26" t="s">
        <v>9</v>
      </c>
      <c r="F110" s="5" t="str">
        <f>ЛЗ3!F115</f>
        <v>Очікую</v>
      </c>
      <c r="G110" s="6"/>
      <c r="H110" s="6"/>
      <c r="I110" s="6"/>
      <c r="J110" s="6"/>
      <c r="K110" s="6"/>
      <c r="L110" s="25"/>
      <c r="M110" s="27"/>
      <c r="N110" s="25"/>
      <c r="O110" s="25"/>
      <c r="P110" s="25"/>
      <c r="Q110" s="25"/>
      <c r="R110" s="25"/>
      <c r="S110" s="25"/>
      <c r="T110" s="25"/>
      <c r="U110" s="28"/>
      <c r="V110" s="27"/>
      <c r="W110" s="25"/>
      <c r="X110" s="25"/>
      <c r="Y110" s="25"/>
      <c r="Z110" s="25"/>
      <c r="AA110" s="25"/>
      <c r="AB110" s="33"/>
      <c r="AC110" s="40"/>
    </row>
    <row r="111" spans="1:29" ht="15" customHeight="1" x14ac:dyDescent="0.25">
      <c r="A111" s="41"/>
      <c r="B111" s="32"/>
      <c r="C111" s="25"/>
      <c r="D111" s="25"/>
      <c r="E111" s="26" t="s">
        <v>10</v>
      </c>
      <c r="F111" s="5" t="str">
        <f>ЛЗ3!F116</f>
        <v>Очікую</v>
      </c>
      <c r="G111" s="6"/>
      <c r="H111" s="63" t="s">
        <v>11</v>
      </c>
      <c r="I111" s="6"/>
      <c r="J111" s="6"/>
      <c r="K111" s="6"/>
      <c r="L111" s="25"/>
      <c r="M111" s="27"/>
      <c r="N111" s="63"/>
      <c r="O111" s="63"/>
      <c r="P111" s="63"/>
      <c r="Q111" s="63"/>
      <c r="R111" s="6"/>
      <c r="S111" s="6"/>
      <c r="T111" s="6"/>
      <c r="U111" s="64"/>
      <c r="V111" s="64"/>
      <c r="W111" s="64"/>
      <c r="X111" s="64"/>
      <c r="Y111" s="64"/>
      <c r="Z111" s="64"/>
      <c r="AA111" s="25"/>
      <c r="AB111" s="33"/>
      <c r="AC111" s="40"/>
    </row>
    <row r="112" spans="1:29" ht="15" customHeight="1" x14ac:dyDescent="0.25">
      <c r="A112" s="41"/>
      <c r="B112" s="32"/>
      <c r="C112" s="25"/>
      <c r="D112" s="25"/>
      <c r="E112" s="26" t="s">
        <v>12</v>
      </c>
      <c r="F112" s="5">
        <f>ЛЗ3!F117</f>
        <v>0</v>
      </c>
      <c r="G112" s="6"/>
      <c r="H112" s="10"/>
      <c r="I112" s="6"/>
      <c r="J112" s="6"/>
      <c r="K112" s="6"/>
      <c r="L112" s="25"/>
      <c r="M112" s="27"/>
      <c r="N112" s="6"/>
      <c r="O112" s="6"/>
      <c r="P112" s="6"/>
      <c r="Q112" s="6"/>
      <c r="R112" s="6"/>
      <c r="S112" s="6"/>
      <c r="T112" s="6"/>
      <c r="U112" s="10"/>
      <c r="V112" s="10"/>
      <c r="W112" s="6"/>
      <c r="X112" s="6"/>
      <c r="Y112" s="6"/>
      <c r="Z112" s="6"/>
      <c r="AA112" s="25"/>
      <c r="AB112" s="33"/>
      <c r="AC112" s="40"/>
    </row>
    <row r="113" spans="1:29" ht="15" customHeight="1" x14ac:dyDescent="0.25">
      <c r="A113" s="41"/>
      <c r="B113" s="32"/>
      <c r="C113" s="25"/>
      <c r="D113" s="25"/>
      <c r="E113" s="26" t="s">
        <v>13</v>
      </c>
      <c r="F113" s="5" t="str">
        <f>ЛЗ3!F118</f>
        <v>Очікую</v>
      </c>
      <c r="G113" s="6"/>
      <c r="H113" s="64" t="s">
        <v>14</v>
      </c>
      <c r="I113" s="6"/>
      <c r="J113" s="6"/>
      <c r="K113" s="6"/>
      <c r="L113" s="25"/>
      <c r="M113" s="27"/>
      <c r="N113" s="64"/>
      <c r="O113" s="64"/>
      <c r="P113" s="64"/>
      <c r="Q113" s="64"/>
      <c r="R113" s="6"/>
      <c r="S113" s="6"/>
      <c r="T113" s="6"/>
      <c r="U113" s="64"/>
      <c r="V113" s="64"/>
      <c r="W113" s="64"/>
      <c r="X113" s="64"/>
      <c r="Y113" s="64"/>
      <c r="Z113" s="64"/>
      <c r="AA113" s="25"/>
      <c r="AB113" s="33"/>
      <c r="AC113" s="40"/>
    </row>
    <row r="114" spans="1:29" ht="12" customHeight="1" thickBot="1" x14ac:dyDescent="0.3">
      <c r="A114" s="41"/>
      <c r="B114" s="35"/>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c r="AA114" s="36"/>
      <c r="AB114" s="37"/>
      <c r="AC114" s="40"/>
    </row>
    <row r="115" spans="1:29" ht="12" customHeight="1" x14ac:dyDescent="0.25">
      <c r="A115" s="39"/>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40"/>
    </row>
    <row r="116" spans="1:29" ht="0" hidden="1" customHeight="1" x14ac:dyDescent="0.25">
      <c r="A116" s="42"/>
      <c r="AC116" s="42"/>
    </row>
    <row r="117" spans="1:29" ht="0" hidden="1" customHeight="1" x14ac:dyDescent="0.25">
      <c r="A117" s="42"/>
      <c r="AC117" s="42"/>
    </row>
    <row r="118" spans="1:29" ht="0" hidden="1" customHeight="1" x14ac:dyDescent="0.25">
      <c r="A118" s="42"/>
      <c r="AC118" s="42"/>
    </row>
    <row r="119" spans="1:29" ht="0" hidden="1" customHeight="1" x14ac:dyDescent="0.25">
      <c r="A119" s="42"/>
      <c r="AC119" s="42"/>
    </row>
    <row r="120" spans="1:29" ht="0" hidden="1" customHeight="1" x14ac:dyDescent="0.25">
      <c r="A120" s="42"/>
      <c r="B120" s="42"/>
      <c r="C120" s="42"/>
      <c r="D120" s="42"/>
      <c r="E120" s="42"/>
      <c r="F120" s="42"/>
      <c r="G120" s="42"/>
      <c r="H120" s="42"/>
      <c r="I120" s="42"/>
      <c r="J120" s="42"/>
      <c r="K120" s="42"/>
      <c r="L120" s="42"/>
      <c r="M120" s="42"/>
      <c r="N120" s="42"/>
      <c r="O120" s="42"/>
      <c r="P120" s="42"/>
      <c r="Q120" s="42"/>
      <c r="R120" s="42"/>
      <c r="S120" s="42"/>
      <c r="T120" s="42"/>
      <c r="U120" s="42"/>
      <c r="V120" s="42"/>
      <c r="W120" s="42"/>
      <c r="X120" s="42"/>
      <c r="Y120" s="42"/>
      <c r="Z120" s="42"/>
      <c r="AA120" s="42"/>
      <c r="AB120" s="42"/>
      <c r="AC120" s="42"/>
    </row>
  </sheetData>
  <sheetProtection insertRows="0" deleteRows="0"/>
  <mergeCells count="11">
    <mergeCell ref="C8:C9"/>
    <mergeCell ref="D8:D9"/>
    <mergeCell ref="E8:E9"/>
    <mergeCell ref="F8:Y8"/>
    <mergeCell ref="AA8:AA9"/>
    <mergeCell ref="Z8:Z9"/>
    <mergeCell ref="C3:AA3"/>
    <mergeCell ref="C4:AA4"/>
    <mergeCell ref="C5:AA5"/>
    <mergeCell ref="C6:AA6"/>
    <mergeCell ref="C7:AA7"/>
  </mergeCells>
  <printOptions horizontalCentered="1"/>
  <pageMargins left="0.19685039370078741" right="0.19685039370078741" top="0.19685039370078741" bottom="0.19685039370078741" header="0" footer="0"/>
  <pageSetup paperSize="9" scale="32"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E26B0A"/>
    <pageSetUpPr fitToPage="1"/>
  </sheetPr>
  <dimension ref="A1:BO120"/>
  <sheetViews>
    <sheetView zoomScaleNormal="100" workbookViewId="0"/>
  </sheetViews>
  <sheetFormatPr defaultColWidth="0" defaultRowHeight="0" customHeight="1" zeroHeight="1" x14ac:dyDescent="0.25"/>
  <cols>
    <col min="1" max="2" width="2.7109375" style="1" customWidth="1"/>
    <col min="3" max="3" width="4.140625" style="1" customWidth="1"/>
    <col min="4" max="4" width="6.5703125" style="1" customWidth="1"/>
    <col min="5" max="5" width="40.42578125" style="1" customWidth="1"/>
    <col min="6" max="25" width="6.7109375" style="1" customWidth="1"/>
    <col min="26" max="27" width="11.28515625" style="1" customWidth="1"/>
    <col min="28" max="29" width="2.7109375" style="1" customWidth="1"/>
    <col min="30" max="35" width="14.42578125" style="1" hidden="1" customWidth="1"/>
    <col min="36" max="36" width="14.85546875" style="1" hidden="1" customWidth="1"/>
    <col min="37" max="50" width="3.7109375" style="1" hidden="1" customWidth="1"/>
    <col min="51" max="67" width="5.7109375" style="1" hidden="1" customWidth="1"/>
    <col min="68" max="16384" width="14.42578125" style="1" hidden="1"/>
  </cols>
  <sheetData>
    <row r="1" spans="1:29" ht="12" customHeight="1" thickBot="1" x14ac:dyDescent="0.3">
      <c r="A1" s="38" t="s">
        <v>18</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row>
    <row r="2" spans="1:29" ht="12" customHeight="1" x14ac:dyDescent="0.25">
      <c r="A2" s="41"/>
      <c r="B2" s="29"/>
      <c r="C2" s="30"/>
      <c r="D2" s="30"/>
      <c r="E2" s="30"/>
      <c r="F2" s="30"/>
      <c r="G2" s="30"/>
      <c r="H2" s="30"/>
      <c r="I2" s="30"/>
      <c r="J2" s="30"/>
      <c r="K2" s="30"/>
      <c r="L2" s="30"/>
      <c r="M2" s="30"/>
      <c r="N2" s="30"/>
      <c r="O2" s="30"/>
      <c r="P2" s="30"/>
      <c r="Q2" s="30"/>
      <c r="R2" s="30"/>
      <c r="S2" s="30"/>
      <c r="T2" s="30"/>
      <c r="U2" s="30"/>
      <c r="V2" s="30"/>
      <c r="W2" s="30"/>
      <c r="X2" s="30"/>
      <c r="Y2" s="30"/>
      <c r="Z2" s="30"/>
      <c r="AA2" s="30"/>
      <c r="AB2" s="31"/>
      <c r="AC2" s="40"/>
    </row>
    <row r="3" spans="1:29" s="2" customFormat="1" ht="54.95" customHeight="1" x14ac:dyDescent="0.3">
      <c r="A3" s="41"/>
      <c r="B3" s="32"/>
      <c r="C3" s="85" t="s">
        <v>19</v>
      </c>
      <c r="D3" s="85"/>
      <c r="E3" s="85"/>
      <c r="F3" s="85"/>
      <c r="G3" s="85"/>
      <c r="H3" s="85"/>
      <c r="I3" s="85"/>
      <c r="J3" s="85"/>
      <c r="K3" s="85"/>
      <c r="L3" s="85"/>
      <c r="M3" s="85"/>
      <c r="N3" s="85"/>
      <c r="O3" s="85"/>
      <c r="P3" s="85"/>
      <c r="Q3" s="85"/>
      <c r="R3" s="85"/>
      <c r="S3" s="85"/>
      <c r="T3" s="85"/>
      <c r="U3" s="85"/>
      <c r="V3" s="85"/>
      <c r="W3" s="85"/>
      <c r="X3" s="85"/>
      <c r="Y3" s="85"/>
      <c r="Z3" s="85"/>
      <c r="AA3" s="85"/>
      <c r="AB3" s="33"/>
      <c r="AC3" s="40"/>
    </row>
    <row r="4" spans="1:29" s="3" customFormat="1" ht="15" customHeight="1" x14ac:dyDescent="0.25">
      <c r="A4" s="41"/>
      <c r="B4" s="32"/>
      <c r="C4" s="84" t="s">
        <v>23</v>
      </c>
      <c r="D4" s="84"/>
      <c r="E4" s="84"/>
      <c r="F4" s="84"/>
      <c r="G4" s="84"/>
      <c r="H4" s="84"/>
      <c r="I4" s="84"/>
      <c r="J4" s="84"/>
      <c r="K4" s="84"/>
      <c r="L4" s="84"/>
      <c r="M4" s="84"/>
      <c r="N4" s="84"/>
      <c r="O4" s="84"/>
      <c r="P4" s="84"/>
      <c r="Q4" s="84"/>
      <c r="R4" s="84"/>
      <c r="S4" s="84"/>
      <c r="T4" s="84"/>
      <c r="U4" s="84"/>
      <c r="V4" s="84"/>
      <c r="W4" s="84"/>
      <c r="X4" s="84"/>
      <c r="Y4" s="84"/>
      <c r="Z4" s="84"/>
      <c r="AA4" s="84"/>
      <c r="AB4" s="33"/>
      <c r="AC4" s="40"/>
    </row>
    <row r="5" spans="1:29" s="2" customFormat="1" ht="15" customHeight="1" x14ac:dyDescent="0.25">
      <c r="A5" s="41"/>
      <c r="B5" s="32"/>
      <c r="C5" s="86" t="str">
        <f>ЛЗ4!C5</f>
        <v>Успішності студентів спеціальності XXX «XXXXX»</v>
      </c>
      <c r="D5" s="86"/>
      <c r="E5" s="86"/>
      <c r="F5" s="86"/>
      <c r="G5" s="86"/>
      <c r="H5" s="86"/>
      <c r="I5" s="86"/>
      <c r="J5" s="86"/>
      <c r="K5" s="86"/>
      <c r="L5" s="86"/>
      <c r="M5" s="86"/>
      <c r="N5" s="86"/>
      <c r="O5" s="86"/>
      <c r="P5" s="86"/>
      <c r="Q5" s="86"/>
      <c r="R5" s="86"/>
      <c r="S5" s="86"/>
      <c r="T5" s="86"/>
      <c r="U5" s="86"/>
      <c r="V5" s="86"/>
      <c r="W5" s="86"/>
      <c r="X5" s="86"/>
      <c r="Y5" s="86"/>
      <c r="Z5" s="86"/>
      <c r="AA5" s="86"/>
      <c r="AB5" s="33"/>
      <c r="AC5" s="40"/>
    </row>
    <row r="6" spans="1:29" s="2" customFormat="1" ht="15" customHeight="1" x14ac:dyDescent="0.25">
      <c r="A6" s="41"/>
      <c r="B6" s="32"/>
      <c r="C6" s="86" t="str">
        <f>ЛЗ4!C6</f>
        <v>За X семестр XXXX-XXXX н.р.</v>
      </c>
      <c r="D6" s="86"/>
      <c r="E6" s="86"/>
      <c r="F6" s="86"/>
      <c r="G6" s="86"/>
      <c r="H6" s="86"/>
      <c r="I6" s="86"/>
      <c r="J6" s="86"/>
      <c r="K6" s="86"/>
      <c r="L6" s="86"/>
      <c r="M6" s="86"/>
      <c r="N6" s="86"/>
      <c r="O6" s="86"/>
      <c r="P6" s="86"/>
      <c r="Q6" s="86"/>
      <c r="R6" s="86"/>
      <c r="S6" s="86"/>
      <c r="T6" s="86"/>
      <c r="U6" s="86"/>
      <c r="V6" s="86"/>
      <c r="W6" s="86"/>
      <c r="X6" s="86"/>
      <c r="Y6" s="86"/>
      <c r="Z6" s="86"/>
      <c r="AA6" s="86"/>
      <c r="AB6" s="33"/>
      <c r="AC6" s="40"/>
    </row>
    <row r="7" spans="1:29" s="2" customFormat="1" ht="15" customHeight="1" x14ac:dyDescent="0.25">
      <c r="A7" s="41"/>
      <c r="B7" s="32"/>
      <c r="C7" s="87" t="str">
        <f>ЛЗ4!C7</f>
        <v>Група XXXX курс X</v>
      </c>
      <c r="D7" s="87"/>
      <c r="E7" s="87"/>
      <c r="F7" s="87"/>
      <c r="G7" s="87"/>
      <c r="H7" s="87"/>
      <c r="I7" s="87"/>
      <c r="J7" s="87"/>
      <c r="K7" s="87"/>
      <c r="L7" s="87"/>
      <c r="M7" s="87"/>
      <c r="N7" s="87"/>
      <c r="O7" s="87"/>
      <c r="P7" s="87"/>
      <c r="Q7" s="87"/>
      <c r="R7" s="87"/>
      <c r="S7" s="87"/>
      <c r="T7" s="87"/>
      <c r="U7" s="87"/>
      <c r="V7" s="87"/>
      <c r="W7" s="87"/>
      <c r="X7" s="87"/>
      <c r="Y7" s="87"/>
      <c r="Z7" s="87"/>
      <c r="AA7" s="87"/>
      <c r="AB7" s="33"/>
      <c r="AC7" s="40"/>
    </row>
    <row r="8" spans="1:29" ht="15" customHeight="1" x14ac:dyDescent="0.25">
      <c r="A8" s="41"/>
      <c r="B8" s="32"/>
      <c r="C8" s="88" t="s">
        <v>0</v>
      </c>
      <c r="D8" s="90" t="s">
        <v>1</v>
      </c>
      <c r="E8" s="90" t="s">
        <v>2</v>
      </c>
      <c r="F8" s="91" t="s">
        <v>17</v>
      </c>
      <c r="G8" s="92"/>
      <c r="H8" s="92"/>
      <c r="I8" s="92"/>
      <c r="J8" s="92"/>
      <c r="K8" s="92"/>
      <c r="L8" s="92"/>
      <c r="M8" s="92"/>
      <c r="N8" s="92"/>
      <c r="O8" s="92"/>
      <c r="P8" s="92"/>
      <c r="Q8" s="92"/>
      <c r="R8" s="92"/>
      <c r="S8" s="92"/>
      <c r="T8" s="92"/>
      <c r="U8" s="92"/>
      <c r="V8" s="92"/>
      <c r="W8" s="92"/>
      <c r="X8" s="92"/>
      <c r="Y8" s="93"/>
      <c r="Z8" s="94" t="s">
        <v>3</v>
      </c>
      <c r="AA8" s="94" t="s">
        <v>24</v>
      </c>
      <c r="AB8" s="33"/>
      <c r="AC8" s="40"/>
    </row>
    <row r="9" spans="1:29" ht="125.1" customHeight="1" x14ac:dyDescent="0.25">
      <c r="A9" s="41"/>
      <c r="B9" s="32"/>
      <c r="C9" s="89"/>
      <c r="D9" s="89"/>
      <c r="E9" s="89"/>
      <c r="F9" s="24">
        <v>1</v>
      </c>
      <c r="G9" s="24">
        <v>2</v>
      </c>
      <c r="H9" s="24">
        <v>3</v>
      </c>
      <c r="I9" s="24">
        <v>4</v>
      </c>
      <c r="J9" s="24">
        <v>5</v>
      </c>
      <c r="K9" s="24">
        <v>6</v>
      </c>
      <c r="L9" s="24">
        <v>7</v>
      </c>
      <c r="M9" s="24">
        <v>8</v>
      </c>
      <c r="N9" s="24">
        <v>9</v>
      </c>
      <c r="O9" s="24">
        <v>10</v>
      </c>
      <c r="P9" s="24">
        <v>11</v>
      </c>
      <c r="Q9" s="24">
        <v>12</v>
      </c>
      <c r="R9" s="24">
        <v>13</v>
      </c>
      <c r="S9" s="24">
        <v>14</v>
      </c>
      <c r="T9" s="24">
        <v>15</v>
      </c>
      <c r="U9" s="24">
        <v>16</v>
      </c>
      <c r="V9" s="24">
        <v>17</v>
      </c>
      <c r="W9" s="24">
        <v>18</v>
      </c>
      <c r="X9" s="24">
        <v>19</v>
      </c>
      <c r="Y9" s="24">
        <v>20</v>
      </c>
      <c r="Z9" s="95"/>
      <c r="AA9" s="95"/>
      <c r="AB9" s="33"/>
      <c r="AC9" s="40"/>
    </row>
    <row r="10" spans="1:29" s="11" customFormat="1" ht="15" customHeight="1" x14ac:dyDescent="0.25">
      <c r="A10" s="41"/>
      <c r="B10" s="32"/>
      <c r="C10" s="45"/>
      <c r="D10" s="45">
        <v>1</v>
      </c>
      <c r="E10" s="46"/>
      <c r="F10" s="45"/>
      <c r="G10" s="45"/>
      <c r="H10" s="45"/>
      <c r="I10" s="45"/>
      <c r="J10" s="45"/>
      <c r="K10" s="45"/>
      <c r="L10" s="45"/>
      <c r="M10" s="45"/>
      <c r="N10" s="45"/>
      <c r="O10" s="45"/>
      <c r="P10" s="45"/>
      <c r="Q10" s="45"/>
      <c r="R10" s="45"/>
      <c r="S10" s="45"/>
      <c r="T10" s="45"/>
      <c r="U10" s="45"/>
      <c r="V10" s="45"/>
      <c r="W10" s="45"/>
      <c r="X10" s="45"/>
      <c r="Y10" s="45"/>
      <c r="Z10" s="47" t="str">
        <f>IF(COUNTIF(F10:Y10,"=*")&gt;0,IF($C10="К","-"," - "),IF(COUNTIF(F10:Y10,"&lt;4")&gt;0,IF(C10="К","-"," - "),(IFERROR(AVERAGE(F10:Y10),"Очікую"))))</f>
        <v>Очікую</v>
      </c>
      <c r="AA10" s="47" t="str">
        <f>IFERROR(Z10/12*90,"Очікую")</f>
        <v>Очікую</v>
      </c>
      <c r="AB10" s="34"/>
      <c r="AC10" s="40"/>
    </row>
    <row r="11" spans="1:29" s="11" customFormat="1" ht="15" customHeight="1" x14ac:dyDescent="0.25">
      <c r="A11" s="41"/>
      <c r="B11" s="32"/>
      <c r="C11" s="45"/>
      <c r="D11" s="45">
        <v>2</v>
      </c>
      <c r="E11" s="46"/>
      <c r="F11" s="45"/>
      <c r="G11" s="45"/>
      <c r="H11" s="45"/>
      <c r="I11" s="45"/>
      <c r="J11" s="45"/>
      <c r="K11" s="45"/>
      <c r="L11" s="45"/>
      <c r="M11" s="45"/>
      <c r="N11" s="45"/>
      <c r="O11" s="45"/>
      <c r="P11" s="45"/>
      <c r="Q11" s="45"/>
      <c r="R11" s="45"/>
      <c r="S11" s="45"/>
      <c r="T11" s="45"/>
      <c r="U11" s="45"/>
      <c r="V11" s="45"/>
      <c r="W11" s="45"/>
      <c r="X11" s="45"/>
      <c r="Y11" s="45"/>
      <c r="Z11" s="47" t="str">
        <f t="shared" ref="Z11:Z74" si="0">IF(COUNTIF(F11:Y11,"=*")&gt;0,IF($C11="К","-"," - "),IF(COUNTIF(F11:Y11,"&lt;4")&gt;0,IF(C11="К","-"," - "),(IFERROR(AVERAGE(F11:Y11),"Очікую"))))</f>
        <v>Очікую</v>
      </c>
      <c r="AA11" s="47" t="str">
        <f t="shared" ref="AA11:AA74" si="1">IFERROR(Z11/12*90,"Очікую")</f>
        <v>Очікую</v>
      </c>
      <c r="AB11" s="34"/>
      <c r="AC11" s="40"/>
    </row>
    <row r="12" spans="1:29" s="11" customFormat="1" ht="15" customHeight="1" x14ac:dyDescent="0.25">
      <c r="A12" s="41"/>
      <c r="B12" s="32"/>
      <c r="C12" s="45"/>
      <c r="D12" s="45">
        <v>3</v>
      </c>
      <c r="E12" s="46"/>
      <c r="F12" s="45"/>
      <c r="G12" s="45"/>
      <c r="H12" s="45"/>
      <c r="I12" s="45"/>
      <c r="J12" s="45"/>
      <c r="K12" s="45"/>
      <c r="L12" s="45"/>
      <c r="M12" s="45"/>
      <c r="N12" s="45"/>
      <c r="O12" s="45"/>
      <c r="P12" s="45"/>
      <c r="Q12" s="45"/>
      <c r="R12" s="45"/>
      <c r="S12" s="45"/>
      <c r="T12" s="45"/>
      <c r="U12" s="45"/>
      <c r="V12" s="45"/>
      <c r="W12" s="45"/>
      <c r="X12" s="45"/>
      <c r="Y12" s="45"/>
      <c r="Z12" s="47" t="str">
        <f t="shared" si="0"/>
        <v>Очікую</v>
      </c>
      <c r="AA12" s="47" t="str">
        <f t="shared" si="1"/>
        <v>Очікую</v>
      </c>
      <c r="AB12" s="34"/>
      <c r="AC12" s="40"/>
    </row>
    <row r="13" spans="1:29" s="11" customFormat="1" ht="15" customHeight="1" x14ac:dyDescent="0.25">
      <c r="A13" s="41"/>
      <c r="B13" s="32"/>
      <c r="C13" s="45"/>
      <c r="D13" s="45">
        <v>4</v>
      </c>
      <c r="E13" s="46"/>
      <c r="F13" s="45"/>
      <c r="G13" s="45"/>
      <c r="H13" s="45"/>
      <c r="I13" s="45"/>
      <c r="J13" s="45"/>
      <c r="K13" s="45"/>
      <c r="L13" s="45"/>
      <c r="M13" s="45"/>
      <c r="N13" s="45"/>
      <c r="O13" s="45"/>
      <c r="P13" s="45"/>
      <c r="Q13" s="45"/>
      <c r="R13" s="45"/>
      <c r="S13" s="45"/>
      <c r="T13" s="45"/>
      <c r="U13" s="45"/>
      <c r="V13" s="45"/>
      <c r="W13" s="45"/>
      <c r="X13" s="45"/>
      <c r="Y13" s="45"/>
      <c r="Z13" s="47" t="str">
        <f t="shared" si="0"/>
        <v>Очікую</v>
      </c>
      <c r="AA13" s="47" t="str">
        <f t="shared" si="1"/>
        <v>Очікую</v>
      </c>
      <c r="AB13" s="34"/>
      <c r="AC13" s="40"/>
    </row>
    <row r="14" spans="1:29" s="11" customFormat="1" ht="15" customHeight="1" x14ac:dyDescent="0.25">
      <c r="A14" s="41"/>
      <c r="B14" s="32"/>
      <c r="C14" s="45"/>
      <c r="D14" s="45">
        <v>5</v>
      </c>
      <c r="E14" s="46"/>
      <c r="F14" s="45"/>
      <c r="G14" s="45"/>
      <c r="H14" s="45"/>
      <c r="I14" s="45"/>
      <c r="J14" s="45"/>
      <c r="K14" s="45"/>
      <c r="L14" s="45"/>
      <c r="M14" s="45"/>
      <c r="N14" s="45"/>
      <c r="O14" s="45"/>
      <c r="P14" s="45"/>
      <c r="Q14" s="45"/>
      <c r="R14" s="45"/>
      <c r="S14" s="45"/>
      <c r="T14" s="45"/>
      <c r="U14" s="45"/>
      <c r="V14" s="45"/>
      <c r="W14" s="45"/>
      <c r="X14" s="45"/>
      <c r="Y14" s="45"/>
      <c r="Z14" s="47" t="str">
        <f t="shared" si="0"/>
        <v>Очікую</v>
      </c>
      <c r="AA14" s="47" t="str">
        <f t="shared" si="1"/>
        <v>Очікую</v>
      </c>
      <c r="AB14" s="34"/>
      <c r="AC14" s="40"/>
    </row>
    <row r="15" spans="1:29" s="11" customFormat="1" ht="15" customHeight="1" x14ac:dyDescent="0.25">
      <c r="A15" s="41"/>
      <c r="B15" s="32"/>
      <c r="C15" s="45"/>
      <c r="D15" s="45">
        <v>6</v>
      </c>
      <c r="E15" s="46"/>
      <c r="F15" s="45"/>
      <c r="G15" s="45"/>
      <c r="H15" s="45"/>
      <c r="I15" s="45"/>
      <c r="J15" s="45"/>
      <c r="K15" s="45"/>
      <c r="L15" s="45"/>
      <c r="M15" s="45"/>
      <c r="N15" s="45"/>
      <c r="O15" s="45"/>
      <c r="P15" s="45"/>
      <c r="Q15" s="45"/>
      <c r="R15" s="45"/>
      <c r="S15" s="45"/>
      <c r="T15" s="45"/>
      <c r="U15" s="45"/>
      <c r="V15" s="45"/>
      <c r="W15" s="45"/>
      <c r="X15" s="45"/>
      <c r="Y15" s="45"/>
      <c r="Z15" s="47" t="str">
        <f t="shared" si="0"/>
        <v>Очікую</v>
      </c>
      <c r="AA15" s="47" t="str">
        <f t="shared" si="1"/>
        <v>Очікую</v>
      </c>
      <c r="AB15" s="34"/>
      <c r="AC15" s="40"/>
    </row>
    <row r="16" spans="1:29" s="11" customFormat="1" ht="15" customHeight="1" x14ac:dyDescent="0.25">
      <c r="A16" s="41"/>
      <c r="B16" s="32"/>
      <c r="C16" s="45"/>
      <c r="D16" s="45">
        <v>7</v>
      </c>
      <c r="E16" s="46"/>
      <c r="F16" s="45"/>
      <c r="G16" s="45"/>
      <c r="H16" s="45"/>
      <c r="I16" s="45"/>
      <c r="J16" s="45"/>
      <c r="K16" s="45"/>
      <c r="L16" s="45"/>
      <c r="M16" s="45"/>
      <c r="N16" s="45"/>
      <c r="O16" s="45"/>
      <c r="P16" s="45"/>
      <c r="Q16" s="45"/>
      <c r="R16" s="45"/>
      <c r="S16" s="45"/>
      <c r="T16" s="45"/>
      <c r="U16" s="45"/>
      <c r="V16" s="45"/>
      <c r="W16" s="45"/>
      <c r="X16" s="45"/>
      <c r="Y16" s="45"/>
      <c r="Z16" s="47" t="str">
        <f t="shared" si="0"/>
        <v>Очікую</v>
      </c>
      <c r="AA16" s="47" t="str">
        <f t="shared" si="1"/>
        <v>Очікую</v>
      </c>
      <c r="AB16" s="34"/>
      <c r="AC16" s="40"/>
    </row>
    <row r="17" spans="1:29" s="11" customFormat="1" ht="15" customHeight="1" x14ac:dyDescent="0.25">
      <c r="A17" s="41"/>
      <c r="B17" s="32"/>
      <c r="C17" s="45"/>
      <c r="D17" s="45">
        <v>8</v>
      </c>
      <c r="E17" s="46"/>
      <c r="F17" s="45"/>
      <c r="G17" s="45"/>
      <c r="H17" s="45"/>
      <c r="I17" s="45"/>
      <c r="J17" s="45"/>
      <c r="K17" s="45"/>
      <c r="L17" s="45"/>
      <c r="M17" s="45"/>
      <c r="N17" s="45"/>
      <c r="O17" s="45"/>
      <c r="P17" s="45"/>
      <c r="Q17" s="45"/>
      <c r="R17" s="45"/>
      <c r="S17" s="45"/>
      <c r="T17" s="45"/>
      <c r="U17" s="45"/>
      <c r="V17" s="45"/>
      <c r="W17" s="45"/>
      <c r="X17" s="45"/>
      <c r="Y17" s="45"/>
      <c r="Z17" s="47" t="str">
        <f t="shared" si="0"/>
        <v>Очікую</v>
      </c>
      <c r="AA17" s="47" t="str">
        <f t="shared" si="1"/>
        <v>Очікую</v>
      </c>
      <c r="AB17" s="34"/>
      <c r="AC17" s="40"/>
    </row>
    <row r="18" spans="1:29" s="11" customFormat="1" ht="15" customHeight="1" x14ac:dyDescent="0.25">
      <c r="A18" s="41"/>
      <c r="B18" s="32"/>
      <c r="C18" s="45"/>
      <c r="D18" s="45">
        <v>9</v>
      </c>
      <c r="E18" s="46"/>
      <c r="F18" s="45"/>
      <c r="G18" s="45"/>
      <c r="H18" s="45"/>
      <c r="I18" s="45"/>
      <c r="J18" s="45"/>
      <c r="K18" s="45"/>
      <c r="L18" s="45"/>
      <c r="M18" s="45"/>
      <c r="N18" s="45"/>
      <c r="O18" s="45"/>
      <c r="P18" s="45"/>
      <c r="Q18" s="45"/>
      <c r="R18" s="45"/>
      <c r="S18" s="45"/>
      <c r="T18" s="45"/>
      <c r="U18" s="45"/>
      <c r="V18" s="45"/>
      <c r="W18" s="45"/>
      <c r="X18" s="45"/>
      <c r="Y18" s="45"/>
      <c r="Z18" s="47" t="str">
        <f t="shared" si="0"/>
        <v>Очікую</v>
      </c>
      <c r="AA18" s="47" t="str">
        <f t="shared" si="1"/>
        <v>Очікую</v>
      </c>
      <c r="AB18" s="34"/>
      <c r="AC18" s="40"/>
    </row>
    <row r="19" spans="1:29" s="11" customFormat="1" ht="15" customHeight="1" x14ac:dyDescent="0.25">
      <c r="A19" s="41"/>
      <c r="B19" s="32"/>
      <c r="C19" s="45"/>
      <c r="D19" s="45">
        <v>10</v>
      </c>
      <c r="E19" s="46"/>
      <c r="F19" s="45"/>
      <c r="G19" s="45"/>
      <c r="H19" s="45"/>
      <c r="I19" s="45"/>
      <c r="J19" s="45"/>
      <c r="K19" s="45"/>
      <c r="L19" s="45"/>
      <c r="M19" s="45"/>
      <c r="N19" s="45"/>
      <c r="O19" s="45"/>
      <c r="P19" s="45"/>
      <c r="Q19" s="45"/>
      <c r="R19" s="45"/>
      <c r="S19" s="45"/>
      <c r="T19" s="45"/>
      <c r="U19" s="45"/>
      <c r="V19" s="45"/>
      <c r="W19" s="45"/>
      <c r="X19" s="45"/>
      <c r="Y19" s="45"/>
      <c r="Z19" s="47" t="str">
        <f t="shared" si="0"/>
        <v>Очікую</v>
      </c>
      <c r="AA19" s="47" t="str">
        <f t="shared" si="1"/>
        <v>Очікую</v>
      </c>
      <c r="AB19" s="34"/>
      <c r="AC19" s="40"/>
    </row>
    <row r="20" spans="1:29" s="11" customFormat="1" ht="15" customHeight="1" x14ac:dyDescent="0.25">
      <c r="A20" s="41"/>
      <c r="B20" s="32"/>
      <c r="C20" s="45"/>
      <c r="D20" s="45">
        <v>11</v>
      </c>
      <c r="E20" s="46"/>
      <c r="F20" s="45"/>
      <c r="G20" s="45"/>
      <c r="H20" s="45"/>
      <c r="I20" s="45"/>
      <c r="J20" s="45"/>
      <c r="K20" s="45"/>
      <c r="L20" s="45"/>
      <c r="M20" s="45"/>
      <c r="N20" s="45"/>
      <c r="O20" s="45"/>
      <c r="P20" s="45"/>
      <c r="Q20" s="45"/>
      <c r="R20" s="45"/>
      <c r="S20" s="45"/>
      <c r="T20" s="45"/>
      <c r="U20" s="45"/>
      <c r="V20" s="45"/>
      <c r="W20" s="45"/>
      <c r="X20" s="45"/>
      <c r="Y20" s="45"/>
      <c r="Z20" s="47" t="str">
        <f t="shared" si="0"/>
        <v>Очікую</v>
      </c>
      <c r="AA20" s="47" t="str">
        <f t="shared" si="1"/>
        <v>Очікую</v>
      </c>
      <c r="AB20" s="34"/>
      <c r="AC20" s="40"/>
    </row>
    <row r="21" spans="1:29" s="11" customFormat="1" ht="15" customHeight="1" x14ac:dyDescent="0.25">
      <c r="A21" s="41"/>
      <c r="B21" s="32"/>
      <c r="C21" s="45"/>
      <c r="D21" s="45">
        <v>12</v>
      </c>
      <c r="E21" s="46"/>
      <c r="F21" s="45"/>
      <c r="G21" s="45"/>
      <c r="H21" s="45"/>
      <c r="I21" s="45"/>
      <c r="J21" s="45"/>
      <c r="K21" s="45"/>
      <c r="L21" s="45"/>
      <c r="M21" s="45"/>
      <c r="N21" s="45"/>
      <c r="O21" s="45"/>
      <c r="P21" s="45"/>
      <c r="Q21" s="45"/>
      <c r="R21" s="45"/>
      <c r="S21" s="45"/>
      <c r="T21" s="45"/>
      <c r="U21" s="45"/>
      <c r="V21" s="45"/>
      <c r="W21" s="45"/>
      <c r="X21" s="45"/>
      <c r="Y21" s="45"/>
      <c r="Z21" s="47" t="str">
        <f t="shared" si="0"/>
        <v>Очікую</v>
      </c>
      <c r="AA21" s="47" t="str">
        <f t="shared" si="1"/>
        <v>Очікую</v>
      </c>
      <c r="AB21" s="34"/>
      <c r="AC21" s="40"/>
    </row>
    <row r="22" spans="1:29" s="11" customFormat="1" ht="15" customHeight="1" x14ac:dyDescent="0.25">
      <c r="A22" s="41"/>
      <c r="B22" s="32"/>
      <c r="C22" s="45"/>
      <c r="D22" s="45">
        <v>13</v>
      </c>
      <c r="E22" s="46"/>
      <c r="F22" s="45"/>
      <c r="G22" s="45"/>
      <c r="H22" s="45"/>
      <c r="I22" s="45"/>
      <c r="J22" s="45"/>
      <c r="K22" s="45"/>
      <c r="L22" s="45"/>
      <c r="M22" s="45"/>
      <c r="N22" s="45"/>
      <c r="O22" s="45"/>
      <c r="P22" s="45"/>
      <c r="Q22" s="45"/>
      <c r="R22" s="45"/>
      <c r="S22" s="45"/>
      <c r="T22" s="45"/>
      <c r="U22" s="45"/>
      <c r="V22" s="45"/>
      <c r="W22" s="45"/>
      <c r="X22" s="45"/>
      <c r="Y22" s="45"/>
      <c r="Z22" s="47" t="str">
        <f t="shared" si="0"/>
        <v>Очікую</v>
      </c>
      <c r="AA22" s="47" t="str">
        <f t="shared" si="1"/>
        <v>Очікую</v>
      </c>
      <c r="AB22" s="34"/>
      <c r="AC22" s="40"/>
    </row>
    <row r="23" spans="1:29" s="11" customFormat="1" ht="15" customHeight="1" x14ac:dyDescent="0.25">
      <c r="A23" s="41"/>
      <c r="B23" s="32"/>
      <c r="C23" s="45"/>
      <c r="D23" s="45">
        <v>14</v>
      </c>
      <c r="E23" s="46"/>
      <c r="F23" s="45"/>
      <c r="G23" s="45"/>
      <c r="H23" s="45"/>
      <c r="I23" s="45"/>
      <c r="J23" s="45"/>
      <c r="K23" s="45"/>
      <c r="L23" s="45"/>
      <c r="M23" s="45"/>
      <c r="N23" s="45"/>
      <c r="O23" s="45"/>
      <c r="P23" s="45"/>
      <c r="Q23" s="45"/>
      <c r="R23" s="45"/>
      <c r="S23" s="45"/>
      <c r="T23" s="45"/>
      <c r="U23" s="45"/>
      <c r="V23" s="45"/>
      <c r="W23" s="45"/>
      <c r="X23" s="45"/>
      <c r="Y23" s="45"/>
      <c r="Z23" s="47" t="str">
        <f t="shared" si="0"/>
        <v>Очікую</v>
      </c>
      <c r="AA23" s="47" t="str">
        <f t="shared" si="1"/>
        <v>Очікую</v>
      </c>
      <c r="AB23" s="34"/>
      <c r="AC23" s="40"/>
    </row>
    <row r="24" spans="1:29" s="11" customFormat="1" ht="15" customHeight="1" x14ac:dyDescent="0.25">
      <c r="A24" s="41"/>
      <c r="B24" s="32"/>
      <c r="C24" s="45"/>
      <c r="D24" s="45">
        <v>15</v>
      </c>
      <c r="E24" s="46"/>
      <c r="F24" s="45"/>
      <c r="G24" s="45"/>
      <c r="H24" s="45"/>
      <c r="I24" s="45"/>
      <c r="J24" s="45"/>
      <c r="K24" s="45"/>
      <c r="L24" s="45"/>
      <c r="M24" s="45"/>
      <c r="N24" s="45"/>
      <c r="O24" s="45"/>
      <c r="P24" s="45"/>
      <c r="Q24" s="45"/>
      <c r="R24" s="45"/>
      <c r="S24" s="45"/>
      <c r="T24" s="45"/>
      <c r="U24" s="45"/>
      <c r="V24" s="45"/>
      <c r="W24" s="45"/>
      <c r="X24" s="45"/>
      <c r="Y24" s="45"/>
      <c r="Z24" s="47" t="str">
        <f t="shared" si="0"/>
        <v>Очікую</v>
      </c>
      <c r="AA24" s="47" t="str">
        <f t="shared" si="1"/>
        <v>Очікую</v>
      </c>
      <c r="AB24" s="34"/>
      <c r="AC24" s="40"/>
    </row>
    <row r="25" spans="1:29" s="11" customFormat="1" ht="15" customHeight="1" x14ac:dyDescent="0.25">
      <c r="A25" s="41"/>
      <c r="B25" s="32"/>
      <c r="C25" s="45"/>
      <c r="D25" s="45">
        <v>16</v>
      </c>
      <c r="E25" s="46"/>
      <c r="F25" s="45"/>
      <c r="G25" s="45"/>
      <c r="H25" s="45"/>
      <c r="I25" s="45"/>
      <c r="J25" s="45"/>
      <c r="K25" s="45"/>
      <c r="L25" s="45"/>
      <c r="M25" s="45"/>
      <c r="N25" s="45"/>
      <c r="O25" s="45"/>
      <c r="P25" s="45"/>
      <c r="Q25" s="45"/>
      <c r="R25" s="45"/>
      <c r="S25" s="45"/>
      <c r="T25" s="45"/>
      <c r="U25" s="45"/>
      <c r="V25" s="45"/>
      <c r="W25" s="45"/>
      <c r="X25" s="45"/>
      <c r="Y25" s="45"/>
      <c r="Z25" s="47" t="str">
        <f t="shared" si="0"/>
        <v>Очікую</v>
      </c>
      <c r="AA25" s="47" t="str">
        <f t="shared" si="1"/>
        <v>Очікую</v>
      </c>
      <c r="AB25" s="34"/>
      <c r="AC25" s="40"/>
    </row>
    <row r="26" spans="1:29" s="11" customFormat="1" ht="15" customHeight="1" x14ac:dyDescent="0.25">
      <c r="A26" s="41"/>
      <c r="B26" s="32"/>
      <c r="C26" s="45"/>
      <c r="D26" s="45">
        <v>17</v>
      </c>
      <c r="E26" s="46"/>
      <c r="F26" s="45"/>
      <c r="G26" s="45"/>
      <c r="H26" s="45"/>
      <c r="I26" s="45"/>
      <c r="J26" s="45"/>
      <c r="K26" s="45"/>
      <c r="L26" s="45"/>
      <c r="M26" s="45"/>
      <c r="N26" s="45"/>
      <c r="O26" s="45"/>
      <c r="P26" s="45"/>
      <c r="Q26" s="45"/>
      <c r="R26" s="45"/>
      <c r="S26" s="45"/>
      <c r="T26" s="45"/>
      <c r="U26" s="45"/>
      <c r="V26" s="45"/>
      <c r="W26" s="45"/>
      <c r="X26" s="45"/>
      <c r="Y26" s="45"/>
      <c r="Z26" s="47" t="str">
        <f t="shared" si="0"/>
        <v>Очікую</v>
      </c>
      <c r="AA26" s="47" t="str">
        <f t="shared" si="1"/>
        <v>Очікую</v>
      </c>
      <c r="AB26" s="34"/>
      <c r="AC26" s="40"/>
    </row>
    <row r="27" spans="1:29" s="11" customFormat="1" ht="15" customHeight="1" x14ac:dyDescent="0.25">
      <c r="A27" s="41"/>
      <c r="B27" s="32"/>
      <c r="C27" s="45"/>
      <c r="D27" s="45">
        <v>18</v>
      </c>
      <c r="E27" s="46"/>
      <c r="F27" s="45"/>
      <c r="G27" s="45"/>
      <c r="H27" s="45"/>
      <c r="I27" s="45"/>
      <c r="J27" s="45"/>
      <c r="K27" s="45"/>
      <c r="L27" s="45"/>
      <c r="M27" s="45"/>
      <c r="N27" s="45"/>
      <c r="O27" s="45"/>
      <c r="P27" s="45"/>
      <c r="Q27" s="45"/>
      <c r="R27" s="45"/>
      <c r="S27" s="45"/>
      <c r="T27" s="45"/>
      <c r="U27" s="45"/>
      <c r="V27" s="45"/>
      <c r="W27" s="45"/>
      <c r="X27" s="45"/>
      <c r="Y27" s="45"/>
      <c r="Z27" s="47" t="str">
        <f t="shared" si="0"/>
        <v>Очікую</v>
      </c>
      <c r="AA27" s="47" t="str">
        <f t="shared" si="1"/>
        <v>Очікую</v>
      </c>
      <c r="AB27" s="34"/>
      <c r="AC27" s="40"/>
    </row>
    <row r="28" spans="1:29" s="11" customFormat="1" ht="15" customHeight="1" x14ac:dyDescent="0.25">
      <c r="A28" s="41"/>
      <c r="B28" s="32"/>
      <c r="C28" s="45"/>
      <c r="D28" s="45">
        <v>19</v>
      </c>
      <c r="E28" s="46"/>
      <c r="F28" s="45"/>
      <c r="G28" s="45"/>
      <c r="H28" s="45"/>
      <c r="I28" s="45"/>
      <c r="J28" s="45"/>
      <c r="K28" s="45"/>
      <c r="L28" s="45"/>
      <c r="M28" s="45"/>
      <c r="N28" s="45"/>
      <c r="O28" s="45"/>
      <c r="P28" s="45"/>
      <c r="Q28" s="45"/>
      <c r="R28" s="45"/>
      <c r="S28" s="45"/>
      <c r="T28" s="45"/>
      <c r="U28" s="45"/>
      <c r="V28" s="45"/>
      <c r="W28" s="45"/>
      <c r="X28" s="45"/>
      <c r="Y28" s="45"/>
      <c r="Z28" s="47" t="str">
        <f t="shared" si="0"/>
        <v>Очікую</v>
      </c>
      <c r="AA28" s="47" t="str">
        <f t="shared" si="1"/>
        <v>Очікую</v>
      </c>
      <c r="AB28" s="34"/>
      <c r="AC28" s="40"/>
    </row>
    <row r="29" spans="1:29" s="11" customFormat="1" ht="15" customHeight="1" x14ac:dyDescent="0.25">
      <c r="A29" s="41"/>
      <c r="B29" s="32"/>
      <c r="C29" s="45"/>
      <c r="D29" s="45">
        <v>20</v>
      </c>
      <c r="E29" s="46"/>
      <c r="F29" s="45"/>
      <c r="G29" s="45"/>
      <c r="H29" s="45"/>
      <c r="I29" s="45"/>
      <c r="J29" s="45"/>
      <c r="K29" s="45"/>
      <c r="L29" s="45"/>
      <c r="M29" s="45"/>
      <c r="N29" s="45"/>
      <c r="O29" s="45"/>
      <c r="P29" s="45"/>
      <c r="Q29" s="45"/>
      <c r="R29" s="45"/>
      <c r="S29" s="45"/>
      <c r="T29" s="45"/>
      <c r="U29" s="45"/>
      <c r="V29" s="45"/>
      <c r="W29" s="45"/>
      <c r="X29" s="45"/>
      <c r="Y29" s="45"/>
      <c r="Z29" s="47" t="str">
        <f t="shared" si="0"/>
        <v>Очікую</v>
      </c>
      <c r="AA29" s="47" t="str">
        <f t="shared" si="1"/>
        <v>Очікую</v>
      </c>
      <c r="AB29" s="34"/>
      <c r="AC29" s="40"/>
    </row>
    <row r="30" spans="1:29" s="11" customFormat="1" ht="15" customHeight="1" x14ac:dyDescent="0.25">
      <c r="A30" s="41"/>
      <c r="B30" s="32"/>
      <c r="C30" s="45"/>
      <c r="D30" s="45">
        <v>21</v>
      </c>
      <c r="E30" s="46"/>
      <c r="F30" s="45"/>
      <c r="G30" s="45"/>
      <c r="H30" s="45"/>
      <c r="I30" s="45"/>
      <c r="J30" s="45"/>
      <c r="K30" s="45"/>
      <c r="L30" s="45"/>
      <c r="M30" s="45"/>
      <c r="N30" s="45"/>
      <c r="O30" s="45"/>
      <c r="P30" s="45"/>
      <c r="Q30" s="45"/>
      <c r="R30" s="45"/>
      <c r="S30" s="45"/>
      <c r="T30" s="45"/>
      <c r="U30" s="45"/>
      <c r="V30" s="45"/>
      <c r="W30" s="45"/>
      <c r="X30" s="45"/>
      <c r="Y30" s="45"/>
      <c r="Z30" s="47" t="str">
        <f t="shared" si="0"/>
        <v>Очікую</v>
      </c>
      <c r="AA30" s="47" t="str">
        <f t="shared" si="1"/>
        <v>Очікую</v>
      </c>
      <c r="AB30" s="34"/>
      <c r="AC30" s="40"/>
    </row>
    <row r="31" spans="1:29" s="11" customFormat="1" ht="15" customHeight="1" x14ac:dyDescent="0.25">
      <c r="A31" s="41"/>
      <c r="B31" s="32"/>
      <c r="C31" s="45"/>
      <c r="D31" s="45">
        <v>22</v>
      </c>
      <c r="E31" s="46"/>
      <c r="F31" s="45"/>
      <c r="G31" s="45"/>
      <c r="H31" s="45"/>
      <c r="I31" s="45"/>
      <c r="J31" s="45"/>
      <c r="K31" s="45"/>
      <c r="L31" s="45"/>
      <c r="M31" s="45"/>
      <c r="N31" s="45"/>
      <c r="O31" s="45"/>
      <c r="P31" s="45"/>
      <c r="Q31" s="45"/>
      <c r="R31" s="45"/>
      <c r="S31" s="45"/>
      <c r="T31" s="45"/>
      <c r="U31" s="45"/>
      <c r="V31" s="45"/>
      <c r="W31" s="45"/>
      <c r="X31" s="45"/>
      <c r="Y31" s="45"/>
      <c r="Z31" s="47" t="str">
        <f t="shared" si="0"/>
        <v>Очікую</v>
      </c>
      <c r="AA31" s="47" t="str">
        <f t="shared" si="1"/>
        <v>Очікую</v>
      </c>
      <c r="AB31" s="34"/>
      <c r="AC31" s="40"/>
    </row>
    <row r="32" spans="1:29" s="11" customFormat="1" ht="15" customHeight="1" x14ac:dyDescent="0.25">
      <c r="A32" s="41"/>
      <c r="B32" s="32"/>
      <c r="C32" s="45"/>
      <c r="D32" s="45">
        <v>23</v>
      </c>
      <c r="E32" s="46"/>
      <c r="F32" s="45"/>
      <c r="G32" s="45"/>
      <c r="H32" s="45"/>
      <c r="I32" s="45"/>
      <c r="J32" s="45"/>
      <c r="K32" s="45"/>
      <c r="L32" s="45"/>
      <c r="M32" s="45"/>
      <c r="N32" s="45"/>
      <c r="O32" s="45"/>
      <c r="P32" s="45"/>
      <c r="Q32" s="45"/>
      <c r="R32" s="45"/>
      <c r="S32" s="45"/>
      <c r="T32" s="45"/>
      <c r="U32" s="45"/>
      <c r="V32" s="45"/>
      <c r="W32" s="45"/>
      <c r="X32" s="45"/>
      <c r="Y32" s="45"/>
      <c r="Z32" s="47" t="str">
        <f t="shared" si="0"/>
        <v>Очікую</v>
      </c>
      <c r="AA32" s="47" t="str">
        <f t="shared" si="1"/>
        <v>Очікую</v>
      </c>
      <c r="AB32" s="34"/>
      <c r="AC32" s="40"/>
    </row>
    <row r="33" spans="1:29" s="11" customFormat="1" ht="15" customHeight="1" x14ac:dyDescent="0.25">
      <c r="A33" s="41"/>
      <c r="B33" s="32"/>
      <c r="C33" s="45"/>
      <c r="D33" s="45">
        <v>24</v>
      </c>
      <c r="E33" s="46"/>
      <c r="F33" s="45"/>
      <c r="G33" s="45"/>
      <c r="H33" s="45"/>
      <c r="I33" s="45"/>
      <c r="J33" s="45"/>
      <c r="K33" s="45"/>
      <c r="L33" s="45"/>
      <c r="M33" s="45"/>
      <c r="N33" s="45"/>
      <c r="O33" s="45"/>
      <c r="P33" s="45"/>
      <c r="Q33" s="45"/>
      <c r="R33" s="45"/>
      <c r="S33" s="45"/>
      <c r="T33" s="45"/>
      <c r="U33" s="45"/>
      <c r="V33" s="45"/>
      <c r="W33" s="45"/>
      <c r="X33" s="45"/>
      <c r="Y33" s="45"/>
      <c r="Z33" s="47" t="str">
        <f t="shared" si="0"/>
        <v>Очікую</v>
      </c>
      <c r="AA33" s="47" t="str">
        <f t="shared" si="1"/>
        <v>Очікую</v>
      </c>
      <c r="AB33" s="34"/>
      <c r="AC33" s="40"/>
    </row>
    <row r="34" spans="1:29" s="11" customFormat="1" ht="15" customHeight="1" x14ac:dyDescent="0.25">
      <c r="A34" s="41"/>
      <c r="B34" s="32"/>
      <c r="C34" s="45"/>
      <c r="D34" s="45">
        <v>25</v>
      </c>
      <c r="E34" s="46"/>
      <c r="F34" s="45"/>
      <c r="G34" s="45"/>
      <c r="H34" s="45"/>
      <c r="I34" s="45"/>
      <c r="J34" s="45"/>
      <c r="K34" s="45"/>
      <c r="L34" s="45"/>
      <c r="M34" s="45"/>
      <c r="N34" s="45"/>
      <c r="O34" s="45"/>
      <c r="P34" s="45"/>
      <c r="Q34" s="45"/>
      <c r="R34" s="45"/>
      <c r="S34" s="45"/>
      <c r="T34" s="45"/>
      <c r="U34" s="45"/>
      <c r="V34" s="45"/>
      <c r="W34" s="45"/>
      <c r="X34" s="45"/>
      <c r="Y34" s="45"/>
      <c r="Z34" s="47" t="str">
        <f t="shared" si="0"/>
        <v>Очікую</v>
      </c>
      <c r="AA34" s="47" t="str">
        <f t="shared" si="1"/>
        <v>Очікую</v>
      </c>
      <c r="AB34" s="34"/>
      <c r="AC34" s="40"/>
    </row>
    <row r="35" spans="1:29" s="11" customFormat="1" ht="15" customHeight="1" x14ac:dyDescent="0.25">
      <c r="A35" s="41"/>
      <c r="B35" s="32"/>
      <c r="C35" s="45"/>
      <c r="D35" s="45">
        <v>26</v>
      </c>
      <c r="E35" s="46"/>
      <c r="F35" s="45"/>
      <c r="G35" s="45"/>
      <c r="H35" s="45"/>
      <c r="I35" s="45"/>
      <c r="J35" s="45"/>
      <c r="K35" s="45"/>
      <c r="L35" s="45"/>
      <c r="M35" s="45"/>
      <c r="N35" s="45"/>
      <c r="O35" s="45"/>
      <c r="P35" s="45"/>
      <c r="Q35" s="45"/>
      <c r="R35" s="45"/>
      <c r="S35" s="45"/>
      <c r="T35" s="45"/>
      <c r="U35" s="45"/>
      <c r="V35" s="45"/>
      <c r="W35" s="45"/>
      <c r="X35" s="45"/>
      <c r="Y35" s="45"/>
      <c r="Z35" s="47" t="str">
        <f t="shared" si="0"/>
        <v>Очікую</v>
      </c>
      <c r="AA35" s="47" t="str">
        <f t="shared" si="1"/>
        <v>Очікую</v>
      </c>
      <c r="AB35" s="34"/>
      <c r="AC35" s="40"/>
    </row>
    <row r="36" spans="1:29" s="11" customFormat="1" ht="15" customHeight="1" x14ac:dyDescent="0.25">
      <c r="A36" s="41"/>
      <c r="B36" s="32"/>
      <c r="C36" s="45"/>
      <c r="D36" s="45">
        <v>27</v>
      </c>
      <c r="E36" s="46"/>
      <c r="F36" s="45"/>
      <c r="G36" s="45"/>
      <c r="H36" s="45"/>
      <c r="I36" s="45"/>
      <c r="J36" s="45"/>
      <c r="K36" s="45"/>
      <c r="L36" s="45"/>
      <c r="M36" s="45"/>
      <c r="N36" s="45"/>
      <c r="O36" s="45"/>
      <c r="P36" s="45"/>
      <c r="Q36" s="45"/>
      <c r="R36" s="45"/>
      <c r="S36" s="45"/>
      <c r="T36" s="45"/>
      <c r="U36" s="45"/>
      <c r="V36" s="45"/>
      <c r="W36" s="45"/>
      <c r="X36" s="45"/>
      <c r="Y36" s="45"/>
      <c r="Z36" s="47" t="str">
        <f t="shared" si="0"/>
        <v>Очікую</v>
      </c>
      <c r="AA36" s="47" t="str">
        <f t="shared" si="1"/>
        <v>Очікую</v>
      </c>
      <c r="AB36" s="34"/>
      <c r="AC36" s="40"/>
    </row>
    <row r="37" spans="1:29" s="11" customFormat="1" ht="15" customHeight="1" x14ac:dyDescent="0.25">
      <c r="A37" s="41"/>
      <c r="B37" s="32"/>
      <c r="C37" s="45"/>
      <c r="D37" s="45">
        <v>28</v>
      </c>
      <c r="E37" s="46"/>
      <c r="F37" s="45"/>
      <c r="G37" s="45"/>
      <c r="H37" s="45"/>
      <c r="I37" s="45"/>
      <c r="J37" s="45"/>
      <c r="K37" s="45"/>
      <c r="L37" s="45"/>
      <c r="M37" s="45"/>
      <c r="N37" s="45"/>
      <c r="O37" s="45"/>
      <c r="P37" s="45"/>
      <c r="Q37" s="45"/>
      <c r="R37" s="45"/>
      <c r="S37" s="45"/>
      <c r="T37" s="45"/>
      <c r="U37" s="45"/>
      <c r="V37" s="45"/>
      <c r="W37" s="45"/>
      <c r="X37" s="45"/>
      <c r="Y37" s="45"/>
      <c r="Z37" s="47" t="str">
        <f t="shared" si="0"/>
        <v>Очікую</v>
      </c>
      <c r="AA37" s="47" t="str">
        <f t="shared" si="1"/>
        <v>Очікую</v>
      </c>
      <c r="AB37" s="34"/>
      <c r="AC37" s="40"/>
    </row>
    <row r="38" spans="1:29" s="11" customFormat="1" ht="15" customHeight="1" x14ac:dyDescent="0.25">
      <c r="A38" s="41"/>
      <c r="B38" s="32"/>
      <c r="C38" s="45"/>
      <c r="D38" s="45">
        <v>29</v>
      </c>
      <c r="E38" s="46"/>
      <c r="F38" s="45"/>
      <c r="G38" s="45"/>
      <c r="H38" s="45"/>
      <c r="I38" s="45"/>
      <c r="J38" s="45"/>
      <c r="K38" s="45"/>
      <c r="L38" s="45"/>
      <c r="M38" s="45"/>
      <c r="N38" s="45"/>
      <c r="O38" s="45"/>
      <c r="P38" s="45"/>
      <c r="Q38" s="45"/>
      <c r="R38" s="45"/>
      <c r="S38" s="45"/>
      <c r="T38" s="45"/>
      <c r="U38" s="45"/>
      <c r="V38" s="45"/>
      <c r="W38" s="45"/>
      <c r="X38" s="45"/>
      <c r="Y38" s="45"/>
      <c r="Z38" s="47" t="str">
        <f t="shared" si="0"/>
        <v>Очікую</v>
      </c>
      <c r="AA38" s="47" t="str">
        <f t="shared" si="1"/>
        <v>Очікую</v>
      </c>
      <c r="AB38" s="34"/>
      <c r="AC38" s="40"/>
    </row>
    <row r="39" spans="1:29" s="11" customFormat="1" ht="15" customHeight="1" x14ac:dyDescent="0.25">
      <c r="A39" s="41"/>
      <c r="B39" s="32"/>
      <c r="C39" s="45"/>
      <c r="D39" s="45">
        <v>30</v>
      </c>
      <c r="E39" s="46"/>
      <c r="F39" s="45"/>
      <c r="G39" s="45"/>
      <c r="H39" s="45"/>
      <c r="I39" s="45"/>
      <c r="J39" s="45"/>
      <c r="K39" s="45"/>
      <c r="L39" s="45"/>
      <c r="M39" s="45"/>
      <c r="N39" s="45"/>
      <c r="O39" s="45"/>
      <c r="P39" s="45"/>
      <c r="Q39" s="45"/>
      <c r="R39" s="45"/>
      <c r="S39" s="45"/>
      <c r="T39" s="45"/>
      <c r="U39" s="45"/>
      <c r="V39" s="45"/>
      <c r="W39" s="45"/>
      <c r="X39" s="45"/>
      <c r="Y39" s="45"/>
      <c r="Z39" s="47" t="str">
        <f t="shared" si="0"/>
        <v>Очікую</v>
      </c>
      <c r="AA39" s="47" t="str">
        <f t="shared" si="1"/>
        <v>Очікую</v>
      </c>
      <c r="AB39" s="34"/>
      <c r="AC39" s="40"/>
    </row>
    <row r="40" spans="1:29" s="11" customFormat="1" ht="15" customHeight="1" x14ac:dyDescent="0.25">
      <c r="A40" s="41"/>
      <c r="B40" s="32"/>
      <c r="C40" s="45"/>
      <c r="D40" s="45">
        <v>31</v>
      </c>
      <c r="E40" s="46"/>
      <c r="F40" s="45"/>
      <c r="G40" s="45"/>
      <c r="H40" s="45"/>
      <c r="I40" s="45"/>
      <c r="J40" s="45"/>
      <c r="K40" s="45"/>
      <c r="L40" s="45"/>
      <c r="M40" s="45"/>
      <c r="N40" s="45"/>
      <c r="O40" s="45"/>
      <c r="P40" s="45"/>
      <c r="Q40" s="45"/>
      <c r="R40" s="45"/>
      <c r="S40" s="45"/>
      <c r="T40" s="45"/>
      <c r="U40" s="45"/>
      <c r="V40" s="45"/>
      <c r="W40" s="45"/>
      <c r="X40" s="45"/>
      <c r="Y40" s="45"/>
      <c r="Z40" s="47" t="str">
        <f t="shared" si="0"/>
        <v>Очікую</v>
      </c>
      <c r="AA40" s="47" t="str">
        <f t="shared" si="1"/>
        <v>Очікую</v>
      </c>
      <c r="AB40" s="34"/>
      <c r="AC40" s="40"/>
    </row>
    <row r="41" spans="1:29" s="11" customFormat="1" ht="15" customHeight="1" x14ac:dyDescent="0.25">
      <c r="A41" s="41"/>
      <c r="B41" s="32"/>
      <c r="C41" s="45"/>
      <c r="D41" s="45">
        <v>32</v>
      </c>
      <c r="E41" s="46"/>
      <c r="F41" s="45"/>
      <c r="G41" s="45"/>
      <c r="H41" s="45"/>
      <c r="I41" s="45"/>
      <c r="J41" s="45"/>
      <c r="K41" s="45"/>
      <c r="L41" s="45"/>
      <c r="M41" s="45"/>
      <c r="N41" s="45"/>
      <c r="O41" s="45"/>
      <c r="P41" s="45"/>
      <c r="Q41" s="45"/>
      <c r="R41" s="45"/>
      <c r="S41" s="45"/>
      <c r="T41" s="45"/>
      <c r="U41" s="45"/>
      <c r="V41" s="45"/>
      <c r="W41" s="45"/>
      <c r="X41" s="45"/>
      <c r="Y41" s="45"/>
      <c r="Z41" s="47" t="str">
        <f t="shared" si="0"/>
        <v>Очікую</v>
      </c>
      <c r="AA41" s="47" t="str">
        <f t="shared" si="1"/>
        <v>Очікую</v>
      </c>
      <c r="AB41" s="34"/>
      <c r="AC41" s="40"/>
    </row>
    <row r="42" spans="1:29" s="11" customFormat="1" ht="15" customHeight="1" x14ac:dyDescent="0.25">
      <c r="A42" s="41"/>
      <c r="B42" s="32"/>
      <c r="C42" s="45"/>
      <c r="D42" s="45">
        <v>33</v>
      </c>
      <c r="E42" s="46"/>
      <c r="F42" s="45"/>
      <c r="G42" s="45"/>
      <c r="H42" s="45"/>
      <c r="I42" s="45"/>
      <c r="J42" s="45"/>
      <c r="K42" s="45"/>
      <c r="L42" s="45"/>
      <c r="M42" s="45"/>
      <c r="N42" s="45"/>
      <c r="O42" s="45"/>
      <c r="P42" s="45"/>
      <c r="Q42" s="45"/>
      <c r="R42" s="45"/>
      <c r="S42" s="45"/>
      <c r="T42" s="45"/>
      <c r="U42" s="45"/>
      <c r="V42" s="45"/>
      <c r="W42" s="45"/>
      <c r="X42" s="45"/>
      <c r="Y42" s="45"/>
      <c r="Z42" s="47" t="str">
        <f t="shared" si="0"/>
        <v>Очікую</v>
      </c>
      <c r="AA42" s="47" t="str">
        <f t="shared" si="1"/>
        <v>Очікую</v>
      </c>
      <c r="AB42" s="34"/>
      <c r="AC42" s="40"/>
    </row>
    <row r="43" spans="1:29" s="11" customFormat="1" ht="15" customHeight="1" x14ac:dyDescent="0.25">
      <c r="A43" s="41"/>
      <c r="B43" s="32"/>
      <c r="C43" s="45"/>
      <c r="D43" s="45">
        <v>34</v>
      </c>
      <c r="E43" s="46"/>
      <c r="F43" s="45"/>
      <c r="G43" s="45"/>
      <c r="H43" s="45"/>
      <c r="I43" s="45"/>
      <c r="J43" s="45"/>
      <c r="K43" s="45"/>
      <c r="L43" s="45"/>
      <c r="M43" s="45"/>
      <c r="N43" s="45"/>
      <c r="O43" s="45"/>
      <c r="P43" s="45"/>
      <c r="Q43" s="45"/>
      <c r="R43" s="45"/>
      <c r="S43" s="45"/>
      <c r="T43" s="45"/>
      <c r="U43" s="45"/>
      <c r="V43" s="45"/>
      <c r="W43" s="45"/>
      <c r="X43" s="45"/>
      <c r="Y43" s="45"/>
      <c r="Z43" s="47" t="str">
        <f t="shared" si="0"/>
        <v>Очікую</v>
      </c>
      <c r="AA43" s="47" t="str">
        <f t="shared" si="1"/>
        <v>Очікую</v>
      </c>
      <c r="AB43" s="34"/>
      <c r="AC43" s="40"/>
    </row>
    <row r="44" spans="1:29" s="11" customFormat="1" ht="15" customHeight="1" x14ac:dyDescent="0.25">
      <c r="A44" s="41"/>
      <c r="B44" s="32"/>
      <c r="C44" s="45"/>
      <c r="D44" s="45">
        <v>35</v>
      </c>
      <c r="E44" s="46"/>
      <c r="F44" s="45"/>
      <c r="G44" s="45"/>
      <c r="H44" s="45"/>
      <c r="I44" s="45"/>
      <c r="J44" s="45"/>
      <c r="K44" s="45"/>
      <c r="L44" s="45"/>
      <c r="M44" s="45"/>
      <c r="N44" s="45"/>
      <c r="O44" s="45"/>
      <c r="P44" s="45"/>
      <c r="Q44" s="45"/>
      <c r="R44" s="45"/>
      <c r="S44" s="45"/>
      <c r="T44" s="45"/>
      <c r="U44" s="45"/>
      <c r="V44" s="45"/>
      <c r="W44" s="45"/>
      <c r="X44" s="45"/>
      <c r="Y44" s="45"/>
      <c r="Z44" s="47" t="str">
        <f t="shared" si="0"/>
        <v>Очікую</v>
      </c>
      <c r="AA44" s="47" t="str">
        <f t="shared" si="1"/>
        <v>Очікую</v>
      </c>
      <c r="AB44" s="34"/>
      <c r="AC44" s="40"/>
    </row>
    <row r="45" spans="1:29" s="11" customFormat="1" ht="15" customHeight="1" x14ac:dyDescent="0.25">
      <c r="A45" s="41"/>
      <c r="B45" s="32"/>
      <c r="C45" s="45"/>
      <c r="D45" s="45">
        <v>36</v>
      </c>
      <c r="E45" s="46"/>
      <c r="F45" s="45"/>
      <c r="G45" s="45"/>
      <c r="H45" s="45"/>
      <c r="I45" s="45"/>
      <c r="J45" s="45"/>
      <c r="K45" s="45"/>
      <c r="L45" s="45"/>
      <c r="M45" s="45"/>
      <c r="N45" s="45"/>
      <c r="O45" s="45"/>
      <c r="P45" s="45"/>
      <c r="Q45" s="45"/>
      <c r="R45" s="45"/>
      <c r="S45" s="45"/>
      <c r="T45" s="45"/>
      <c r="U45" s="45"/>
      <c r="V45" s="45"/>
      <c r="W45" s="45"/>
      <c r="X45" s="45"/>
      <c r="Y45" s="45"/>
      <c r="Z45" s="47" t="str">
        <f t="shared" si="0"/>
        <v>Очікую</v>
      </c>
      <c r="AA45" s="47" t="str">
        <f t="shared" si="1"/>
        <v>Очікую</v>
      </c>
      <c r="AB45" s="34"/>
      <c r="AC45" s="40"/>
    </row>
    <row r="46" spans="1:29" s="11" customFormat="1" ht="15" customHeight="1" x14ac:dyDescent="0.25">
      <c r="A46" s="41"/>
      <c r="B46" s="32"/>
      <c r="C46" s="45"/>
      <c r="D46" s="45">
        <v>37</v>
      </c>
      <c r="E46" s="46"/>
      <c r="F46" s="45"/>
      <c r="G46" s="45"/>
      <c r="H46" s="45"/>
      <c r="I46" s="45"/>
      <c r="J46" s="45"/>
      <c r="K46" s="45"/>
      <c r="L46" s="45"/>
      <c r="M46" s="45"/>
      <c r="N46" s="45"/>
      <c r="O46" s="45"/>
      <c r="P46" s="45"/>
      <c r="Q46" s="45"/>
      <c r="R46" s="45"/>
      <c r="S46" s="45"/>
      <c r="T46" s="45"/>
      <c r="U46" s="45"/>
      <c r="V46" s="45"/>
      <c r="W46" s="45"/>
      <c r="X46" s="45"/>
      <c r="Y46" s="45"/>
      <c r="Z46" s="47" t="str">
        <f t="shared" si="0"/>
        <v>Очікую</v>
      </c>
      <c r="AA46" s="47" t="str">
        <f t="shared" si="1"/>
        <v>Очікую</v>
      </c>
      <c r="AB46" s="34"/>
      <c r="AC46" s="40"/>
    </row>
    <row r="47" spans="1:29" s="11" customFormat="1" ht="15" customHeight="1" x14ac:dyDescent="0.25">
      <c r="A47" s="41"/>
      <c r="B47" s="32"/>
      <c r="C47" s="45"/>
      <c r="D47" s="45">
        <v>38</v>
      </c>
      <c r="E47" s="46"/>
      <c r="F47" s="45"/>
      <c r="G47" s="45"/>
      <c r="H47" s="45"/>
      <c r="I47" s="45"/>
      <c r="J47" s="45"/>
      <c r="K47" s="45"/>
      <c r="L47" s="45"/>
      <c r="M47" s="45"/>
      <c r="N47" s="45"/>
      <c r="O47" s="45"/>
      <c r="P47" s="45"/>
      <c r="Q47" s="45"/>
      <c r="R47" s="45"/>
      <c r="S47" s="45"/>
      <c r="T47" s="45"/>
      <c r="U47" s="45"/>
      <c r="V47" s="45"/>
      <c r="W47" s="45"/>
      <c r="X47" s="45"/>
      <c r="Y47" s="45"/>
      <c r="Z47" s="47" t="str">
        <f t="shared" si="0"/>
        <v>Очікую</v>
      </c>
      <c r="AA47" s="47" t="str">
        <f t="shared" si="1"/>
        <v>Очікую</v>
      </c>
      <c r="AB47" s="34"/>
      <c r="AC47" s="40"/>
    </row>
    <row r="48" spans="1:29" s="11" customFormat="1" ht="15" customHeight="1" x14ac:dyDescent="0.25">
      <c r="A48" s="41"/>
      <c r="B48" s="32"/>
      <c r="C48" s="45"/>
      <c r="D48" s="45">
        <v>39</v>
      </c>
      <c r="E48" s="46"/>
      <c r="F48" s="45"/>
      <c r="G48" s="45"/>
      <c r="H48" s="45"/>
      <c r="I48" s="45"/>
      <c r="J48" s="45"/>
      <c r="K48" s="45"/>
      <c r="L48" s="45"/>
      <c r="M48" s="45"/>
      <c r="N48" s="45"/>
      <c r="O48" s="45"/>
      <c r="P48" s="45"/>
      <c r="Q48" s="45"/>
      <c r="R48" s="45"/>
      <c r="S48" s="45"/>
      <c r="T48" s="45"/>
      <c r="U48" s="45"/>
      <c r="V48" s="45"/>
      <c r="W48" s="45"/>
      <c r="X48" s="45"/>
      <c r="Y48" s="45"/>
      <c r="Z48" s="47" t="str">
        <f t="shared" si="0"/>
        <v>Очікую</v>
      </c>
      <c r="AA48" s="47" t="str">
        <f t="shared" si="1"/>
        <v>Очікую</v>
      </c>
      <c r="AB48" s="34"/>
      <c r="AC48" s="40"/>
    </row>
    <row r="49" spans="1:29" s="11" customFormat="1" ht="15" customHeight="1" x14ac:dyDescent="0.25">
      <c r="A49" s="41"/>
      <c r="B49" s="32"/>
      <c r="C49" s="45"/>
      <c r="D49" s="45">
        <v>40</v>
      </c>
      <c r="E49" s="46"/>
      <c r="F49" s="45"/>
      <c r="G49" s="45"/>
      <c r="H49" s="45"/>
      <c r="I49" s="45"/>
      <c r="J49" s="45"/>
      <c r="K49" s="45"/>
      <c r="L49" s="45"/>
      <c r="M49" s="45"/>
      <c r="N49" s="45"/>
      <c r="O49" s="45"/>
      <c r="P49" s="45"/>
      <c r="Q49" s="45"/>
      <c r="R49" s="45"/>
      <c r="S49" s="45"/>
      <c r="T49" s="45"/>
      <c r="U49" s="45"/>
      <c r="V49" s="45"/>
      <c r="W49" s="45"/>
      <c r="X49" s="45"/>
      <c r="Y49" s="45"/>
      <c r="Z49" s="47" t="str">
        <f t="shared" si="0"/>
        <v>Очікую</v>
      </c>
      <c r="AA49" s="47" t="str">
        <f t="shared" si="1"/>
        <v>Очікую</v>
      </c>
      <c r="AB49" s="34"/>
      <c r="AC49" s="40"/>
    </row>
    <row r="50" spans="1:29" s="11" customFormat="1" ht="15" customHeight="1" x14ac:dyDescent="0.25">
      <c r="A50" s="41"/>
      <c r="B50" s="32"/>
      <c r="C50" s="45"/>
      <c r="D50" s="45">
        <v>41</v>
      </c>
      <c r="E50" s="46"/>
      <c r="F50" s="45"/>
      <c r="G50" s="45"/>
      <c r="H50" s="45"/>
      <c r="I50" s="45"/>
      <c r="J50" s="45"/>
      <c r="K50" s="45"/>
      <c r="L50" s="45"/>
      <c r="M50" s="45"/>
      <c r="N50" s="45"/>
      <c r="O50" s="45"/>
      <c r="P50" s="45"/>
      <c r="Q50" s="45"/>
      <c r="R50" s="45"/>
      <c r="S50" s="45"/>
      <c r="T50" s="45"/>
      <c r="U50" s="45"/>
      <c r="V50" s="45"/>
      <c r="W50" s="45"/>
      <c r="X50" s="45"/>
      <c r="Y50" s="45"/>
      <c r="Z50" s="47" t="str">
        <f t="shared" si="0"/>
        <v>Очікую</v>
      </c>
      <c r="AA50" s="47" t="str">
        <f t="shared" si="1"/>
        <v>Очікую</v>
      </c>
      <c r="AB50" s="34"/>
      <c r="AC50" s="40"/>
    </row>
    <row r="51" spans="1:29" s="11" customFormat="1" ht="15" customHeight="1" x14ac:dyDescent="0.25">
      <c r="A51" s="41"/>
      <c r="B51" s="32"/>
      <c r="C51" s="45"/>
      <c r="D51" s="45">
        <v>42</v>
      </c>
      <c r="E51" s="46"/>
      <c r="F51" s="45"/>
      <c r="G51" s="45"/>
      <c r="H51" s="45"/>
      <c r="I51" s="45"/>
      <c r="J51" s="45"/>
      <c r="K51" s="45"/>
      <c r="L51" s="45"/>
      <c r="M51" s="45"/>
      <c r="N51" s="45"/>
      <c r="O51" s="45"/>
      <c r="P51" s="45"/>
      <c r="Q51" s="45"/>
      <c r="R51" s="45"/>
      <c r="S51" s="45"/>
      <c r="T51" s="45"/>
      <c r="U51" s="45"/>
      <c r="V51" s="45"/>
      <c r="W51" s="45"/>
      <c r="X51" s="45"/>
      <c r="Y51" s="45"/>
      <c r="Z51" s="47" t="str">
        <f t="shared" si="0"/>
        <v>Очікую</v>
      </c>
      <c r="AA51" s="47" t="str">
        <f t="shared" si="1"/>
        <v>Очікую</v>
      </c>
      <c r="AB51" s="34"/>
      <c r="AC51" s="40"/>
    </row>
    <row r="52" spans="1:29" s="11" customFormat="1" ht="15" customHeight="1" x14ac:dyDescent="0.25">
      <c r="A52" s="41"/>
      <c r="B52" s="32"/>
      <c r="C52" s="45"/>
      <c r="D52" s="45">
        <v>43</v>
      </c>
      <c r="E52" s="46"/>
      <c r="F52" s="45"/>
      <c r="G52" s="45"/>
      <c r="H52" s="45"/>
      <c r="I52" s="45"/>
      <c r="J52" s="45"/>
      <c r="K52" s="45"/>
      <c r="L52" s="45"/>
      <c r="M52" s="45"/>
      <c r="N52" s="45"/>
      <c r="O52" s="45"/>
      <c r="P52" s="45"/>
      <c r="Q52" s="45"/>
      <c r="R52" s="45"/>
      <c r="S52" s="45"/>
      <c r="T52" s="45"/>
      <c r="U52" s="45"/>
      <c r="V52" s="45"/>
      <c r="W52" s="45"/>
      <c r="X52" s="45"/>
      <c r="Y52" s="45"/>
      <c r="Z52" s="47" t="str">
        <f t="shared" si="0"/>
        <v>Очікую</v>
      </c>
      <c r="AA52" s="47" t="str">
        <f t="shared" si="1"/>
        <v>Очікую</v>
      </c>
      <c r="AB52" s="34"/>
      <c r="AC52" s="40"/>
    </row>
    <row r="53" spans="1:29" s="11" customFormat="1" ht="15" customHeight="1" x14ac:dyDescent="0.25">
      <c r="A53" s="41"/>
      <c r="B53" s="32"/>
      <c r="C53" s="45"/>
      <c r="D53" s="45">
        <v>44</v>
      </c>
      <c r="E53" s="46"/>
      <c r="F53" s="45"/>
      <c r="G53" s="45"/>
      <c r="H53" s="45"/>
      <c r="I53" s="45"/>
      <c r="J53" s="45"/>
      <c r="K53" s="45"/>
      <c r="L53" s="45"/>
      <c r="M53" s="45"/>
      <c r="N53" s="45"/>
      <c r="O53" s="45"/>
      <c r="P53" s="45"/>
      <c r="Q53" s="45"/>
      <c r="R53" s="45"/>
      <c r="S53" s="45"/>
      <c r="T53" s="45"/>
      <c r="U53" s="45"/>
      <c r="V53" s="45"/>
      <c r="W53" s="45"/>
      <c r="X53" s="45"/>
      <c r="Y53" s="45"/>
      <c r="Z53" s="47" t="str">
        <f t="shared" si="0"/>
        <v>Очікую</v>
      </c>
      <c r="AA53" s="47" t="str">
        <f t="shared" si="1"/>
        <v>Очікую</v>
      </c>
      <c r="AB53" s="34"/>
      <c r="AC53" s="40"/>
    </row>
    <row r="54" spans="1:29" s="11" customFormat="1" ht="15" customHeight="1" x14ac:dyDescent="0.25">
      <c r="A54" s="41"/>
      <c r="B54" s="32"/>
      <c r="C54" s="45"/>
      <c r="D54" s="45">
        <v>45</v>
      </c>
      <c r="E54" s="46"/>
      <c r="F54" s="45"/>
      <c r="G54" s="45"/>
      <c r="H54" s="45"/>
      <c r="I54" s="45"/>
      <c r="J54" s="45"/>
      <c r="K54" s="45"/>
      <c r="L54" s="45"/>
      <c r="M54" s="45"/>
      <c r="N54" s="45"/>
      <c r="O54" s="45"/>
      <c r="P54" s="45"/>
      <c r="Q54" s="45"/>
      <c r="R54" s="45"/>
      <c r="S54" s="45"/>
      <c r="T54" s="45"/>
      <c r="U54" s="45"/>
      <c r="V54" s="45"/>
      <c r="W54" s="45"/>
      <c r="X54" s="45"/>
      <c r="Y54" s="45"/>
      <c r="Z54" s="47" t="str">
        <f t="shared" si="0"/>
        <v>Очікую</v>
      </c>
      <c r="AA54" s="47" t="str">
        <f t="shared" si="1"/>
        <v>Очікую</v>
      </c>
      <c r="AB54" s="34"/>
      <c r="AC54" s="40"/>
    </row>
    <row r="55" spans="1:29" s="11" customFormat="1" ht="15" customHeight="1" x14ac:dyDescent="0.25">
      <c r="A55" s="41"/>
      <c r="B55" s="32"/>
      <c r="C55" s="45"/>
      <c r="D55" s="45">
        <v>46</v>
      </c>
      <c r="E55" s="46"/>
      <c r="F55" s="45"/>
      <c r="G55" s="45"/>
      <c r="H55" s="45"/>
      <c r="I55" s="45"/>
      <c r="J55" s="45"/>
      <c r="K55" s="45"/>
      <c r="L55" s="45"/>
      <c r="M55" s="45"/>
      <c r="N55" s="45"/>
      <c r="O55" s="45"/>
      <c r="P55" s="45"/>
      <c r="Q55" s="45"/>
      <c r="R55" s="45"/>
      <c r="S55" s="45"/>
      <c r="T55" s="45"/>
      <c r="U55" s="45"/>
      <c r="V55" s="45"/>
      <c r="W55" s="45"/>
      <c r="X55" s="45"/>
      <c r="Y55" s="45"/>
      <c r="Z55" s="47" t="str">
        <f t="shared" si="0"/>
        <v>Очікую</v>
      </c>
      <c r="AA55" s="47" t="str">
        <f t="shared" si="1"/>
        <v>Очікую</v>
      </c>
      <c r="AB55" s="34"/>
      <c r="AC55" s="40"/>
    </row>
    <row r="56" spans="1:29" s="11" customFormat="1" ht="15" customHeight="1" x14ac:dyDescent="0.25">
      <c r="A56" s="41"/>
      <c r="B56" s="32"/>
      <c r="C56" s="45"/>
      <c r="D56" s="45">
        <v>47</v>
      </c>
      <c r="E56" s="46"/>
      <c r="F56" s="45"/>
      <c r="G56" s="45"/>
      <c r="H56" s="45"/>
      <c r="I56" s="45"/>
      <c r="J56" s="45"/>
      <c r="K56" s="45"/>
      <c r="L56" s="45"/>
      <c r="M56" s="45"/>
      <c r="N56" s="45"/>
      <c r="O56" s="45"/>
      <c r="P56" s="45"/>
      <c r="Q56" s="45"/>
      <c r="R56" s="45"/>
      <c r="S56" s="45"/>
      <c r="T56" s="45"/>
      <c r="U56" s="45"/>
      <c r="V56" s="45"/>
      <c r="W56" s="45"/>
      <c r="X56" s="45"/>
      <c r="Y56" s="45"/>
      <c r="Z56" s="47" t="str">
        <f t="shared" si="0"/>
        <v>Очікую</v>
      </c>
      <c r="AA56" s="47" t="str">
        <f t="shared" si="1"/>
        <v>Очікую</v>
      </c>
      <c r="AB56" s="34"/>
      <c r="AC56" s="40"/>
    </row>
    <row r="57" spans="1:29" s="11" customFormat="1" ht="15" customHeight="1" x14ac:dyDescent="0.25">
      <c r="A57" s="41"/>
      <c r="B57" s="32"/>
      <c r="C57" s="45"/>
      <c r="D57" s="45">
        <v>48</v>
      </c>
      <c r="E57" s="46"/>
      <c r="F57" s="45"/>
      <c r="G57" s="45"/>
      <c r="H57" s="45"/>
      <c r="I57" s="45"/>
      <c r="J57" s="45"/>
      <c r="K57" s="45"/>
      <c r="L57" s="45"/>
      <c r="M57" s="45"/>
      <c r="N57" s="45"/>
      <c r="O57" s="45"/>
      <c r="P57" s="45"/>
      <c r="Q57" s="45"/>
      <c r="R57" s="45"/>
      <c r="S57" s="45"/>
      <c r="T57" s="45"/>
      <c r="U57" s="45"/>
      <c r="V57" s="45"/>
      <c r="W57" s="45"/>
      <c r="X57" s="45"/>
      <c r="Y57" s="45"/>
      <c r="Z57" s="47" t="str">
        <f t="shared" si="0"/>
        <v>Очікую</v>
      </c>
      <c r="AA57" s="47" t="str">
        <f t="shared" si="1"/>
        <v>Очікую</v>
      </c>
      <c r="AB57" s="34"/>
      <c r="AC57" s="40"/>
    </row>
    <row r="58" spans="1:29" s="11" customFormat="1" ht="15" customHeight="1" x14ac:dyDescent="0.25">
      <c r="A58" s="41"/>
      <c r="B58" s="32"/>
      <c r="C58" s="45"/>
      <c r="D58" s="45">
        <v>49</v>
      </c>
      <c r="E58" s="46"/>
      <c r="F58" s="45"/>
      <c r="G58" s="45"/>
      <c r="H58" s="45"/>
      <c r="I58" s="45"/>
      <c r="J58" s="45"/>
      <c r="K58" s="45"/>
      <c r="L58" s="45"/>
      <c r="M58" s="45"/>
      <c r="N58" s="45"/>
      <c r="O58" s="45"/>
      <c r="P58" s="45"/>
      <c r="Q58" s="45"/>
      <c r="R58" s="45"/>
      <c r="S58" s="45"/>
      <c r="T58" s="45"/>
      <c r="U58" s="45"/>
      <c r="V58" s="45"/>
      <c r="W58" s="45"/>
      <c r="X58" s="45"/>
      <c r="Y58" s="45"/>
      <c r="Z58" s="47" t="str">
        <f t="shared" si="0"/>
        <v>Очікую</v>
      </c>
      <c r="AA58" s="47" t="str">
        <f t="shared" si="1"/>
        <v>Очікую</v>
      </c>
      <c r="AB58" s="34"/>
      <c r="AC58" s="40"/>
    </row>
    <row r="59" spans="1:29" s="11" customFormat="1" ht="15" customHeight="1" x14ac:dyDescent="0.25">
      <c r="A59" s="41"/>
      <c r="B59" s="32"/>
      <c r="C59" s="45"/>
      <c r="D59" s="45">
        <v>50</v>
      </c>
      <c r="E59" s="46"/>
      <c r="F59" s="45"/>
      <c r="G59" s="45"/>
      <c r="H59" s="45"/>
      <c r="I59" s="45"/>
      <c r="J59" s="45"/>
      <c r="K59" s="45"/>
      <c r="L59" s="45"/>
      <c r="M59" s="45"/>
      <c r="N59" s="45"/>
      <c r="O59" s="45"/>
      <c r="P59" s="45"/>
      <c r="Q59" s="45"/>
      <c r="R59" s="45"/>
      <c r="S59" s="45"/>
      <c r="T59" s="45"/>
      <c r="U59" s="45"/>
      <c r="V59" s="45"/>
      <c r="W59" s="45"/>
      <c r="X59" s="45"/>
      <c r="Y59" s="45"/>
      <c r="Z59" s="47" t="str">
        <f t="shared" si="0"/>
        <v>Очікую</v>
      </c>
      <c r="AA59" s="47" t="str">
        <f t="shared" si="1"/>
        <v>Очікую</v>
      </c>
      <c r="AB59" s="34"/>
      <c r="AC59" s="40"/>
    </row>
    <row r="60" spans="1:29" s="11" customFormat="1" ht="15" customHeight="1" x14ac:dyDescent="0.25">
      <c r="A60" s="41"/>
      <c r="B60" s="32"/>
      <c r="C60" s="45"/>
      <c r="D60" s="45">
        <v>51</v>
      </c>
      <c r="E60" s="46"/>
      <c r="F60" s="45"/>
      <c r="G60" s="45"/>
      <c r="H60" s="45"/>
      <c r="I60" s="45"/>
      <c r="J60" s="45"/>
      <c r="K60" s="45"/>
      <c r="L60" s="45"/>
      <c r="M60" s="45"/>
      <c r="N60" s="45"/>
      <c r="O60" s="45"/>
      <c r="P60" s="45"/>
      <c r="Q60" s="45"/>
      <c r="R60" s="45"/>
      <c r="S60" s="45"/>
      <c r="T60" s="45"/>
      <c r="U60" s="45"/>
      <c r="V60" s="45"/>
      <c r="W60" s="45"/>
      <c r="X60" s="45"/>
      <c r="Y60" s="45"/>
      <c r="Z60" s="47" t="str">
        <f t="shared" si="0"/>
        <v>Очікую</v>
      </c>
      <c r="AA60" s="47" t="str">
        <f t="shared" si="1"/>
        <v>Очікую</v>
      </c>
      <c r="AB60" s="34"/>
      <c r="AC60" s="40"/>
    </row>
    <row r="61" spans="1:29" s="11" customFormat="1" ht="15" customHeight="1" x14ac:dyDescent="0.25">
      <c r="A61" s="41"/>
      <c r="B61" s="32"/>
      <c r="C61" s="45"/>
      <c r="D61" s="45">
        <v>52</v>
      </c>
      <c r="E61" s="46"/>
      <c r="F61" s="45"/>
      <c r="G61" s="45"/>
      <c r="H61" s="45"/>
      <c r="I61" s="45"/>
      <c r="J61" s="45"/>
      <c r="K61" s="45"/>
      <c r="L61" s="45"/>
      <c r="M61" s="45"/>
      <c r="N61" s="45"/>
      <c r="O61" s="45"/>
      <c r="P61" s="45"/>
      <c r="Q61" s="45"/>
      <c r="R61" s="45"/>
      <c r="S61" s="45"/>
      <c r="T61" s="45"/>
      <c r="U61" s="45"/>
      <c r="V61" s="45"/>
      <c r="W61" s="45"/>
      <c r="X61" s="45"/>
      <c r="Y61" s="45"/>
      <c r="Z61" s="47" t="str">
        <f t="shared" si="0"/>
        <v>Очікую</v>
      </c>
      <c r="AA61" s="47" t="str">
        <f t="shared" si="1"/>
        <v>Очікую</v>
      </c>
      <c r="AB61" s="34"/>
      <c r="AC61" s="40"/>
    </row>
    <row r="62" spans="1:29" s="11" customFormat="1" ht="15" customHeight="1" x14ac:dyDescent="0.25">
      <c r="A62" s="41"/>
      <c r="B62" s="32"/>
      <c r="C62" s="45"/>
      <c r="D62" s="45">
        <v>53</v>
      </c>
      <c r="E62" s="46"/>
      <c r="F62" s="45"/>
      <c r="G62" s="45"/>
      <c r="H62" s="45"/>
      <c r="I62" s="45"/>
      <c r="J62" s="45"/>
      <c r="K62" s="45"/>
      <c r="L62" s="45"/>
      <c r="M62" s="45"/>
      <c r="N62" s="45"/>
      <c r="O62" s="45"/>
      <c r="P62" s="45"/>
      <c r="Q62" s="45"/>
      <c r="R62" s="45"/>
      <c r="S62" s="45"/>
      <c r="T62" s="45"/>
      <c r="U62" s="45"/>
      <c r="V62" s="45"/>
      <c r="W62" s="45"/>
      <c r="X62" s="45"/>
      <c r="Y62" s="45"/>
      <c r="Z62" s="47" t="str">
        <f t="shared" si="0"/>
        <v>Очікую</v>
      </c>
      <c r="AA62" s="47" t="str">
        <f t="shared" si="1"/>
        <v>Очікую</v>
      </c>
      <c r="AB62" s="34"/>
      <c r="AC62" s="40"/>
    </row>
    <row r="63" spans="1:29" s="11" customFormat="1" ht="15" customHeight="1" x14ac:dyDescent="0.25">
      <c r="A63" s="41"/>
      <c r="B63" s="32"/>
      <c r="C63" s="45"/>
      <c r="D63" s="45">
        <v>54</v>
      </c>
      <c r="E63" s="46"/>
      <c r="F63" s="45"/>
      <c r="G63" s="45"/>
      <c r="H63" s="45"/>
      <c r="I63" s="45"/>
      <c r="J63" s="45"/>
      <c r="K63" s="45"/>
      <c r="L63" s="45"/>
      <c r="M63" s="45"/>
      <c r="N63" s="45"/>
      <c r="O63" s="45"/>
      <c r="P63" s="45"/>
      <c r="Q63" s="45"/>
      <c r="R63" s="45"/>
      <c r="S63" s="45"/>
      <c r="T63" s="45"/>
      <c r="U63" s="45"/>
      <c r="V63" s="45"/>
      <c r="W63" s="45"/>
      <c r="X63" s="45"/>
      <c r="Y63" s="45"/>
      <c r="Z63" s="47" t="str">
        <f t="shared" si="0"/>
        <v>Очікую</v>
      </c>
      <c r="AA63" s="47" t="str">
        <f t="shared" si="1"/>
        <v>Очікую</v>
      </c>
      <c r="AB63" s="34"/>
      <c r="AC63" s="40"/>
    </row>
    <row r="64" spans="1:29" s="11" customFormat="1" ht="15" customHeight="1" x14ac:dyDescent="0.25">
      <c r="A64" s="41"/>
      <c r="B64" s="32"/>
      <c r="C64" s="45"/>
      <c r="D64" s="45">
        <v>55</v>
      </c>
      <c r="E64" s="46"/>
      <c r="F64" s="45"/>
      <c r="G64" s="45"/>
      <c r="H64" s="45"/>
      <c r="I64" s="45"/>
      <c r="J64" s="45"/>
      <c r="K64" s="45"/>
      <c r="L64" s="45"/>
      <c r="M64" s="45"/>
      <c r="N64" s="45"/>
      <c r="O64" s="45"/>
      <c r="P64" s="45"/>
      <c r="Q64" s="45"/>
      <c r="R64" s="45"/>
      <c r="S64" s="45"/>
      <c r="T64" s="45"/>
      <c r="U64" s="45"/>
      <c r="V64" s="45"/>
      <c r="W64" s="45"/>
      <c r="X64" s="45"/>
      <c r="Y64" s="45"/>
      <c r="Z64" s="47" t="str">
        <f t="shared" si="0"/>
        <v>Очікую</v>
      </c>
      <c r="AA64" s="47" t="str">
        <f t="shared" si="1"/>
        <v>Очікую</v>
      </c>
      <c r="AB64" s="34"/>
      <c r="AC64" s="40"/>
    </row>
    <row r="65" spans="1:29" s="11" customFormat="1" ht="15" customHeight="1" x14ac:dyDescent="0.25">
      <c r="A65" s="41"/>
      <c r="B65" s="32"/>
      <c r="C65" s="45"/>
      <c r="D65" s="45">
        <v>56</v>
      </c>
      <c r="E65" s="46"/>
      <c r="F65" s="45"/>
      <c r="G65" s="45"/>
      <c r="H65" s="45"/>
      <c r="I65" s="45"/>
      <c r="J65" s="45"/>
      <c r="K65" s="45"/>
      <c r="L65" s="45"/>
      <c r="M65" s="45"/>
      <c r="N65" s="45"/>
      <c r="O65" s="45"/>
      <c r="P65" s="45"/>
      <c r="Q65" s="45"/>
      <c r="R65" s="45"/>
      <c r="S65" s="45"/>
      <c r="T65" s="45"/>
      <c r="U65" s="45"/>
      <c r="V65" s="45"/>
      <c r="W65" s="45"/>
      <c r="X65" s="45"/>
      <c r="Y65" s="45"/>
      <c r="Z65" s="47" t="str">
        <f t="shared" si="0"/>
        <v>Очікую</v>
      </c>
      <c r="AA65" s="47" t="str">
        <f t="shared" si="1"/>
        <v>Очікую</v>
      </c>
      <c r="AB65" s="34"/>
      <c r="AC65" s="40"/>
    </row>
    <row r="66" spans="1:29" s="11" customFormat="1" ht="15" customHeight="1" x14ac:dyDescent="0.25">
      <c r="A66" s="41"/>
      <c r="B66" s="32"/>
      <c r="C66" s="45"/>
      <c r="D66" s="45">
        <v>57</v>
      </c>
      <c r="E66" s="46"/>
      <c r="F66" s="45"/>
      <c r="G66" s="45"/>
      <c r="H66" s="45"/>
      <c r="I66" s="45"/>
      <c r="J66" s="45"/>
      <c r="K66" s="45"/>
      <c r="L66" s="45"/>
      <c r="M66" s="45"/>
      <c r="N66" s="45"/>
      <c r="O66" s="45"/>
      <c r="P66" s="45"/>
      <c r="Q66" s="45"/>
      <c r="R66" s="45"/>
      <c r="S66" s="45"/>
      <c r="T66" s="45"/>
      <c r="U66" s="45"/>
      <c r="V66" s="45"/>
      <c r="W66" s="45"/>
      <c r="X66" s="45"/>
      <c r="Y66" s="45"/>
      <c r="Z66" s="47" t="str">
        <f t="shared" si="0"/>
        <v>Очікую</v>
      </c>
      <c r="AA66" s="47" t="str">
        <f t="shared" si="1"/>
        <v>Очікую</v>
      </c>
      <c r="AB66" s="34"/>
      <c r="AC66" s="40"/>
    </row>
    <row r="67" spans="1:29" s="11" customFormat="1" ht="15" customHeight="1" x14ac:dyDescent="0.25">
      <c r="A67" s="41"/>
      <c r="B67" s="32"/>
      <c r="C67" s="45"/>
      <c r="D67" s="45">
        <v>58</v>
      </c>
      <c r="E67" s="46"/>
      <c r="F67" s="45"/>
      <c r="G67" s="45"/>
      <c r="H67" s="45"/>
      <c r="I67" s="45"/>
      <c r="J67" s="45"/>
      <c r="K67" s="45"/>
      <c r="L67" s="45"/>
      <c r="M67" s="45"/>
      <c r="N67" s="45"/>
      <c r="O67" s="45"/>
      <c r="P67" s="45"/>
      <c r="Q67" s="45"/>
      <c r="R67" s="45"/>
      <c r="S67" s="45"/>
      <c r="T67" s="45"/>
      <c r="U67" s="45"/>
      <c r="V67" s="45"/>
      <c r="W67" s="45"/>
      <c r="X67" s="45"/>
      <c r="Y67" s="45"/>
      <c r="Z67" s="47" t="str">
        <f t="shared" si="0"/>
        <v>Очікую</v>
      </c>
      <c r="AA67" s="47" t="str">
        <f t="shared" si="1"/>
        <v>Очікую</v>
      </c>
      <c r="AB67" s="34"/>
      <c r="AC67" s="40"/>
    </row>
    <row r="68" spans="1:29" s="11" customFormat="1" ht="15" customHeight="1" x14ac:dyDescent="0.25">
      <c r="A68" s="41"/>
      <c r="B68" s="32"/>
      <c r="C68" s="45"/>
      <c r="D68" s="45">
        <v>59</v>
      </c>
      <c r="E68" s="46"/>
      <c r="F68" s="45"/>
      <c r="G68" s="45"/>
      <c r="H68" s="45"/>
      <c r="I68" s="45"/>
      <c r="J68" s="45"/>
      <c r="K68" s="45"/>
      <c r="L68" s="45"/>
      <c r="M68" s="45"/>
      <c r="N68" s="45"/>
      <c r="O68" s="45"/>
      <c r="P68" s="45"/>
      <c r="Q68" s="45"/>
      <c r="R68" s="45"/>
      <c r="S68" s="45"/>
      <c r="T68" s="45"/>
      <c r="U68" s="45"/>
      <c r="V68" s="45"/>
      <c r="W68" s="45"/>
      <c r="X68" s="45"/>
      <c r="Y68" s="45"/>
      <c r="Z68" s="47" t="str">
        <f t="shared" si="0"/>
        <v>Очікую</v>
      </c>
      <c r="AA68" s="47" t="str">
        <f t="shared" si="1"/>
        <v>Очікую</v>
      </c>
      <c r="AB68" s="34"/>
      <c r="AC68" s="40"/>
    </row>
    <row r="69" spans="1:29" s="11" customFormat="1" ht="15" customHeight="1" x14ac:dyDescent="0.25">
      <c r="A69" s="41"/>
      <c r="B69" s="32"/>
      <c r="C69" s="45"/>
      <c r="D69" s="45">
        <v>60</v>
      </c>
      <c r="E69" s="46"/>
      <c r="F69" s="45"/>
      <c r="G69" s="45"/>
      <c r="H69" s="45"/>
      <c r="I69" s="45"/>
      <c r="J69" s="45"/>
      <c r="K69" s="45"/>
      <c r="L69" s="45"/>
      <c r="M69" s="45"/>
      <c r="N69" s="45"/>
      <c r="O69" s="45"/>
      <c r="P69" s="45"/>
      <c r="Q69" s="45"/>
      <c r="R69" s="45"/>
      <c r="S69" s="45"/>
      <c r="T69" s="45"/>
      <c r="U69" s="45"/>
      <c r="V69" s="45"/>
      <c r="W69" s="45"/>
      <c r="X69" s="45"/>
      <c r="Y69" s="45"/>
      <c r="Z69" s="47" t="str">
        <f t="shared" si="0"/>
        <v>Очікую</v>
      </c>
      <c r="AA69" s="47" t="str">
        <f t="shared" si="1"/>
        <v>Очікую</v>
      </c>
      <c r="AB69" s="34"/>
      <c r="AC69" s="40"/>
    </row>
    <row r="70" spans="1:29" s="11" customFormat="1" ht="15" customHeight="1" x14ac:dyDescent="0.25">
      <c r="A70" s="41"/>
      <c r="B70" s="32"/>
      <c r="C70" s="45"/>
      <c r="D70" s="45">
        <v>61</v>
      </c>
      <c r="E70" s="46"/>
      <c r="F70" s="45"/>
      <c r="G70" s="45"/>
      <c r="H70" s="45"/>
      <c r="I70" s="45"/>
      <c r="J70" s="45"/>
      <c r="K70" s="45"/>
      <c r="L70" s="45"/>
      <c r="M70" s="45"/>
      <c r="N70" s="45"/>
      <c r="O70" s="45"/>
      <c r="P70" s="45"/>
      <c r="Q70" s="45"/>
      <c r="R70" s="45"/>
      <c r="S70" s="45"/>
      <c r="T70" s="45"/>
      <c r="U70" s="45"/>
      <c r="V70" s="45"/>
      <c r="W70" s="45"/>
      <c r="X70" s="45"/>
      <c r="Y70" s="45"/>
      <c r="Z70" s="47" t="str">
        <f t="shared" si="0"/>
        <v>Очікую</v>
      </c>
      <c r="AA70" s="47" t="str">
        <f t="shared" si="1"/>
        <v>Очікую</v>
      </c>
      <c r="AB70" s="34"/>
      <c r="AC70" s="40"/>
    </row>
    <row r="71" spans="1:29" s="11" customFormat="1" ht="15" customHeight="1" x14ac:dyDescent="0.25">
      <c r="A71" s="41"/>
      <c r="B71" s="32"/>
      <c r="C71" s="45"/>
      <c r="D71" s="45">
        <v>62</v>
      </c>
      <c r="E71" s="46"/>
      <c r="F71" s="45"/>
      <c r="G71" s="45"/>
      <c r="H71" s="45"/>
      <c r="I71" s="45"/>
      <c r="J71" s="45"/>
      <c r="K71" s="45"/>
      <c r="L71" s="45"/>
      <c r="M71" s="45"/>
      <c r="N71" s="45"/>
      <c r="O71" s="45"/>
      <c r="P71" s="45"/>
      <c r="Q71" s="45"/>
      <c r="R71" s="45"/>
      <c r="S71" s="45"/>
      <c r="T71" s="45"/>
      <c r="U71" s="45"/>
      <c r="V71" s="45"/>
      <c r="W71" s="45"/>
      <c r="X71" s="45"/>
      <c r="Y71" s="45"/>
      <c r="Z71" s="47" t="str">
        <f t="shared" si="0"/>
        <v>Очікую</v>
      </c>
      <c r="AA71" s="47" t="str">
        <f t="shared" si="1"/>
        <v>Очікую</v>
      </c>
      <c r="AB71" s="34"/>
      <c r="AC71" s="40"/>
    </row>
    <row r="72" spans="1:29" s="11" customFormat="1" ht="15" customHeight="1" x14ac:dyDescent="0.25">
      <c r="A72" s="41"/>
      <c r="B72" s="32"/>
      <c r="C72" s="45"/>
      <c r="D72" s="45">
        <v>63</v>
      </c>
      <c r="E72" s="46"/>
      <c r="F72" s="45"/>
      <c r="G72" s="45"/>
      <c r="H72" s="45"/>
      <c r="I72" s="45"/>
      <c r="J72" s="45"/>
      <c r="K72" s="45"/>
      <c r="L72" s="45"/>
      <c r="M72" s="45"/>
      <c r="N72" s="45"/>
      <c r="O72" s="45"/>
      <c r="P72" s="45"/>
      <c r="Q72" s="45"/>
      <c r="R72" s="45"/>
      <c r="S72" s="45"/>
      <c r="T72" s="45"/>
      <c r="U72" s="45"/>
      <c r="V72" s="45"/>
      <c r="W72" s="45"/>
      <c r="X72" s="45"/>
      <c r="Y72" s="45"/>
      <c r="Z72" s="47" t="str">
        <f t="shared" si="0"/>
        <v>Очікую</v>
      </c>
      <c r="AA72" s="47" t="str">
        <f t="shared" si="1"/>
        <v>Очікую</v>
      </c>
      <c r="AB72" s="34"/>
      <c r="AC72" s="40"/>
    </row>
    <row r="73" spans="1:29" s="11" customFormat="1" ht="15" customHeight="1" x14ac:dyDescent="0.25">
      <c r="A73" s="41"/>
      <c r="B73" s="32"/>
      <c r="C73" s="45"/>
      <c r="D73" s="45">
        <v>64</v>
      </c>
      <c r="E73" s="46"/>
      <c r="F73" s="45"/>
      <c r="G73" s="45"/>
      <c r="H73" s="45"/>
      <c r="I73" s="45"/>
      <c r="J73" s="45"/>
      <c r="K73" s="45"/>
      <c r="L73" s="45"/>
      <c r="M73" s="45"/>
      <c r="N73" s="45"/>
      <c r="O73" s="45"/>
      <c r="P73" s="45"/>
      <c r="Q73" s="45"/>
      <c r="R73" s="45"/>
      <c r="S73" s="45"/>
      <c r="T73" s="45"/>
      <c r="U73" s="45"/>
      <c r="V73" s="45"/>
      <c r="W73" s="45"/>
      <c r="X73" s="45"/>
      <c r="Y73" s="45"/>
      <c r="Z73" s="47" t="str">
        <f t="shared" si="0"/>
        <v>Очікую</v>
      </c>
      <c r="AA73" s="47" t="str">
        <f t="shared" si="1"/>
        <v>Очікую</v>
      </c>
      <c r="AB73" s="34"/>
      <c r="AC73" s="40"/>
    </row>
    <row r="74" spans="1:29" s="11" customFormat="1" ht="15" customHeight="1" x14ac:dyDescent="0.25">
      <c r="A74" s="41"/>
      <c r="B74" s="32"/>
      <c r="C74" s="45"/>
      <c r="D74" s="45">
        <v>65</v>
      </c>
      <c r="E74" s="46"/>
      <c r="F74" s="45"/>
      <c r="G74" s="45"/>
      <c r="H74" s="45"/>
      <c r="I74" s="45"/>
      <c r="J74" s="45"/>
      <c r="K74" s="45"/>
      <c r="L74" s="45"/>
      <c r="M74" s="45"/>
      <c r="N74" s="45"/>
      <c r="O74" s="45"/>
      <c r="P74" s="45"/>
      <c r="Q74" s="45"/>
      <c r="R74" s="45"/>
      <c r="S74" s="45"/>
      <c r="T74" s="45"/>
      <c r="U74" s="45"/>
      <c r="V74" s="45"/>
      <c r="W74" s="45"/>
      <c r="X74" s="45"/>
      <c r="Y74" s="45"/>
      <c r="Z74" s="47" t="str">
        <f t="shared" si="0"/>
        <v>Очікую</v>
      </c>
      <c r="AA74" s="47" t="str">
        <f t="shared" si="1"/>
        <v>Очікую</v>
      </c>
      <c r="AB74" s="34"/>
      <c r="AC74" s="40"/>
    </row>
    <row r="75" spans="1:29" s="11" customFormat="1" ht="15" customHeight="1" x14ac:dyDescent="0.25">
      <c r="A75" s="41"/>
      <c r="B75" s="32"/>
      <c r="C75" s="45"/>
      <c r="D75" s="45">
        <v>66</v>
      </c>
      <c r="E75" s="46"/>
      <c r="F75" s="45"/>
      <c r="G75" s="45"/>
      <c r="H75" s="45"/>
      <c r="I75" s="45"/>
      <c r="J75" s="45"/>
      <c r="K75" s="45"/>
      <c r="L75" s="45"/>
      <c r="M75" s="45"/>
      <c r="N75" s="45"/>
      <c r="O75" s="45"/>
      <c r="P75" s="45"/>
      <c r="Q75" s="45"/>
      <c r="R75" s="45"/>
      <c r="S75" s="45"/>
      <c r="T75" s="45"/>
      <c r="U75" s="45"/>
      <c r="V75" s="45"/>
      <c r="W75" s="45"/>
      <c r="X75" s="45"/>
      <c r="Y75" s="45"/>
      <c r="Z75" s="47" t="str">
        <f t="shared" ref="Z75:Z109" si="2">IF(COUNTIF(F75:Y75,"=*")&gt;0,IF($C75="К","-"," - "),IF(COUNTIF(F75:Y75,"&lt;4")&gt;0,IF(C75="К","-"," - "),(IFERROR(AVERAGE(F75:Y75),"Очікую"))))</f>
        <v>Очікую</v>
      </c>
      <c r="AA75" s="47" t="str">
        <f t="shared" ref="AA75:AA109" si="3">IFERROR(Z75/12*90,"Очікую")</f>
        <v>Очікую</v>
      </c>
      <c r="AB75" s="34"/>
      <c r="AC75" s="40"/>
    </row>
    <row r="76" spans="1:29" s="11" customFormat="1" ht="15" customHeight="1" x14ac:dyDescent="0.25">
      <c r="A76" s="41"/>
      <c r="B76" s="32"/>
      <c r="C76" s="45"/>
      <c r="D76" s="45">
        <v>67</v>
      </c>
      <c r="E76" s="46"/>
      <c r="F76" s="45"/>
      <c r="G76" s="45"/>
      <c r="H76" s="45"/>
      <c r="I76" s="45"/>
      <c r="J76" s="45"/>
      <c r="K76" s="45"/>
      <c r="L76" s="45"/>
      <c r="M76" s="45"/>
      <c r="N76" s="45"/>
      <c r="O76" s="45"/>
      <c r="P76" s="45"/>
      <c r="Q76" s="45"/>
      <c r="R76" s="45"/>
      <c r="S76" s="45"/>
      <c r="T76" s="45"/>
      <c r="U76" s="45"/>
      <c r="V76" s="45"/>
      <c r="W76" s="45"/>
      <c r="X76" s="45"/>
      <c r="Y76" s="45"/>
      <c r="Z76" s="47" t="str">
        <f t="shared" si="2"/>
        <v>Очікую</v>
      </c>
      <c r="AA76" s="47" t="str">
        <f t="shared" si="3"/>
        <v>Очікую</v>
      </c>
      <c r="AB76" s="34"/>
      <c r="AC76" s="40"/>
    </row>
    <row r="77" spans="1:29" s="11" customFormat="1" ht="15" customHeight="1" x14ac:dyDescent="0.25">
      <c r="A77" s="41"/>
      <c r="B77" s="32"/>
      <c r="C77" s="45"/>
      <c r="D77" s="45">
        <v>68</v>
      </c>
      <c r="E77" s="46"/>
      <c r="F77" s="45"/>
      <c r="G77" s="45"/>
      <c r="H77" s="45"/>
      <c r="I77" s="45"/>
      <c r="J77" s="45"/>
      <c r="K77" s="45"/>
      <c r="L77" s="45"/>
      <c r="M77" s="45"/>
      <c r="N77" s="45"/>
      <c r="O77" s="45"/>
      <c r="P77" s="45"/>
      <c r="Q77" s="45"/>
      <c r="R77" s="45"/>
      <c r="S77" s="45"/>
      <c r="T77" s="45"/>
      <c r="U77" s="45"/>
      <c r="V77" s="45"/>
      <c r="W77" s="45"/>
      <c r="X77" s="45"/>
      <c r="Y77" s="45"/>
      <c r="Z77" s="47" t="str">
        <f t="shared" si="2"/>
        <v>Очікую</v>
      </c>
      <c r="AA77" s="47" t="str">
        <f t="shared" si="3"/>
        <v>Очікую</v>
      </c>
      <c r="AB77" s="34"/>
      <c r="AC77" s="40"/>
    </row>
    <row r="78" spans="1:29" s="11" customFormat="1" ht="15" customHeight="1" x14ac:dyDescent="0.25">
      <c r="A78" s="41"/>
      <c r="B78" s="32"/>
      <c r="C78" s="45"/>
      <c r="D78" s="45">
        <v>69</v>
      </c>
      <c r="E78" s="46"/>
      <c r="F78" s="45"/>
      <c r="G78" s="45"/>
      <c r="H78" s="45"/>
      <c r="I78" s="45"/>
      <c r="J78" s="45"/>
      <c r="K78" s="45"/>
      <c r="L78" s="45"/>
      <c r="M78" s="45"/>
      <c r="N78" s="45"/>
      <c r="O78" s="45"/>
      <c r="P78" s="45"/>
      <c r="Q78" s="45"/>
      <c r="R78" s="45"/>
      <c r="S78" s="45"/>
      <c r="T78" s="45"/>
      <c r="U78" s="45"/>
      <c r="V78" s="45"/>
      <c r="W78" s="45"/>
      <c r="X78" s="45"/>
      <c r="Y78" s="45"/>
      <c r="Z78" s="47" t="str">
        <f t="shared" si="2"/>
        <v>Очікую</v>
      </c>
      <c r="AA78" s="47" t="str">
        <f t="shared" si="3"/>
        <v>Очікую</v>
      </c>
      <c r="AB78" s="34"/>
      <c r="AC78" s="40"/>
    </row>
    <row r="79" spans="1:29" s="11" customFormat="1" ht="15" customHeight="1" x14ac:dyDescent="0.25">
      <c r="A79" s="41"/>
      <c r="B79" s="32"/>
      <c r="C79" s="45"/>
      <c r="D79" s="45">
        <v>70</v>
      </c>
      <c r="E79" s="46"/>
      <c r="F79" s="45"/>
      <c r="G79" s="45"/>
      <c r="H79" s="45"/>
      <c r="I79" s="45"/>
      <c r="J79" s="45"/>
      <c r="K79" s="45"/>
      <c r="L79" s="45"/>
      <c r="M79" s="45"/>
      <c r="N79" s="45"/>
      <c r="O79" s="45"/>
      <c r="P79" s="45"/>
      <c r="Q79" s="45"/>
      <c r="R79" s="45"/>
      <c r="S79" s="45"/>
      <c r="T79" s="45"/>
      <c r="U79" s="45"/>
      <c r="V79" s="45"/>
      <c r="W79" s="45"/>
      <c r="X79" s="45"/>
      <c r="Y79" s="45"/>
      <c r="Z79" s="47" t="str">
        <f t="shared" si="2"/>
        <v>Очікую</v>
      </c>
      <c r="AA79" s="47" t="str">
        <f t="shared" si="3"/>
        <v>Очікую</v>
      </c>
      <c r="AB79" s="34"/>
      <c r="AC79" s="40"/>
    </row>
    <row r="80" spans="1:29" s="11" customFormat="1" ht="15" customHeight="1" x14ac:dyDescent="0.25">
      <c r="A80" s="41"/>
      <c r="B80" s="32"/>
      <c r="C80" s="45"/>
      <c r="D80" s="45">
        <v>71</v>
      </c>
      <c r="E80" s="46"/>
      <c r="F80" s="45"/>
      <c r="G80" s="45"/>
      <c r="H80" s="45"/>
      <c r="I80" s="45"/>
      <c r="J80" s="45"/>
      <c r="K80" s="45"/>
      <c r="L80" s="45"/>
      <c r="M80" s="45"/>
      <c r="N80" s="45"/>
      <c r="O80" s="45"/>
      <c r="P80" s="45"/>
      <c r="Q80" s="45"/>
      <c r="R80" s="45"/>
      <c r="S80" s="45"/>
      <c r="T80" s="45"/>
      <c r="U80" s="45"/>
      <c r="V80" s="45"/>
      <c r="W80" s="45"/>
      <c r="X80" s="45"/>
      <c r="Y80" s="45"/>
      <c r="Z80" s="47" t="str">
        <f t="shared" si="2"/>
        <v>Очікую</v>
      </c>
      <c r="AA80" s="47" t="str">
        <f t="shared" si="3"/>
        <v>Очікую</v>
      </c>
      <c r="AB80" s="34"/>
      <c r="AC80" s="40"/>
    </row>
    <row r="81" spans="1:29" s="11" customFormat="1" ht="15" customHeight="1" x14ac:dyDescent="0.25">
      <c r="A81" s="41"/>
      <c r="B81" s="32"/>
      <c r="C81" s="45"/>
      <c r="D81" s="45">
        <v>72</v>
      </c>
      <c r="E81" s="46"/>
      <c r="F81" s="45"/>
      <c r="G81" s="45"/>
      <c r="H81" s="45"/>
      <c r="I81" s="45"/>
      <c r="J81" s="45"/>
      <c r="K81" s="45"/>
      <c r="L81" s="45"/>
      <c r="M81" s="45"/>
      <c r="N81" s="45"/>
      <c r="O81" s="45"/>
      <c r="P81" s="45"/>
      <c r="Q81" s="45"/>
      <c r="R81" s="45"/>
      <c r="S81" s="45"/>
      <c r="T81" s="45"/>
      <c r="U81" s="45"/>
      <c r="V81" s="45"/>
      <c r="W81" s="45"/>
      <c r="X81" s="45"/>
      <c r="Y81" s="45"/>
      <c r="Z81" s="47" t="str">
        <f t="shared" si="2"/>
        <v>Очікую</v>
      </c>
      <c r="AA81" s="47" t="str">
        <f t="shared" si="3"/>
        <v>Очікую</v>
      </c>
      <c r="AB81" s="34"/>
      <c r="AC81" s="40"/>
    </row>
    <row r="82" spans="1:29" s="11" customFormat="1" ht="15" customHeight="1" x14ac:dyDescent="0.25">
      <c r="A82" s="41"/>
      <c r="B82" s="32"/>
      <c r="C82" s="45"/>
      <c r="D82" s="45">
        <v>73</v>
      </c>
      <c r="E82" s="46"/>
      <c r="F82" s="45"/>
      <c r="G82" s="45"/>
      <c r="H82" s="45"/>
      <c r="I82" s="45"/>
      <c r="J82" s="45"/>
      <c r="K82" s="45"/>
      <c r="L82" s="45"/>
      <c r="M82" s="45"/>
      <c r="N82" s="45"/>
      <c r="O82" s="45"/>
      <c r="P82" s="45"/>
      <c r="Q82" s="45"/>
      <c r="R82" s="45"/>
      <c r="S82" s="45"/>
      <c r="T82" s="45"/>
      <c r="U82" s="45"/>
      <c r="V82" s="45"/>
      <c r="W82" s="45"/>
      <c r="X82" s="45"/>
      <c r="Y82" s="45"/>
      <c r="Z82" s="47" t="str">
        <f t="shared" si="2"/>
        <v>Очікую</v>
      </c>
      <c r="AA82" s="47" t="str">
        <f t="shared" si="3"/>
        <v>Очікую</v>
      </c>
      <c r="AB82" s="34"/>
      <c r="AC82" s="40"/>
    </row>
    <row r="83" spans="1:29" s="11" customFormat="1" ht="15" customHeight="1" x14ac:dyDescent="0.25">
      <c r="A83" s="41"/>
      <c r="B83" s="32"/>
      <c r="C83" s="45"/>
      <c r="D83" s="45">
        <v>74</v>
      </c>
      <c r="E83" s="46"/>
      <c r="F83" s="45"/>
      <c r="G83" s="45"/>
      <c r="H83" s="45"/>
      <c r="I83" s="45"/>
      <c r="J83" s="45"/>
      <c r="K83" s="45"/>
      <c r="L83" s="45"/>
      <c r="M83" s="45"/>
      <c r="N83" s="45"/>
      <c r="O83" s="45"/>
      <c r="P83" s="45"/>
      <c r="Q83" s="45"/>
      <c r="R83" s="45"/>
      <c r="S83" s="45"/>
      <c r="T83" s="45"/>
      <c r="U83" s="45"/>
      <c r="V83" s="45"/>
      <c r="W83" s="45"/>
      <c r="X83" s="45"/>
      <c r="Y83" s="45"/>
      <c r="Z83" s="47" t="str">
        <f t="shared" si="2"/>
        <v>Очікую</v>
      </c>
      <c r="AA83" s="47" t="str">
        <f t="shared" si="3"/>
        <v>Очікую</v>
      </c>
      <c r="AB83" s="34"/>
      <c r="AC83" s="40"/>
    </row>
    <row r="84" spans="1:29" s="11" customFormat="1" ht="15" customHeight="1" x14ac:dyDescent="0.25">
      <c r="A84" s="41"/>
      <c r="B84" s="32"/>
      <c r="C84" s="45"/>
      <c r="D84" s="45">
        <v>75</v>
      </c>
      <c r="E84" s="46"/>
      <c r="F84" s="45"/>
      <c r="G84" s="45"/>
      <c r="H84" s="45"/>
      <c r="I84" s="45"/>
      <c r="J84" s="45"/>
      <c r="K84" s="45"/>
      <c r="L84" s="45"/>
      <c r="M84" s="45"/>
      <c r="N84" s="45"/>
      <c r="O84" s="45"/>
      <c r="P84" s="45"/>
      <c r="Q84" s="45"/>
      <c r="R84" s="45"/>
      <c r="S84" s="45"/>
      <c r="T84" s="45"/>
      <c r="U84" s="45"/>
      <c r="V84" s="45"/>
      <c r="W84" s="45"/>
      <c r="X84" s="45"/>
      <c r="Y84" s="45"/>
      <c r="Z84" s="47" t="str">
        <f t="shared" si="2"/>
        <v>Очікую</v>
      </c>
      <c r="AA84" s="47" t="str">
        <f t="shared" si="3"/>
        <v>Очікую</v>
      </c>
      <c r="AB84" s="34"/>
      <c r="AC84" s="40"/>
    </row>
    <row r="85" spans="1:29" s="11" customFormat="1" ht="15" customHeight="1" x14ac:dyDescent="0.25">
      <c r="A85" s="41"/>
      <c r="B85" s="32"/>
      <c r="C85" s="45"/>
      <c r="D85" s="45">
        <v>76</v>
      </c>
      <c r="E85" s="46"/>
      <c r="F85" s="45"/>
      <c r="G85" s="45"/>
      <c r="H85" s="45"/>
      <c r="I85" s="45"/>
      <c r="J85" s="45"/>
      <c r="K85" s="45"/>
      <c r="L85" s="45"/>
      <c r="M85" s="45"/>
      <c r="N85" s="45"/>
      <c r="O85" s="45"/>
      <c r="P85" s="45"/>
      <c r="Q85" s="45"/>
      <c r="R85" s="45"/>
      <c r="S85" s="45"/>
      <c r="T85" s="45"/>
      <c r="U85" s="45"/>
      <c r="V85" s="45"/>
      <c r="W85" s="45"/>
      <c r="X85" s="45"/>
      <c r="Y85" s="45"/>
      <c r="Z85" s="47" t="str">
        <f t="shared" si="2"/>
        <v>Очікую</v>
      </c>
      <c r="AA85" s="47" t="str">
        <f t="shared" si="3"/>
        <v>Очікую</v>
      </c>
      <c r="AB85" s="34"/>
      <c r="AC85" s="40"/>
    </row>
    <row r="86" spans="1:29" s="11" customFormat="1" ht="15" customHeight="1" x14ac:dyDescent="0.25">
      <c r="A86" s="41"/>
      <c r="B86" s="32"/>
      <c r="C86" s="45"/>
      <c r="D86" s="45">
        <v>77</v>
      </c>
      <c r="E86" s="46"/>
      <c r="F86" s="45"/>
      <c r="G86" s="45"/>
      <c r="H86" s="45"/>
      <c r="I86" s="45"/>
      <c r="J86" s="45"/>
      <c r="K86" s="45"/>
      <c r="L86" s="45"/>
      <c r="M86" s="45"/>
      <c r="N86" s="45"/>
      <c r="O86" s="45"/>
      <c r="P86" s="45"/>
      <c r="Q86" s="45"/>
      <c r="R86" s="45"/>
      <c r="S86" s="45"/>
      <c r="T86" s="45"/>
      <c r="U86" s="45"/>
      <c r="V86" s="45"/>
      <c r="W86" s="45"/>
      <c r="X86" s="45"/>
      <c r="Y86" s="45"/>
      <c r="Z86" s="47" t="str">
        <f t="shared" si="2"/>
        <v>Очікую</v>
      </c>
      <c r="AA86" s="47" t="str">
        <f t="shared" si="3"/>
        <v>Очікую</v>
      </c>
      <c r="AB86" s="34"/>
      <c r="AC86" s="40"/>
    </row>
    <row r="87" spans="1:29" s="11" customFormat="1" ht="15" customHeight="1" x14ac:dyDescent="0.25">
      <c r="A87" s="41"/>
      <c r="B87" s="32"/>
      <c r="C87" s="45"/>
      <c r="D87" s="45">
        <v>78</v>
      </c>
      <c r="E87" s="46"/>
      <c r="F87" s="45"/>
      <c r="G87" s="45"/>
      <c r="H87" s="45"/>
      <c r="I87" s="45"/>
      <c r="J87" s="45"/>
      <c r="K87" s="45"/>
      <c r="L87" s="45"/>
      <c r="M87" s="45"/>
      <c r="N87" s="45"/>
      <c r="O87" s="45"/>
      <c r="P87" s="45"/>
      <c r="Q87" s="45"/>
      <c r="R87" s="45"/>
      <c r="S87" s="45"/>
      <c r="T87" s="45"/>
      <c r="U87" s="45"/>
      <c r="V87" s="45"/>
      <c r="W87" s="45"/>
      <c r="X87" s="45"/>
      <c r="Y87" s="45"/>
      <c r="Z87" s="47" t="str">
        <f t="shared" si="2"/>
        <v>Очікую</v>
      </c>
      <c r="AA87" s="47" t="str">
        <f t="shared" si="3"/>
        <v>Очікую</v>
      </c>
      <c r="AB87" s="34"/>
      <c r="AC87" s="40"/>
    </row>
    <row r="88" spans="1:29" s="11" customFormat="1" ht="15" customHeight="1" x14ac:dyDescent="0.25">
      <c r="A88" s="41"/>
      <c r="B88" s="32"/>
      <c r="C88" s="45"/>
      <c r="D88" s="45">
        <v>79</v>
      </c>
      <c r="E88" s="46"/>
      <c r="F88" s="45"/>
      <c r="G88" s="45"/>
      <c r="H88" s="45"/>
      <c r="I88" s="45"/>
      <c r="J88" s="45"/>
      <c r="K88" s="45"/>
      <c r="L88" s="45"/>
      <c r="M88" s="45"/>
      <c r="N88" s="45"/>
      <c r="O88" s="45"/>
      <c r="P88" s="45"/>
      <c r="Q88" s="45"/>
      <c r="R88" s="45"/>
      <c r="S88" s="45"/>
      <c r="T88" s="45"/>
      <c r="U88" s="45"/>
      <c r="V88" s="45"/>
      <c r="W88" s="45"/>
      <c r="X88" s="45"/>
      <c r="Y88" s="45"/>
      <c r="Z88" s="47" t="str">
        <f t="shared" si="2"/>
        <v>Очікую</v>
      </c>
      <c r="AA88" s="47" t="str">
        <f t="shared" si="3"/>
        <v>Очікую</v>
      </c>
      <c r="AB88" s="34"/>
      <c r="AC88" s="40"/>
    </row>
    <row r="89" spans="1:29" s="11" customFormat="1" ht="15" customHeight="1" x14ac:dyDescent="0.25">
      <c r="A89" s="41"/>
      <c r="B89" s="32"/>
      <c r="C89" s="45"/>
      <c r="D89" s="45">
        <v>80</v>
      </c>
      <c r="E89" s="46"/>
      <c r="F89" s="45"/>
      <c r="G89" s="45"/>
      <c r="H89" s="45"/>
      <c r="I89" s="45"/>
      <c r="J89" s="45"/>
      <c r="K89" s="45"/>
      <c r="L89" s="45"/>
      <c r="M89" s="45"/>
      <c r="N89" s="45"/>
      <c r="O89" s="45"/>
      <c r="P89" s="45"/>
      <c r="Q89" s="45"/>
      <c r="R89" s="45"/>
      <c r="S89" s="45"/>
      <c r="T89" s="45"/>
      <c r="U89" s="45"/>
      <c r="V89" s="45"/>
      <c r="W89" s="45"/>
      <c r="X89" s="45"/>
      <c r="Y89" s="45"/>
      <c r="Z89" s="47" t="str">
        <f t="shared" si="2"/>
        <v>Очікую</v>
      </c>
      <c r="AA89" s="47" t="str">
        <f t="shared" si="3"/>
        <v>Очікую</v>
      </c>
      <c r="AB89" s="34"/>
      <c r="AC89" s="40"/>
    </row>
    <row r="90" spans="1:29" s="11" customFormat="1" ht="15" customHeight="1" x14ac:dyDescent="0.25">
      <c r="A90" s="41"/>
      <c r="B90" s="32"/>
      <c r="C90" s="45"/>
      <c r="D90" s="45">
        <v>81</v>
      </c>
      <c r="E90" s="46"/>
      <c r="F90" s="45"/>
      <c r="G90" s="45"/>
      <c r="H90" s="45"/>
      <c r="I90" s="45"/>
      <c r="J90" s="45"/>
      <c r="K90" s="45"/>
      <c r="L90" s="45"/>
      <c r="M90" s="45"/>
      <c r="N90" s="45"/>
      <c r="O90" s="45"/>
      <c r="P90" s="45"/>
      <c r="Q90" s="45"/>
      <c r="R90" s="45"/>
      <c r="S90" s="45"/>
      <c r="T90" s="45"/>
      <c r="U90" s="45"/>
      <c r="V90" s="45"/>
      <c r="W90" s="45"/>
      <c r="X90" s="45"/>
      <c r="Y90" s="45"/>
      <c r="Z90" s="47" t="str">
        <f t="shared" si="2"/>
        <v>Очікую</v>
      </c>
      <c r="AA90" s="47" t="str">
        <f t="shared" si="3"/>
        <v>Очікую</v>
      </c>
      <c r="AB90" s="34"/>
      <c r="AC90" s="40"/>
    </row>
    <row r="91" spans="1:29" s="11" customFormat="1" ht="15" customHeight="1" x14ac:dyDescent="0.25">
      <c r="A91" s="41"/>
      <c r="B91" s="32"/>
      <c r="C91" s="45"/>
      <c r="D91" s="45">
        <v>82</v>
      </c>
      <c r="E91" s="46"/>
      <c r="F91" s="45"/>
      <c r="G91" s="45"/>
      <c r="H91" s="45"/>
      <c r="I91" s="45"/>
      <c r="J91" s="45"/>
      <c r="K91" s="45"/>
      <c r="L91" s="45"/>
      <c r="M91" s="45"/>
      <c r="N91" s="45"/>
      <c r="O91" s="45"/>
      <c r="P91" s="45"/>
      <c r="Q91" s="45"/>
      <c r="R91" s="45"/>
      <c r="S91" s="45"/>
      <c r="T91" s="45"/>
      <c r="U91" s="45"/>
      <c r="V91" s="45"/>
      <c r="W91" s="45"/>
      <c r="X91" s="45"/>
      <c r="Y91" s="45"/>
      <c r="Z91" s="47" t="str">
        <f t="shared" si="2"/>
        <v>Очікую</v>
      </c>
      <c r="AA91" s="47" t="str">
        <f t="shared" si="3"/>
        <v>Очікую</v>
      </c>
      <c r="AB91" s="34"/>
      <c r="AC91" s="40"/>
    </row>
    <row r="92" spans="1:29" s="11" customFormat="1" ht="15" customHeight="1" x14ac:dyDescent="0.25">
      <c r="A92" s="41"/>
      <c r="B92" s="32"/>
      <c r="C92" s="45"/>
      <c r="D92" s="45">
        <v>83</v>
      </c>
      <c r="E92" s="46"/>
      <c r="F92" s="45"/>
      <c r="G92" s="45"/>
      <c r="H92" s="45"/>
      <c r="I92" s="45"/>
      <c r="J92" s="45"/>
      <c r="K92" s="45"/>
      <c r="L92" s="45"/>
      <c r="M92" s="45"/>
      <c r="N92" s="45"/>
      <c r="O92" s="45"/>
      <c r="P92" s="45"/>
      <c r="Q92" s="45"/>
      <c r="R92" s="45"/>
      <c r="S92" s="45"/>
      <c r="T92" s="45"/>
      <c r="U92" s="45"/>
      <c r="V92" s="45"/>
      <c r="W92" s="45"/>
      <c r="X92" s="45"/>
      <c r="Y92" s="45"/>
      <c r="Z92" s="47" t="str">
        <f t="shared" si="2"/>
        <v>Очікую</v>
      </c>
      <c r="AA92" s="47" t="str">
        <f t="shared" si="3"/>
        <v>Очікую</v>
      </c>
      <c r="AB92" s="34"/>
      <c r="AC92" s="40"/>
    </row>
    <row r="93" spans="1:29" s="11" customFormat="1" ht="15" customHeight="1" x14ac:dyDescent="0.25">
      <c r="A93" s="41"/>
      <c r="B93" s="32"/>
      <c r="C93" s="45"/>
      <c r="D93" s="45">
        <v>84</v>
      </c>
      <c r="E93" s="46"/>
      <c r="F93" s="45"/>
      <c r="G93" s="45"/>
      <c r="H93" s="45"/>
      <c r="I93" s="45"/>
      <c r="J93" s="45"/>
      <c r="K93" s="45"/>
      <c r="L93" s="45"/>
      <c r="M93" s="45"/>
      <c r="N93" s="45"/>
      <c r="O93" s="45"/>
      <c r="P93" s="45"/>
      <c r="Q93" s="45"/>
      <c r="R93" s="45"/>
      <c r="S93" s="45"/>
      <c r="T93" s="45"/>
      <c r="U93" s="45"/>
      <c r="V93" s="45"/>
      <c r="W93" s="45"/>
      <c r="X93" s="45"/>
      <c r="Y93" s="45"/>
      <c r="Z93" s="47" t="str">
        <f t="shared" si="2"/>
        <v>Очікую</v>
      </c>
      <c r="AA93" s="47" t="str">
        <f t="shared" si="3"/>
        <v>Очікую</v>
      </c>
      <c r="AB93" s="34"/>
      <c r="AC93" s="40"/>
    </row>
    <row r="94" spans="1:29" s="11" customFormat="1" ht="15" customHeight="1" x14ac:dyDescent="0.25">
      <c r="A94" s="41"/>
      <c r="B94" s="32"/>
      <c r="C94" s="45"/>
      <c r="D94" s="45">
        <v>85</v>
      </c>
      <c r="E94" s="46"/>
      <c r="F94" s="45"/>
      <c r="G94" s="45"/>
      <c r="H94" s="45"/>
      <c r="I94" s="45"/>
      <c r="J94" s="45"/>
      <c r="K94" s="45"/>
      <c r="L94" s="45"/>
      <c r="M94" s="45"/>
      <c r="N94" s="45"/>
      <c r="O94" s="45"/>
      <c r="P94" s="45"/>
      <c r="Q94" s="45"/>
      <c r="R94" s="45"/>
      <c r="S94" s="45"/>
      <c r="T94" s="45"/>
      <c r="U94" s="45"/>
      <c r="V94" s="45"/>
      <c r="W94" s="45"/>
      <c r="X94" s="45"/>
      <c r="Y94" s="45"/>
      <c r="Z94" s="47" t="str">
        <f t="shared" si="2"/>
        <v>Очікую</v>
      </c>
      <c r="AA94" s="47" t="str">
        <f t="shared" si="3"/>
        <v>Очікую</v>
      </c>
      <c r="AB94" s="34"/>
      <c r="AC94" s="40"/>
    </row>
    <row r="95" spans="1:29" s="11" customFormat="1" ht="15" customHeight="1" x14ac:dyDescent="0.25">
      <c r="A95" s="41"/>
      <c r="B95" s="32"/>
      <c r="C95" s="45"/>
      <c r="D95" s="45">
        <v>86</v>
      </c>
      <c r="E95" s="46"/>
      <c r="F95" s="45"/>
      <c r="G95" s="45"/>
      <c r="H95" s="45"/>
      <c r="I95" s="45"/>
      <c r="J95" s="45"/>
      <c r="K95" s="45"/>
      <c r="L95" s="45"/>
      <c r="M95" s="45"/>
      <c r="N95" s="45"/>
      <c r="O95" s="45"/>
      <c r="P95" s="45"/>
      <c r="Q95" s="45"/>
      <c r="R95" s="45"/>
      <c r="S95" s="45"/>
      <c r="T95" s="45"/>
      <c r="U95" s="45"/>
      <c r="V95" s="45"/>
      <c r="W95" s="45"/>
      <c r="X95" s="45"/>
      <c r="Y95" s="45"/>
      <c r="Z95" s="47" t="str">
        <f t="shared" si="2"/>
        <v>Очікую</v>
      </c>
      <c r="AA95" s="47" t="str">
        <f t="shared" si="3"/>
        <v>Очікую</v>
      </c>
      <c r="AB95" s="34"/>
      <c r="AC95" s="40"/>
    </row>
    <row r="96" spans="1:29" s="11" customFormat="1" ht="15" customHeight="1" x14ac:dyDescent="0.25">
      <c r="A96" s="41"/>
      <c r="B96" s="32"/>
      <c r="C96" s="45"/>
      <c r="D96" s="45">
        <v>87</v>
      </c>
      <c r="E96" s="46"/>
      <c r="F96" s="45"/>
      <c r="G96" s="45"/>
      <c r="H96" s="45"/>
      <c r="I96" s="45"/>
      <c r="J96" s="45"/>
      <c r="K96" s="45"/>
      <c r="L96" s="45"/>
      <c r="M96" s="45"/>
      <c r="N96" s="45"/>
      <c r="O96" s="45"/>
      <c r="P96" s="45"/>
      <c r="Q96" s="45"/>
      <c r="R96" s="45"/>
      <c r="S96" s="45"/>
      <c r="T96" s="45"/>
      <c r="U96" s="45"/>
      <c r="V96" s="45"/>
      <c r="W96" s="45"/>
      <c r="X96" s="45"/>
      <c r="Y96" s="45"/>
      <c r="Z96" s="47" t="str">
        <f t="shared" si="2"/>
        <v>Очікую</v>
      </c>
      <c r="AA96" s="47" t="str">
        <f t="shared" si="3"/>
        <v>Очікую</v>
      </c>
      <c r="AB96" s="34"/>
      <c r="AC96" s="40"/>
    </row>
    <row r="97" spans="1:29" s="11" customFormat="1" ht="15" customHeight="1" x14ac:dyDescent="0.25">
      <c r="A97" s="41"/>
      <c r="B97" s="32"/>
      <c r="C97" s="45"/>
      <c r="D97" s="45">
        <v>88</v>
      </c>
      <c r="E97" s="46"/>
      <c r="F97" s="45"/>
      <c r="G97" s="45"/>
      <c r="H97" s="45"/>
      <c r="I97" s="45"/>
      <c r="J97" s="45"/>
      <c r="K97" s="45"/>
      <c r="L97" s="45"/>
      <c r="M97" s="45"/>
      <c r="N97" s="45"/>
      <c r="O97" s="45"/>
      <c r="P97" s="45"/>
      <c r="Q97" s="45"/>
      <c r="R97" s="45"/>
      <c r="S97" s="45"/>
      <c r="T97" s="45"/>
      <c r="U97" s="45"/>
      <c r="V97" s="45"/>
      <c r="W97" s="45"/>
      <c r="X97" s="45"/>
      <c r="Y97" s="45"/>
      <c r="Z97" s="47" t="str">
        <f t="shared" si="2"/>
        <v>Очікую</v>
      </c>
      <c r="AA97" s="47" t="str">
        <f t="shared" si="3"/>
        <v>Очікую</v>
      </c>
      <c r="AB97" s="34"/>
      <c r="AC97" s="40"/>
    </row>
    <row r="98" spans="1:29" s="11" customFormat="1" ht="15" customHeight="1" x14ac:dyDescent="0.25">
      <c r="A98" s="41"/>
      <c r="B98" s="32"/>
      <c r="C98" s="45"/>
      <c r="D98" s="45">
        <v>89</v>
      </c>
      <c r="E98" s="46"/>
      <c r="F98" s="45"/>
      <c r="G98" s="45"/>
      <c r="H98" s="45"/>
      <c r="I98" s="45"/>
      <c r="J98" s="45"/>
      <c r="K98" s="45"/>
      <c r="L98" s="45"/>
      <c r="M98" s="45"/>
      <c r="N98" s="45"/>
      <c r="O98" s="45"/>
      <c r="P98" s="45"/>
      <c r="Q98" s="45"/>
      <c r="R98" s="45"/>
      <c r="S98" s="45"/>
      <c r="T98" s="45"/>
      <c r="U98" s="45"/>
      <c r="V98" s="45"/>
      <c r="W98" s="45"/>
      <c r="X98" s="45"/>
      <c r="Y98" s="45"/>
      <c r="Z98" s="47" t="str">
        <f t="shared" si="2"/>
        <v>Очікую</v>
      </c>
      <c r="AA98" s="47" t="str">
        <f t="shared" si="3"/>
        <v>Очікую</v>
      </c>
      <c r="AB98" s="34"/>
      <c r="AC98" s="40"/>
    </row>
    <row r="99" spans="1:29" s="11" customFormat="1" ht="15" customHeight="1" x14ac:dyDescent="0.25">
      <c r="A99" s="41"/>
      <c r="B99" s="32"/>
      <c r="C99" s="45"/>
      <c r="D99" s="45">
        <v>90</v>
      </c>
      <c r="E99" s="46"/>
      <c r="F99" s="45"/>
      <c r="G99" s="45"/>
      <c r="H99" s="45"/>
      <c r="I99" s="45"/>
      <c r="J99" s="45"/>
      <c r="K99" s="45"/>
      <c r="L99" s="45"/>
      <c r="M99" s="45"/>
      <c r="N99" s="45"/>
      <c r="O99" s="45"/>
      <c r="P99" s="45"/>
      <c r="Q99" s="45"/>
      <c r="R99" s="45"/>
      <c r="S99" s="45"/>
      <c r="T99" s="45"/>
      <c r="U99" s="45"/>
      <c r="V99" s="45"/>
      <c r="W99" s="45"/>
      <c r="X99" s="45"/>
      <c r="Y99" s="45"/>
      <c r="Z99" s="47" t="str">
        <f t="shared" si="2"/>
        <v>Очікую</v>
      </c>
      <c r="AA99" s="47" t="str">
        <f t="shared" si="3"/>
        <v>Очікую</v>
      </c>
      <c r="AB99" s="34"/>
      <c r="AC99" s="40"/>
    </row>
    <row r="100" spans="1:29" s="11" customFormat="1" ht="15" customHeight="1" x14ac:dyDescent="0.25">
      <c r="A100" s="41"/>
      <c r="B100" s="32"/>
      <c r="C100" s="45"/>
      <c r="D100" s="45">
        <v>91</v>
      </c>
      <c r="E100" s="46"/>
      <c r="F100" s="45"/>
      <c r="G100" s="45"/>
      <c r="H100" s="45"/>
      <c r="I100" s="45"/>
      <c r="J100" s="45"/>
      <c r="K100" s="45"/>
      <c r="L100" s="45"/>
      <c r="M100" s="45"/>
      <c r="N100" s="45"/>
      <c r="O100" s="45"/>
      <c r="P100" s="45"/>
      <c r="Q100" s="45"/>
      <c r="R100" s="45"/>
      <c r="S100" s="45"/>
      <c r="T100" s="45"/>
      <c r="U100" s="45"/>
      <c r="V100" s="45"/>
      <c r="W100" s="45"/>
      <c r="X100" s="45"/>
      <c r="Y100" s="45"/>
      <c r="Z100" s="47" t="str">
        <f t="shared" si="2"/>
        <v>Очікую</v>
      </c>
      <c r="AA100" s="47" t="str">
        <f t="shared" si="3"/>
        <v>Очікую</v>
      </c>
      <c r="AB100" s="34"/>
      <c r="AC100" s="40"/>
    </row>
    <row r="101" spans="1:29" s="11" customFormat="1" ht="15" customHeight="1" x14ac:dyDescent="0.25">
      <c r="A101" s="41"/>
      <c r="B101" s="32"/>
      <c r="C101" s="45"/>
      <c r="D101" s="45">
        <v>92</v>
      </c>
      <c r="E101" s="46"/>
      <c r="F101" s="45"/>
      <c r="G101" s="45"/>
      <c r="H101" s="45"/>
      <c r="I101" s="45"/>
      <c r="J101" s="45"/>
      <c r="K101" s="45"/>
      <c r="L101" s="45"/>
      <c r="M101" s="45"/>
      <c r="N101" s="45"/>
      <c r="O101" s="45"/>
      <c r="P101" s="45"/>
      <c r="Q101" s="45"/>
      <c r="R101" s="45"/>
      <c r="S101" s="45"/>
      <c r="T101" s="45"/>
      <c r="U101" s="45"/>
      <c r="V101" s="45"/>
      <c r="W101" s="45"/>
      <c r="X101" s="45"/>
      <c r="Y101" s="45"/>
      <c r="Z101" s="47" t="str">
        <f t="shared" si="2"/>
        <v>Очікую</v>
      </c>
      <c r="AA101" s="47" t="str">
        <f t="shared" si="3"/>
        <v>Очікую</v>
      </c>
      <c r="AB101" s="34"/>
      <c r="AC101" s="40"/>
    </row>
    <row r="102" spans="1:29" s="11" customFormat="1" ht="15" customHeight="1" x14ac:dyDescent="0.25">
      <c r="A102" s="41"/>
      <c r="B102" s="32"/>
      <c r="C102" s="45"/>
      <c r="D102" s="45">
        <v>93</v>
      </c>
      <c r="E102" s="46"/>
      <c r="F102" s="45"/>
      <c r="G102" s="45"/>
      <c r="H102" s="45"/>
      <c r="I102" s="45"/>
      <c r="J102" s="45"/>
      <c r="K102" s="45"/>
      <c r="L102" s="45"/>
      <c r="M102" s="45"/>
      <c r="N102" s="45"/>
      <c r="O102" s="45"/>
      <c r="P102" s="45"/>
      <c r="Q102" s="45"/>
      <c r="R102" s="45"/>
      <c r="S102" s="45"/>
      <c r="T102" s="45"/>
      <c r="U102" s="45"/>
      <c r="V102" s="45"/>
      <c r="W102" s="45"/>
      <c r="X102" s="45"/>
      <c r="Y102" s="45"/>
      <c r="Z102" s="47" t="str">
        <f t="shared" si="2"/>
        <v>Очікую</v>
      </c>
      <c r="AA102" s="47" t="str">
        <f t="shared" si="3"/>
        <v>Очікую</v>
      </c>
      <c r="AB102" s="34"/>
      <c r="AC102" s="40"/>
    </row>
    <row r="103" spans="1:29" s="11" customFormat="1" ht="15" customHeight="1" x14ac:dyDescent="0.25">
      <c r="A103" s="41"/>
      <c r="B103" s="32"/>
      <c r="C103" s="45"/>
      <c r="D103" s="45">
        <v>94</v>
      </c>
      <c r="E103" s="46"/>
      <c r="F103" s="45"/>
      <c r="G103" s="45"/>
      <c r="H103" s="45"/>
      <c r="I103" s="45"/>
      <c r="J103" s="45"/>
      <c r="K103" s="45"/>
      <c r="L103" s="45"/>
      <c r="M103" s="45"/>
      <c r="N103" s="45"/>
      <c r="O103" s="45"/>
      <c r="P103" s="45"/>
      <c r="Q103" s="45"/>
      <c r="R103" s="45"/>
      <c r="S103" s="45"/>
      <c r="T103" s="45"/>
      <c r="U103" s="45"/>
      <c r="V103" s="45"/>
      <c r="W103" s="45"/>
      <c r="X103" s="45"/>
      <c r="Y103" s="45"/>
      <c r="Z103" s="47" t="str">
        <f t="shared" si="2"/>
        <v>Очікую</v>
      </c>
      <c r="AA103" s="47" t="str">
        <f t="shared" si="3"/>
        <v>Очікую</v>
      </c>
      <c r="AB103" s="34"/>
      <c r="AC103" s="40"/>
    </row>
    <row r="104" spans="1:29" s="11" customFormat="1" ht="15" customHeight="1" x14ac:dyDescent="0.25">
      <c r="A104" s="41"/>
      <c r="B104" s="32"/>
      <c r="C104" s="45"/>
      <c r="D104" s="45">
        <v>95</v>
      </c>
      <c r="E104" s="46"/>
      <c r="F104" s="45"/>
      <c r="G104" s="45"/>
      <c r="H104" s="45"/>
      <c r="I104" s="45"/>
      <c r="J104" s="45"/>
      <c r="K104" s="45"/>
      <c r="L104" s="45"/>
      <c r="M104" s="45"/>
      <c r="N104" s="45"/>
      <c r="O104" s="45"/>
      <c r="P104" s="45"/>
      <c r="Q104" s="45"/>
      <c r="R104" s="45"/>
      <c r="S104" s="45"/>
      <c r="T104" s="45"/>
      <c r="U104" s="45"/>
      <c r="V104" s="45"/>
      <c r="W104" s="45"/>
      <c r="X104" s="45"/>
      <c r="Y104" s="45"/>
      <c r="Z104" s="47" t="str">
        <f t="shared" si="2"/>
        <v>Очікую</v>
      </c>
      <c r="AA104" s="47" t="str">
        <f t="shared" si="3"/>
        <v>Очікую</v>
      </c>
      <c r="AB104" s="34"/>
      <c r="AC104" s="40"/>
    </row>
    <row r="105" spans="1:29" s="11" customFormat="1" ht="15" customHeight="1" x14ac:dyDescent="0.25">
      <c r="A105" s="41"/>
      <c r="B105" s="32"/>
      <c r="C105" s="45"/>
      <c r="D105" s="45">
        <v>96</v>
      </c>
      <c r="E105" s="46"/>
      <c r="F105" s="45"/>
      <c r="G105" s="45"/>
      <c r="H105" s="45"/>
      <c r="I105" s="45"/>
      <c r="J105" s="45"/>
      <c r="K105" s="45"/>
      <c r="L105" s="45"/>
      <c r="M105" s="45"/>
      <c r="N105" s="45"/>
      <c r="O105" s="45"/>
      <c r="P105" s="45"/>
      <c r="Q105" s="45"/>
      <c r="R105" s="45"/>
      <c r="S105" s="45"/>
      <c r="T105" s="45"/>
      <c r="U105" s="45"/>
      <c r="V105" s="45"/>
      <c r="W105" s="45"/>
      <c r="X105" s="45"/>
      <c r="Y105" s="45"/>
      <c r="Z105" s="47" t="str">
        <f t="shared" si="2"/>
        <v>Очікую</v>
      </c>
      <c r="AA105" s="47" t="str">
        <f t="shared" si="3"/>
        <v>Очікую</v>
      </c>
      <c r="AB105" s="34"/>
      <c r="AC105" s="40"/>
    </row>
    <row r="106" spans="1:29" s="11" customFormat="1" ht="15" customHeight="1" x14ac:dyDescent="0.25">
      <c r="A106" s="41"/>
      <c r="B106" s="32"/>
      <c r="C106" s="45"/>
      <c r="D106" s="45">
        <v>97</v>
      </c>
      <c r="E106" s="46"/>
      <c r="F106" s="45"/>
      <c r="G106" s="45"/>
      <c r="H106" s="45"/>
      <c r="I106" s="45"/>
      <c r="J106" s="45"/>
      <c r="K106" s="45"/>
      <c r="L106" s="45"/>
      <c r="M106" s="45"/>
      <c r="N106" s="45"/>
      <c r="O106" s="45"/>
      <c r="P106" s="45"/>
      <c r="Q106" s="45"/>
      <c r="R106" s="45"/>
      <c r="S106" s="45"/>
      <c r="T106" s="45"/>
      <c r="U106" s="45"/>
      <c r="V106" s="45"/>
      <c r="W106" s="45"/>
      <c r="X106" s="45"/>
      <c r="Y106" s="45"/>
      <c r="Z106" s="47" t="str">
        <f t="shared" si="2"/>
        <v>Очікую</v>
      </c>
      <c r="AA106" s="47" t="str">
        <f t="shared" si="3"/>
        <v>Очікую</v>
      </c>
      <c r="AB106" s="34"/>
      <c r="AC106" s="40"/>
    </row>
    <row r="107" spans="1:29" s="11" customFormat="1" ht="15" customHeight="1" x14ac:dyDescent="0.25">
      <c r="A107" s="41"/>
      <c r="B107" s="32"/>
      <c r="C107" s="45"/>
      <c r="D107" s="45">
        <v>98</v>
      </c>
      <c r="E107" s="46"/>
      <c r="F107" s="45"/>
      <c r="G107" s="45"/>
      <c r="H107" s="45"/>
      <c r="I107" s="45"/>
      <c r="J107" s="45"/>
      <c r="K107" s="45"/>
      <c r="L107" s="45"/>
      <c r="M107" s="45"/>
      <c r="N107" s="45"/>
      <c r="O107" s="45"/>
      <c r="P107" s="45"/>
      <c r="Q107" s="45"/>
      <c r="R107" s="45"/>
      <c r="S107" s="45"/>
      <c r="T107" s="45"/>
      <c r="U107" s="45"/>
      <c r="V107" s="45"/>
      <c r="W107" s="45"/>
      <c r="X107" s="45"/>
      <c r="Y107" s="45"/>
      <c r="Z107" s="47" t="str">
        <f t="shared" si="2"/>
        <v>Очікую</v>
      </c>
      <c r="AA107" s="47" t="str">
        <f t="shared" si="3"/>
        <v>Очікую</v>
      </c>
      <c r="AB107" s="34"/>
      <c r="AC107" s="40"/>
    </row>
    <row r="108" spans="1:29" s="11" customFormat="1" ht="15" customHeight="1" x14ac:dyDescent="0.25">
      <c r="A108" s="41"/>
      <c r="B108" s="32"/>
      <c r="C108" s="45"/>
      <c r="D108" s="45">
        <v>99</v>
      </c>
      <c r="E108" s="46"/>
      <c r="F108" s="45"/>
      <c r="G108" s="45"/>
      <c r="H108" s="45"/>
      <c r="I108" s="45"/>
      <c r="J108" s="45"/>
      <c r="K108" s="45"/>
      <c r="L108" s="45"/>
      <c r="M108" s="45"/>
      <c r="N108" s="45"/>
      <c r="O108" s="45"/>
      <c r="P108" s="45"/>
      <c r="Q108" s="45"/>
      <c r="R108" s="45"/>
      <c r="S108" s="45"/>
      <c r="T108" s="45"/>
      <c r="U108" s="45"/>
      <c r="V108" s="45"/>
      <c r="W108" s="45"/>
      <c r="X108" s="45"/>
      <c r="Y108" s="45"/>
      <c r="Z108" s="47" t="str">
        <f t="shared" si="2"/>
        <v>Очікую</v>
      </c>
      <c r="AA108" s="47" t="str">
        <f t="shared" si="3"/>
        <v>Очікую</v>
      </c>
      <c r="AB108" s="34"/>
      <c r="AC108" s="40"/>
    </row>
    <row r="109" spans="1:29" s="11" customFormat="1" ht="15" customHeight="1" x14ac:dyDescent="0.25">
      <c r="A109" s="41"/>
      <c r="B109" s="32"/>
      <c r="C109" s="45"/>
      <c r="D109" s="45">
        <v>100</v>
      </c>
      <c r="E109" s="46"/>
      <c r="F109" s="45"/>
      <c r="G109" s="45"/>
      <c r="H109" s="45"/>
      <c r="I109" s="45"/>
      <c r="J109" s="45"/>
      <c r="K109" s="45"/>
      <c r="L109" s="45"/>
      <c r="M109" s="45"/>
      <c r="N109" s="45"/>
      <c r="O109" s="45"/>
      <c r="P109" s="45"/>
      <c r="Q109" s="45"/>
      <c r="R109" s="45"/>
      <c r="S109" s="45"/>
      <c r="T109" s="45"/>
      <c r="U109" s="45"/>
      <c r="V109" s="45"/>
      <c r="W109" s="45"/>
      <c r="X109" s="45"/>
      <c r="Y109" s="45"/>
      <c r="Z109" s="47" t="str">
        <f t="shared" si="2"/>
        <v>Очікую</v>
      </c>
      <c r="AA109" s="47" t="str">
        <f t="shared" si="3"/>
        <v>Очікую</v>
      </c>
      <c r="AB109" s="34"/>
      <c r="AC109" s="40"/>
    </row>
    <row r="110" spans="1:29" ht="15" customHeight="1" x14ac:dyDescent="0.25">
      <c r="A110" s="41"/>
      <c r="B110" s="32"/>
      <c r="C110" s="25"/>
      <c r="D110" s="25"/>
      <c r="E110" s="26" t="s">
        <v>9</v>
      </c>
      <c r="F110" s="5" t="str">
        <f>ЛЗ4!F115</f>
        <v>Очікую</v>
      </c>
      <c r="G110" s="6"/>
      <c r="H110" s="6"/>
      <c r="I110" s="6"/>
      <c r="J110" s="6"/>
      <c r="K110" s="6"/>
      <c r="L110" s="25"/>
      <c r="M110" s="27"/>
      <c r="N110" s="25"/>
      <c r="O110" s="25"/>
      <c r="P110" s="25"/>
      <c r="Q110" s="25"/>
      <c r="R110" s="25"/>
      <c r="S110" s="25"/>
      <c r="T110" s="25"/>
      <c r="U110" s="28"/>
      <c r="V110" s="27"/>
      <c r="W110" s="25"/>
      <c r="X110" s="25"/>
      <c r="Y110" s="25"/>
      <c r="Z110" s="25"/>
      <c r="AA110" s="25"/>
      <c r="AB110" s="33"/>
      <c r="AC110" s="40"/>
    </row>
    <row r="111" spans="1:29" ht="15" customHeight="1" x14ac:dyDescent="0.25">
      <c r="A111" s="41"/>
      <c r="B111" s="32"/>
      <c r="C111" s="25"/>
      <c r="D111" s="25"/>
      <c r="E111" s="26" t="s">
        <v>10</v>
      </c>
      <c r="F111" s="5" t="str">
        <f>ЛЗ4!F116</f>
        <v>Очікую</v>
      </c>
      <c r="G111" s="6"/>
      <c r="H111" s="63" t="s">
        <v>11</v>
      </c>
      <c r="I111" s="6"/>
      <c r="J111" s="6"/>
      <c r="K111" s="6"/>
      <c r="L111" s="25"/>
      <c r="M111" s="27"/>
      <c r="N111" s="63"/>
      <c r="O111" s="63"/>
      <c r="P111" s="63"/>
      <c r="Q111" s="63"/>
      <c r="R111" s="6"/>
      <c r="S111" s="6"/>
      <c r="T111" s="6"/>
      <c r="U111" s="64"/>
      <c r="V111" s="64"/>
      <c r="W111" s="64"/>
      <c r="X111" s="64"/>
      <c r="Y111" s="64"/>
      <c r="Z111" s="64"/>
      <c r="AA111" s="25"/>
      <c r="AB111" s="33"/>
      <c r="AC111" s="40"/>
    </row>
    <row r="112" spans="1:29" ht="15" customHeight="1" x14ac:dyDescent="0.25">
      <c r="A112" s="41"/>
      <c r="B112" s="32"/>
      <c r="C112" s="25"/>
      <c r="D112" s="25"/>
      <c r="E112" s="26" t="s">
        <v>12</v>
      </c>
      <c r="F112" s="5">
        <f>ЛЗ4!F117</f>
        <v>0</v>
      </c>
      <c r="G112" s="6"/>
      <c r="H112" s="10"/>
      <c r="I112" s="6"/>
      <c r="J112" s="6"/>
      <c r="K112" s="6"/>
      <c r="L112" s="25"/>
      <c r="M112" s="27"/>
      <c r="N112" s="6"/>
      <c r="O112" s="6"/>
      <c r="P112" s="6"/>
      <c r="Q112" s="6"/>
      <c r="R112" s="6"/>
      <c r="S112" s="6"/>
      <c r="T112" s="6"/>
      <c r="U112" s="10"/>
      <c r="V112" s="10"/>
      <c r="W112" s="6"/>
      <c r="X112" s="6"/>
      <c r="Y112" s="6"/>
      <c r="Z112" s="6"/>
      <c r="AA112" s="25"/>
      <c r="AB112" s="33"/>
      <c r="AC112" s="40"/>
    </row>
    <row r="113" spans="1:29" ht="15" customHeight="1" x14ac:dyDescent="0.25">
      <c r="A113" s="41"/>
      <c r="B113" s="32"/>
      <c r="C113" s="25"/>
      <c r="D113" s="25"/>
      <c r="E113" s="26" t="s">
        <v>13</v>
      </c>
      <c r="F113" s="5" t="str">
        <f>ЛЗ4!F118</f>
        <v>Очікую</v>
      </c>
      <c r="G113" s="6"/>
      <c r="H113" s="64" t="s">
        <v>14</v>
      </c>
      <c r="I113" s="6"/>
      <c r="J113" s="6"/>
      <c r="K113" s="6"/>
      <c r="L113" s="25"/>
      <c r="M113" s="27"/>
      <c r="N113" s="64"/>
      <c r="O113" s="64"/>
      <c r="P113" s="64"/>
      <c r="Q113" s="64"/>
      <c r="R113" s="6"/>
      <c r="S113" s="6"/>
      <c r="T113" s="6"/>
      <c r="U113" s="64"/>
      <c r="V113" s="64"/>
      <c r="W113" s="64"/>
      <c r="X113" s="64"/>
      <c r="Y113" s="64"/>
      <c r="Z113" s="64"/>
      <c r="AA113" s="25"/>
      <c r="AB113" s="33"/>
      <c r="AC113" s="40"/>
    </row>
    <row r="114" spans="1:29" ht="12" customHeight="1" thickBot="1" x14ac:dyDescent="0.3">
      <c r="A114" s="41"/>
      <c r="B114" s="35"/>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c r="AA114" s="36"/>
      <c r="AB114" s="37"/>
      <c r="AC114" s="40"/>
    </row>
    <row r="115" spans="1:29" ht="12" customHeight="1" x14ac:dyDescent="0.25">
      <c r="A115" s="39"/>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40"/>
    </row>
    <row r="116" spans="1:29" ht="0" hidden="1" customHeight="1" x14ac:dyDescent="0.25">
      <c r="A116" s="42"/>
      <c r="AC116" s="42"/>
    </row>
    <row r="117" spans="1:29" ht="0" hidden="1" customHeight="1" x14ac:dyDescent="0.25">
      <c r="A117" s="42"/>
      <c r="AC117" s="42"/>
    </row>
    <row r="118" spans="1:29" ht="0" hidden="1" customHeight="1" x14ac:dyDescent="0.25">
      <c r="A118" s="42"/>
      <c r="AC118" s="42"/>
    </row>
    <row r="119" spans="1:29" ht="0" hidden="1" customHeight="1" x14ac:dyDescent="0.25">
      <c r="A119" s="42"/>
      <c r="AC119" s="42"/>
    </row>
    <row r="120" spans="1:29" ht="0" hidden="1" customHeight="1" x14ac:dyDescent="0.25">
      <c r="A120" s="42"/>
      <c r="B120" s="42"/>
      <c r="C120" s="42"/>
      <c r="D120" s="42"/>
      <c r="E120" s="42"/>
      <c r="F120" s="42"/>
      <c r="G120" s="42"/>
      <c r="H120" s="42"/>
      <c r="I120" s="42"/>
      <c r="J120" s="42"/>
      <c r="K120" s="42"/>
      <c r="L120" s="42"/>
      <c r="M120" s="42"/>
      <c r="N120" s="42"/>
      <c r="O120" s="42"/>
      <c r="P120" s="42"/>
      <c r="Q120" s="42"/>
      <c r="R120" s="42"/>
      <c r="S120" s="42"/>
      <c r="T120" s="42"/>
      <c r="U120" s="42"/>
      <c r="V120" s="42"/>
      <c r="W120" s="42"/>
      <c r="X120" s="42"/>
      <c r="Y120" s="42"/>
      <c r="Z120" s="42"/>
      <c r="AA120" s="42"/>
      <c r="AB120" s="42"/>
      <c r="AC120" s="42"/>
    </row>
  </sheetData>
  <sheetProtection insertRows="0" deleteRows="0"/>
  <mergeCells count="11">
    <mergeCell ref="C8:C9"/>
    <mergeCell ref="D8:D9"/>
    <mergeCell ref="E8:E9"/>
    <mergeCell ref="F8:Y8"/>
    <mergeCell ref="AA8:AA9"/>
    <mergeCell ref="Z8:Z9"/>
    <mergeCell ref="C3:AA3"/>
    <mergeCell ref="C4:AA4"/>
    <mergeCell ref="C5:AA5"/>
    <mergeCell ref="C6:AA6"/>
    <mergeCell ref="C7:AA7"/>
  </mergeCells>
  <printOptions horizontalCentered="1"/>
  <pageMargins left="0.19685039370078741" right="0.19685039370078741" top="0.19685039370078741" bottom="0.19685039370078741" header="0" footer="0"/>
  <pageSetup paperSize="9" scale="32"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E26B0A"/>
    <pageSetUpPr fitToPage="1"/>
  </sheetPr>
  <dimension ref="A1:BO120"/>
  <sheetViews>
    <sheetView zoomScaleNormal="100" workbookViewId="0"/>
  </sheetViews>
  <sheetFormatPr defaultColWidth="0" defaultRowHeight="0" customHeight="1" zeroHeight="1" x14ac:dyDescent="0.25"/>
  <cols>
    <col min="1" max="2" width="2.7109375" style="1" customWidth="1"/>
    <col min="3" max="3" width="4.140625" style="1" customWidth="1"/>
    <col min="4" max="4" width="6.5703125" style="1" customWidth="1"/>
    <col min="5" max="5" width="40.42578125" style="1" customWidth="1"/>
    <col min="6" max="25" width="6.7109375" style="1" customWidth="1"/>
    <col min="26" max="27" width="11.28515625" style="1" customWidth="1"/>
    <col min="28" max="29" width="2.7109375" style="1" customWidth="1"/>
    <col min="30" max="35" width="14.42578125" style="1" hidden="1" customWidth="1"/>
    <col min="36" max="36" width="14.85546875" style="1" hidden="1" customWidth="1"/>
    <col min="37" max="50" width="3.7109375" style="1" hidden="1" customWidth="1"/>
    <col min="51" max="67" width="5.7109375" style="1" hidden="1" customWidth="1"/>
    <col min="68" max="16384" width="14.42578125" style="1" hidden="1"/>
  </cols>
  <sheetData>
    <row r="1" spans="1:29" ht="12" customHeight="1" thickBot="1" x14ac:dyDescent="0.3">
      <c r="A1" s="38" t="s">
        <v>18</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row>
    <row r="2" spans="1:29" ht="12" customHeight="1" x14ac:dyDescent="0.25">
      <c r="A2" s="41"/>
      <c r="B2" s="29"/>
      <c r="C2" s="30"/>
      <c r="D2" s="30"/>
      <c r="E2" s="30"/>
      <c r="F2" s="30"/>
      <c r="G2" s="30"/>
      <c r="H2" s="30"/>
      <c r="I2" s="30"/>
      <c r="J2" s="30"/>
      <c r="K2" s="30"/>
      <c r="L2" s="30"/>
      <c r="M2" s="30"/>
      <c r="N2" s="30"/>
      <c r="O2" s="30"/>
      <c r="P2" s="30"/>
      <c r="Q2" s="30"/>
      <c r="R2" s="30"/>
      <c r="S2" s="30"/>
      <c r="T2" s="30"/>
      <c r="U2" s="30"/>
      <c r="V2" s="30"/>
      <c r="W2" s="30"/>
      <c r="X2" s="30"/>
      <c r="Y2" s="30"/>
      <c r="Z2" s="30"/>
      <c r="AA2" s="30"/>
      <c r="AB2" s="31"/>
      <c r="AC2" s="40"/>
    </row>
    <row r="3" spans="1:29" s="2" customFormat="1" ht="54.95" customHeight="1" x14ac:dyDescent="0.3">
      <c r="A3" s="41"/>
      <c r="B3" s="32"/>
      <c r="C3" s="85" t="s">
        <v>19</v>
      </c>
      <c r="D3" s="85"/>
      <c r="E3" s="85"/>
      <c r="F3" s="85"/>
      <c r="G3" s="85"/>
      <c r="H3" s="85"/>
      <c r="I3" s="85"/>
      <c r="J3" s="85"/>
      <c r="K3" s="85"/>
      <c r="L3" s="85"/>
      <c r="M3" s="85"/>
      <c r="N3" s="85"/>
      <c r="O3" s="85"/>
      <c r="P3" s="85"/>
      <c r="Q3" s="85"/>
      <c r="R3" s="85"/>
      <c r="S3" s="85"/>
      <c r="T3" s="85"/>
      <c r="U3" s="85"/>
      <c r="V3" s="85"/>
      <c r="W3" s="85"/>
      <c r="X3" s="85"/>
      <c r="Y3" s="85"/>
      <c r="Z3" s="85"/>
      <c r="AA3" s="85"/>
      <c r="AB3" s="33"/>
      <c r="AC3" s="40"/>
    </row>
    <row r="4" spans="1:29" s="3" customFormat="1" ht="15" customHeight="1" x14ac:dyDescent="0.25">
      <c r="A4" s="41"/>
      <c r="B4" s="32"/>
      <c r="C4" s="84" t="s">
        <v>23</v>
      </c>
      <c r="D4" s="84"/>
      <c r="E4" s="84"/>
      <c r="F4" s="84"/>
      <c r="G4" s="84"/>
      <c r="H4" s="84"/>
      <c r="I4" s="84"/>
      <c r="J4" s="84"/>
      <c r="K4" s="84"/>
      <c r="L4" s="84"/>
      <c r="M4" s="84"/>
      <c r="N4" s="84"/>
      <c r="O4" s="84"/>
      <c r="P4" s="84"/>
      <c r="Q4" s="84"/>
      <c r="R4" s="84"/>
      <c r="S4" s="84"/>
      <c r="T4" s="84"/>
      <c r="U4" s="84"/>
      <c r="V4" s="84"/>
      <c r="W4" s="84"/>
      <c r="X4" s="84"/>
      <c r="Y4" s="84"/>
      <c r="Z4" s="84"/>
      <c r="AA4" s="84"/>
      <c r="AB4" s="33"/>
      <c r="AC4" s="40"/>
    </row>
    <row r="5" spans="1:29" s="2" customFormat="1" ht="15" customHeight="1" x14ac:dyDescent="0.25">
      <c r="A5" s="41"/>
      <c r="B5" s="32"/>
      <c r="C5" s="86" t="str">
        <f>ЛЗ5!C5</f>
        <v>Успішності студентів спеціальності XXX «XXXXX»</v>
      </c>
      <c r="D5" s="86"/>
      <c r="E5" s="86"/>
      <c r="F5" s="86"/>
      <c r="G5" s="86"/>
      <c r="H5" s="86"/>
      <c r="I5" s="86"/>
      <c r="J5" s="86"/>
      <c r="K5" s="86"/>
      <c r="L5" s="86"/>
      <c r="M5" s="86"/>
      <c r="N5" s="86"/>
      <c r="O5" s="86"/>
      <c r="P5" s="86"/>
      <c r="Q5" s="86"/>
      <c r="R5" s="86"/>
      <c r="S5" s="86"/>
      <c r="T5" s="86"/>
      <c r="U5" s="86"/>
      <c r="V5" s="86"/>
      <c r="W5" s="86"/>
      <c r="X5" s="86"/>
      <c r="Y5" s="86"/>
      <c r="Z5" s="86"/>
      <c r="AA5" s="86"/>
      <c r="AB5" s="33"/>
      <c r="AC5" s="40"/>
    </row>
    <row r="6" spans="1:29" s="2" customFormat="1" ht="15" customHeight="1" x14ac:dyDescent="0.25">
      <c r="A6" s="41"/>
      <c r="B6" s="32"/>
      <c r="C6" s="86" t="str">
        <f>ЛЗ5!C6</f>
        <v>За X семестр XXXX-XXXX н.р.</v>
      </c>
      <c r="D6" s="86"/>
      <c r="E6" s="86"/>
      <c r="F6" s="86"/>
      <c r="G6" s="86"/>
      <c r="H6" s="86"/>
      <c r="I6" s="86"/>
      <c r="J6" s="86"/>
      <c r="K6" s="86"/>
      <c r="L6" s="86"/>
      <c r="M6" s="86"/>
      <c r="N6" s="86"/>
      <c r="O6" s="86"/>
      <c r="P6" s="86"/>
      <c r="Q6" s="86"/>
      <c r="R6" s="86"/>
      <c r="S6" s="86"/>
      <c r="T6" s="86"/>
      <c r="U6" s="86"/>
      <c r="V6" s="86"/>
      <c r="W6" s="86"/>
      <c r="X6" s="86"/>
      <c r="Y6" s="86"/>
      <c r="Z6" s="86"/>
      <c r="AA6" s="86"/>
      <c r="AB6" s="33"/>
      <c r="AC6" s="40"/>
    </row>
    <row r="7" spans="1:29" s="2" customFormat="1" ht="15" customHeight="1" x14ac:dyDescent="0.25">
      <c r="A7" s="41"/>
      <c r="B7" s="32"/>
      <c r="C7" s="87" t="str">
        <f>ЛЗ5!C7</f>
        <v>Група XXXX курс X</v>
      </c>
      <c r="D7" s="87"/>
      <c r="E7" s="87"/>
      <c r="F7" s="87"/>
      <c r="G7" s="87"/>
      <c r="H7" s="87"/>
      <c r="I7" s="87"/>
      <c r="J7" s="87"/>
      <c r="K7" s="87"/>
      <c r="L7" s="87"/>
      <c r="M7" s="87"/>
      <c r="N7" s="87"/>
      <c r="O7" s="87"/>
      <c r="P7" s="87"/>
      <c r="Q7" s="87"/>
      <c r="R7" s="87"/>
      <c r="S7" s="87"/>
      <c r="T7" s="87"/>
      <c r="U7" s="87"/>
      <c r="V7" s="87"/>
      <c r="W7" s="87"/>
      <c r="X7" s="87"/>
      <c r="Y7" s="87"/>
      <c r="Z7" s="87"/>
      <c r="AA7" s="87"/>
      <c r="AB7" s="33"/>
      <c r="AC7" s="40"/>
    </row>
    <row r="8" spans="1:29" ht="15" customHeight="1" x14ac:dyDescent="0.25">
      <c r="A8" s="41"/>
      <c r="B8" s="32"/>
      <c r="C8" s="88" t="s">
        <v>0</v>
      </c>
      <c r="D8" s="90" t="s">
        <v>1</v>
      </c>
      <c r="E8" s="90" t="s">
        <v>2</v>
      </c>
      <c r="F8" s="91" t="s">
        <v>17</v>
      </c>
      <c r="G8" s="92"/>
      <c r="H8" s="92"/>
      <c r="I8" s="92"/>
      <c r="J8" s="92"/>
      <c r="K8" s="92"/>
      <c r="L8" s="92"/>
      <c r="M8" s="92"/>
      <c r="N8" s="92"/>
      <c r="O8" s="92"/>
      <c r="P8" s="92"/>
      <c r="Q8" s="92"/>
      <c r="R8" s="92"/>
      <c r="S8" s="92"/>
      <c r="T8" s="92"/>
      <c r="U8" s="92"/>
      <c r="V8" s="92"/>
      <c r="W8" s="92"/>
      <c r="X8" s="92"/>
      <c r="Y8" s="93"/>
      <c r="Z8" s="94" t="s">
        <v>3</v>
      </c>
      <c r="AA8" s="94" t="s">
        <v>24</v>
      </c>
      <c r="AB8" s="33"/>
      <c r="AC8" s="40"/>
    </row>
    <row r="9" spans="1:29" ht="125.1" customHeight="1" x14ac:dyDescent="0.25">
      <c r="A9" s="41"/>
      <c r="B9" s="32"/>
      <c r="C9" s="89"/>
      <c r="D9" s="89"/>
      <c r="E9" s="89"/>
      <c r="F9" s="24">
        <v>1</v>
      </c>
      <c r="G9" s="24">
        <v>2</v>
      </c>
      <c r="H9" s="24">
        <v>3</v>
      </c>
      <c r="I9" s="24">
        <v>4</v>
      </c>
      <c r="J9" s="24">
        <v>5</v>
      </c>
      <c r="K9" s="24">
        <v>6</v>
      </c>
      <c r="L9" s="24">
        <v>7</v>
      </c>
      <c r="M9" s="24">
        <v>8</v>
      </c>
      <c r="N9" s="24">
        <v>9</v>
      </c>
      <c r="O9" s="24">
        <v>10</v>
      </c>
      <c r="P9" s="24">
        <v>11</v>
      </c>
      <c r="Q9" s="24">
        <v>12</v>
      </c>
      <c r="R9" s="24">
        <v>13</v>
      </c>
      <c r="S9" s="24">
        <v>14</v>
      </c>
      <c r="T9" s="24">
        <v>15</v>
      </c>
      <c r="U9" s="24">
        <v>16</v>
      </c>
      <c r="V9" s="24">
        <v>17</v>
      </c>
      <c r="W9" s="24">
        <v>18</v>
      </c>
      <c r="X9" s="24">
        <v>19</v>
      </c>
      <c r="Y9" s="24">
        <v>20</v>
      </c>
      <c r="Z9" s="95"/>
      <c r="AA9" s="95"/>
      <c r="AB9" s="33"/>
      <c r="AC9" s="40"/>
    </row>
    <row r="10" spans="1:29" s="11" customFormat="1" ht="15" customHeight="1" x14ac:dyDescent="0.25">
      <c r="A10" s="41"/>
      <c r="B10" s="32"/>
      <c r="C10" s="45"/>
      <c r="D10" s="45">
        <v>1</v>
      </c>
      <c r="E10" s="46"/>
      <c r="F10" s="45"/>
      <c r="G10" s="45"/>
      <c r="H10" s="45"/>
      <c r="I10" s="45"/>
      <c r="J10" s="45"/>
      <c r="K10" s="45"/>
      <c r="L10" s="45"/>
      <c r="M10" s="45"/>
      <c r="N10" s="45"/>
      <c r="O10" s="45"/>
      <c r="P10" s="45"/>
      <c r="Q10" s="45"/>
      <c r="R10" s="45"/>
      <c r="S10" s="45"/>
      <c r="T10" s="45"/>
      <c r="U10" s="45"/>
      <c r="V10" s="45"/>
      <c r="W10" s="45"/>
      <c r="X10" s="45"/>
      <c r="Y10" s="45"/>
      <c r="Z10" s="47" t="str">
        <f>IF(COUNTIF(F10:Y10,"=*")&gt;0,IF($C10="К","-"," - "),IF(COUNTIF(F10:Y10,"&lt;4")&gt;0,IF(C10="К","-"," - "),(IFERROR(AVERAGE(F10:Y10),"Очікую"))))</f>
        <v>Очікую</v>
      </c>
      <c r="AA10" s="47" t="str">
        <f>IFERROR(Z10/12*90,"Очікую")</f>
        <v>Очікую</v>
      </c>
      <c r="AB10" s="34"/>
      <c r="AC10" s="40"/>
    </row>
    <row r="11" spans="1:29" s="11" customFormat="1" ht="15" customHeight="1" x14ac:dyDescent="0.25">
      <c r="A11" s="41"/>
      <c r="B11" s="32"/>
      <c r="C11" s="45"/>
      <c r="D11" s="45">
        <v>2</v>
      </c>
      <c r="E11" s="46"/>
      <c r="F11" s="45"/>
      <c r="G11" s="45"/>
      <c r="H11" s="45"/>
      <c r="I11" s="45"/>
      <c r="J11" s="45"/>
      <c r="K11" s="45"/>
      <c r="L11" s="45"/>
      <c r="M11" s="45"/>
      <c r="N11" s="45"/>
      <c r="O11" s="45"/>
      <c r="P11" s="45"/>
      <c r="Q11" s="45"/>
      <c r="R11" s="45"/>
      <c r="S11" s="45"/>
      <c r="T11" s="45"/>
      <c r="U11" s="45"/>
      <c r="V11" s="45"/>
      <c r="W11" s="45"/>
      <c r="X11" s="45"/>
      <c r="Y11" s="45"/>
      <c r="Z11" s="47" t="str">
        <f t="shared" ref="Z11:Z74" si="0">IF(COUNTIF(F11:Y11,"=*")&gt;0,IF($C11="К","-"," - "),IF(COUNTIF(F11:Y11,"&lt;4")&gt;0,IF(C11="К","-"," - "),(IFERROR(AVERAGE(F11:Y11),"Очікую"))))</f>
        <v>Очікую</v>
      </c>
      <c r="AA11" s="47" t="str">
        <f t="shared" ref="AA11:AA74" si="1">IFERROR(Z11/12*90,"Очікую")</f>
        <v>Очікую</v>
      </c>
      <c r="AB11" s="34"/>
      <c r="AC11" s="40"/>
    </row>
    <row r="12" spans="1:29" s="11" customFormat="1" ht="15" customHeight="1" x14ac:dyDescent="0.25">
      <c r="A12" s="41"/>
      <c r="B12" s="32"/>
      <c r="C12" s="45"/>
      <c r="D12" s="45">
        <v>3</v>
      </c>
      <c r="E12" s="46"/>
      <c r="F12" s="45"/>
      <c r="G12" s="45"/>
      <c r="H12" s="45"/>
      <c r="I12" s="45"/>
      <c r="J12" s="45"/>
      <c r="K12" s="45"/>
      <c r="L12" s="45"/>
      <c r="M12" s="45"/>
      <c r="N12" s="45"/>
      <c r="O12" s="45"/>
      <c r="P12" s="45"/>
      <c r="Q12" s="45"/>
      <c r="R12" s="45"/>
      <c r="S12" s="45"/>
      <c r="T12" s="45"/>
      <c r="U12" s="45"/>
      <c r="V12" s="45"/>
      <c r="W12" s="45"/>
      <c r="X12" s="45"/>
      <c r="Y12" s="45"/>
      <c r="Z12" s="47" t="str">
        <f t="shared" si="0"/>
        <v>Очікую</v>
      </c>
      <c r="AA12" s="47" t="str">
        <f t="shared" si="1"/>
        <v>Очікую</v>
      </c>
      <c r="AB12" s="34"/>
      <c r="AC12" s="40"/>
    </row>
    <row r="13" spans="1:29" s="11" customFormat="1" ht="15" customHeight="1" x14ac:dyDescent="0.25">
      <c r="A13" s="41"/>
      <c r="B13" s="32"/>
      <c r="C13" s="45"/>
      <c r="D13" s="45">
        <v>4</v>
      </c>
      <c r="E13" s="46"/>
      <c r="F13" s="45"/>
      <c r="G13" s="45"/>
      <c r="H13" s="45"/>
      <c r="I13" s="45"/>
      <c r="J13" s="45"/>
      <c r="K13" s="45"/>
      <c r="L13" s="45"/>
      <c r="M13" s="45"/>
      <c r="N13" s="45"/>
      <c r="O13" s="45"/>
      <c r="P13" s="45"/>
      <c r="Q13" s="45"/>
      <c r="R13" s="45"/>
      <c r="S13" s="45"/>
      <c r="T13" s="45"/>
      <c r="U13" s="45"/>
      <c r="V13" s="45"/>
      <c r="W13" s="45"/>
      <c r="X13" s="45"/>
      <c r="Y13" s="45"/>
      <c r="Z13" s="47" t="str">
        <f t="shared" si="0"/>
        <v>Очікую</v>
      </c>
      <c r="AA13" s="47" t="str">
        <f t="shared" si="1"/>
        <v>Очікую</v>
      </c>
      <c r="AB13" s="34"/>
      <c r="AC13" s="40"/>
    </row>
    <row r="14" spans="1:29" s="11" customFormat="1" ht="15" customHeight="1" x14ac:dyDescent="0.25">
      <c r="A14" s="41"/>
      <c r="B14" s="32"/>
      <c r="C14" s="45"/>
      <c r="D14" s="45">
        <v>5</v>
      </c>
      <c r="E14" s="46"/>
      <c r="F14" s="45"/>
      <c r="G14" s="45"/>
      <c r="H14" s="45"/>
      <c r="I14" s="45"/>
      <c r="J14" s="45"/>
      <c r="K14" s="45"/>
      <c r="L14" s="45"/>
      <c r="M14" s="45"/>
      <c r="N14" s="45"/>
      <c r="O14" s="45"/>
      <c r="P14" s="45"/>
      <c r="Q14" s="45"/>
      <c r="R14" s="45"/>
      <c r="S14" s="45"/>
      <c r="T14" s="45"/>
      <c r="U14" s="45"/>
      <c r="V14" s="45"/>
      <c r="W14" s="45"/>
      <c r="X14" s="45"/>
      <c r="Y14" s="45"/>
      <c r="Z14" s="47" t="str">
        <f t="shared" si="0"/>
        <v>Очікую</v>
      </c>
      <c r="AA14" s="47" t="str">
        <f t="shared" si="1"/>
        <v>Очікую</v>
      </c>
      <c r="AB14" s="34"/>
      <c r="AC14" s="40"/>
    </row>
    <row r="15" spans="1:29" s="11" customFormat="1" ht="15" customHeight="1" x14ac:dyDescent="0.25">
      <c r="A15" s="41"/>
      <c r="B15" s="32"/>
      <c r="C15" s="45"/>
      <c r="D15" s="45">
        <v>6</v>
      </c>
      <c r="E15" s="46"/>
      <c r="F15" s="45"/>
      <c r="G15" s="45"/>
      <c r="H15" s="45"/>
      <c r="I15" s="45"/>
      <c r="J15" s="45"/>
      <c r="K15" s="45"/>
      <c r="L15" s="45"/>
      <c r="M15" s="45"/>
      <c r="N15" s="45"/>
      <c r="O15" s="45"/>
      <c r="P15" s="45"/>
      <c r="Q15" s="45"/>
      <c r="R15" s="45"/>
      <c r="S15" s="45"/>
      <c r="T15" s="45"/>
      <c r="U15" s="45"/>
      <c r="V15" s="45"/>
      <c r="W15" s="45"/>
      <c r="X15" s="45"/>
      <c r="Y15" s="45"/>
      <c r="Z15" s="47" t="str">
        <f t="shared" si="0"/>
        <v>Очікую</v>
      </c>
      <c r="AA15" s="47" t="str">
        <f t="shared" si="1"/>
        <v>Очікую</v>
      </c>
      <c r="AB15" s="34"/>
      <c r="AC15" s="40"/>
    </row>
    <row r="16" spans="1:29" s="11" customFormat="1" ht="15" customHeight="1" x14ac:dyDescent="0.25">
      <c r="A16" s="41"/>
      <c r="B16" s="32"/>
      <c r="C16" s="45"/>
      <c r="D16" s="45">
        <v>7</v>
      </c>
      <c r="E16" s="46"/>
      <c r="F16" s="45"/>
      <c r="G16" s="45"/>
      <c r="H16" s="45"/>
      <c r="I16" s="45"/>
      <c r="J16" s="45"/>
      <c r="K16" s="45"/>
      <c r="L16" s="45"/>
      <c r="M16" s="45"/>
      <c r="N16" s="45"/>
      <c r="O16" s="45"/>
      <c r="P16" s="45"/>
      <c r="Q16" s="45"/>
      <c r="R16" s="45"/>
      <c r="S16" s="45"/>
      <c r="T16" s="45"/>
      <c r="U16" s="45"/>
      <c r="V16" s="45"/>
      <c r="W16" s="45"/>
      <c r="X16" s="45"/>
      <c r="Y16" s="45"/>
      <c r="Z16" s="47" t="str">
        <f t="shared" si="0"/>
        <v>Очікую</v>
      </c>
      <c r="AA16" s="47" t="str">
        <f t="shared" si="1"/>
        <v>Очікую</v>
      </c>
      <c r="AB16" s="34"/>
      <c r="AC16" s="40"/>
    </row>
    <row r="17" spans="1:29" s="11" customFormat="1" ht="15" customHeight="1" x14ac:dyDescent="0.25">
      <c r="A17" s="41"/>
      <c r="B17" s="32"/>
      <c r="C17" s="45"/>
      <c r="D17" s="45">
        <v>8</v>
      </c>
      <c r="E17" s="46"/>
      <c r="F17" s="45"/>
      <c r="G17" s="45"/>
      <c r="H17" s="45"/>
      <c r="I17" s="45"/>
      <c r="J17" s="45"/>
      <c r="K17" s="45"/>
      <c r="L17" s="45"/>
      <c r="M17" s="45"/>
      <c r="N17" s="45"/>
      <c r="O17" s="45"/>
      <c r="P17" s="45"/>
      <c r="Q17" s="45"/>
      <c r="R17" s="45"/>
      <c r="S17" s="45"/>
      <c r="T17" s="45"/>
      <c r="U17" s="45"/>
      <c r="V17" s="45"/>
      <c r="W17" s="45"/>
      <c r="X17" s="45"/>
      <c r="Y17" s="45"/>
      <c r="Z17" s="47" t="str">
        <f t="shared" si="0"/>
        <v>Очікую</v>
      </c>
      <c r="AA17" s="47" t="str">
        <f t="shared" si="1"/>
        <v>Очікую</v>
      </c>
      <c r="AB17" s="34"/>
      <c r="AC17" s="40"/>
    </row>
    <row r="18" spans="1:29" s="11" customFormat="1" ht="15" customHeight="1" x14ac:dyDescent="0.25">
      <c r="A18" s="41"/>
      <c r="B18" s="32"/>
      <c r="C18" s="45"/>
      <c r="D18" s="45">
        <v>9</v>
      </c>
      <c r="E18" s="46"/>
      <c r="F18" s="45"/>
      <c r="G18" s="45"/>
      <c r="H18" s="45"/>
      <c r="I18" s="45"/>
      <c r="J18" s="45"/>
      <c r="K18" s="45"/>
      <c r="L18" s="45"/>
      <c r="M18" s="45"/>
      <c r="N18" s="45"/>
      <c r="O18" s="45"/>
      <c r="P18" s="45"/>
      <c r="Q18" s="45"/>
      <c r="R18" s="45"/>
      <c r="S18" s="45"/>
      <c r="T18" s="45"/>
      <c r="U18" s="45"/>
      <c r="V18" s="45"/>
      <c r="W18" s="45"/>
      <c r="X18" s="45"/>
      <c r="Y18" s="45"/>
      <c r="Z18" s="47" t="str">
        <f t="shared" si="0"/>
        <v>Очікую</v>
      </c>
      <c r="AA18" s="47" t="str">
        <f t="shared" si="1"/>
        <v>Очікую</v>
      </c>
      <c r="AB18" s="34"/>
      <c r="AC18" s="40"/>
    </row>
    <row r="19" spans="1:29" s="11" customFormat="1" ht="15" customHeight="1" x14ac:dyDescent="0.25">
      <c r="A19" s="41"/>
      <c r="B19" s="32"/>
      <c r="C19" s="45"/>
      <c r="D19" s="45">
        <v>10</v>
      </c>
      <c r="E19" s="46"/>
      <c r="F19" s="45"/>
      <c r="G19" s="45"/>
      <c r="H19" s="45"/>
      <c r="I19" s="45"/>
      <c r="J19" s="45"/>
      <c r="K19" s="45"/>
      <c r="L19" s="45"/>
      <c r="M19" s="45"/>
      <c r="N19" s="45"/>
      <c r="O19" s="45"/>
      <c r="P19" s="45"/>
      <c r="Q19" s="45"/>
      <c r="R19" s="45"/>
      <c r="S19" s="45"/>
      <c r="T19" s="45"/>
      <c r="U19" s="45"/>
      <c r="V19" s="45"/>
      <c r="W19" s="45"/>
      <c r="X19" s="45"/>
      <c r="Y19" s="45"/>
      <c r="Z19" s="47" t="str">
        <f t="shared" si="0"/>
        <v>Очікую</v>
      </c>
      <c r="AA19" s="47" t="str">
        <f t="shared" si="1"/>
        <v>Очікую</v>
      </c>
      <c r="AB19" s="34"/>
      <c r="AC19" s="40"/>
    </row>
    <row r="20" spans="1:29" s="11" customFormat="1" ht="15" customHeight="1" x14ac:dyDescent="0.25">
      <c r="A20" s="41"/>
      <c r="B20" s="32"/>
      <c r="C20" s="45"/>
      <c r="D20" s="45">
        <v>11</v>
      </c>
      <c r="E20" s="46"/>
      <c r="F20" s="45"/>
      <c r="G20" s="45"/>
      <c r="H20" s="45"/>
      <c r="I20" s="45"/>
      <c r="J20" s="45"/>
      <c r="K20" s="45"/>
      <c r="L20" s="45"/>
      <c r="M20" s="45"/>
      <c r="N20" s="45"/>
      <c r="O20" s="45"/>
      <c r="P20" s="45"/>
      <c r="Q20" s="45"/>
      <c r="R20" s="45"/>
      <c r="S20" s="45"/>
      <c r="T20" s="45"/>
      <c r="U20" s="45"/>
      <c r="V20" s="45"/>
      <c r="W20" s="45"/>
      <c r="X20" s="45"/>
      <c r="Y20" s="45"/>
      <c r="Z20" s="47" t="str">
        <f t="shared" si="0"/>
        <v>Очікую</v>
      </c>
      <c r="AA20" s="47" t="str">
        <f t="shared" si="1"/>
        <v>Очікую</v>
      </c>
      <c r="AB20" s="34"/>
      <c r="AC20" s="40"/>
    </row>
    <row r="21" spans="1:29" s="11" customFormat="1" ht="15" customHeight="1" x14ac:dyDescent="0.25">
      <c r="A21" s="41"/>
      <c r="B21" s="32"/>
      <c r="C21" s="45"/>
      <c r="D21" s="45">
        <v>12</v>
      </c>
      <c r="E21" s="46"/>
      <c r="F21" s="45"/>
      <c r="G21" s="45"/>
      <c r="H21" s="45"/>
      <c r="I21" s="45"/>
      <c r="J21" s="45"/>
      <c r="K21" s="45"/>
      <c r="L21" s="45"/>
      <c r="M21" s="45"/>
      <c r="N21" s="45"/>
      <c r="O21" s="45"/>
      <c r="P21" s="45"/>
      <c r="Q21" s="45"/>
      <c r="R21" s="45"/>
      <c r="S21" s="45"/>
      <c r="T21" s="45"/>
      <c r="U21" s="45"/>
      <c r="V21" s="45"/>
      <c r="W21" s="45"/>
      <c r="X21" s="45"/>
      <c r="Y21" s="45"/>
      <c r="Z21" s="47" t="str">
        <f t="shared" si="0"/>
        <v>Очікую</v>
      </c>
      <c r="AA21" s="47" t="str">
        <f t="shared" si="1"/>
        <v>Очікую</v>
      </c>
      <c r="AB21" s="34"/>
      <c r="AC21" s="40"/>
    </row>
    <row r="22" spans="1:29" s="11" customFormat="1" ht="15" customHeight="1" x14ac:dyDescent="0.25">
      <c r="A22" s="41"/>
      <c r="B22" s="32"/>
      <c r="C22" s="45"/>
      <c r="D22" s="45">
        <v>13</v>
      </c>
      <c r="E22" s="46"/>
      <c r="F22" s="45"/>
      <c r="G22" s="45"/>
      <c r="H22" s="45"/>
      <c r="I22" s="45"/>
      <c r="J22" s="45"/>
      <c r="K22" s="45"/>
      <c r="L22" s="45"/>
      <c r="M22" s="45"/>
      <c r="N22" s="45"/>
      <c r="O22" s="45"/>
      <c r="P22" s="45"/>
      <c r="Q22" s="45"/>
      <c r="R22" s="45"/>
      <c r="S22" s="45"/>
      <c r="T22" s="45"/>
      <c r="U22" s="45"/>
      <c r="V22" s="45"/>
      <c r="W22" s="45"/>
      <c r="X22" s="45"/>
      <c r="Y22" s="45"/>
      <c r="Z22" s="47" t="str">
        <f t="shared" si="0"/>
        <v>Очікую</v>
      </c>
      <c r="AA22" s="47" t="str">
        <f t="shared" si="1"/>
        <v>Очікую</v>
      </c>
      <c r="AB22" s="34"/>
      <c r="AC22" s="40"/>
    </row>
    <row r="23" spans="1:29" s="11" customFormat="1" ht="15" customHeight="1" x14ac:dyDescent="0.25">
      <c r="A23" s="41"/>
      <c r="B23" s="32"/>
      <c r="C23" s="45"/>
      <c r="D23" s="45">
        <v>14</v>
      </c>
      <c r="E23" s="46"/>
      <c r="F23" s="45"/>
      <c r="G23" s="45"/>
      <c r="H23" s="45"/>
      <c r="I23" s="45"/>
      <c r="J23" s="45"/>
      <c r="K23" s="45"/>
      <c r="L23" s="45"/>
      <c r="M23" s="45"/>
      <c r="N23" s="45"/>
      <c r="O23" s="45"/>
      <c r="P23" s="45"/>
      <c r="Q23" s="45"/>
      <c r="R23" s="45"/>
      <c r="S23" s="45"/>
      <c r="T23" s="45"/>
      <c r="U23" s="45"/>
      <c r="V23" s="45"/>
      <c r="W23" s="45"/>
      <c r="X23" s="45"/>
      <c r="Y23" s="45"/>
      <c r="Z23" s="47" t="str">
        <f t="shared" si="0"/>
        <v>Очікую</v>
      </c>
      <c r="AA23" s="47" t="str">
        <f t="shared" si="1"/>
        <v>Очікую</v>
      </c>
      <c r="AB23" s="34"/>
      <c r="AC23" s="40"/>
    </row>
    <row r="24" spans="1:29" s="11" customFormat="1" ht="15" customHeight="1" x14ac:dyDescent="0.25">
      <c r="A24" s="41"/>
      <c r="B24" s="32"/>
      <c r="C24" s="45"/>
      <c r="D24" s="45">
        <v>15</v>
      </c>
      <c r="E24" s="46"/>
      <c r="F24" s="45"/>
      <c r="G24" s="45"/>
      <c r="H24" s="45"/>
      <c r="I24" s="45"/>
      <c r="J24" s="45"/>
      <c r="K24" s="45"/>
      <c r="L24" s="45"/>
      <c r="M24" s="45"/>
      <c r="N24" s="45"/>
      <c r="O24" s="45"/>
      <c r="P24" s="45"/>
      <c r="Q24" s="45"/>
      <c r="R24" s="45"/>
      <c r="S24" s="45"/>
      <c r="T24" s="45"/>
      <c r="U24" s="45"/>
      <c r="V24" s="45"/>
      <c r="W24" s="45"/>
      <c r="X24" s="45"/>
      <c r="Y24" s="45"/>
      <c r="Z24" s="47" t="str">
        <f t="shared" si="0"/>
        <v>Очікую</v>
      </c>
      <c r="AA24" s="47" t="str">
        <f t="shared" si="1"/>
        <v>Очікую</v>
      </c>
      <c r="AB24" s="34"/>
      <c r="AC24" s="40"/>
    </row>
    <row r="25" spans="1:29" s="11" customFormat="1" ht="15" customHeight="1" x14ac:dyDescent="0.25">
      <c r="A25" s="41"/>
      <c r="B25" s="32"/>
      <c r="C25" s="45"/>
      <c r="D25" s="45">
        <v>16</v>
      </c>
      <c r="E25" s="46"/>
      <c r="F25" s="45"/>
      <c r="G25" s="45"/>
      <c r="H25" s="45"/>
      <c r="I25" s="45"/>
      <c r="J25" s="45"/>
      <c r="K25" s="45"/>
      <c r="L25" s="45"/>
      <c r="M25" s="45"/>
      <c r="N25" s="45"/>
      <c r="O25" s="45"/>
      <c r="P25" s="45"/>
      <c r="Q25" s="45"/>
      <c r="R25" s="45"/>
      <c r="S25" s="45"/>
      <c r="T25" s="45"/>
      <c r="U25" s="45"/>
      <c r="V25" s="45"/>
      <c r="W25" s="45"/>
      <c r="X25" s="45"/>
      <c r="Y25" s="45"/>
      <c r="Z25" s="47" t="str">
        <f t="shared" si="0"/>
        <v>Очікую</v>
      </c>
      <c r="AA25" s="47" t="str">
        <f t="shared" si="1"/>
        <v>Очікую</v>
      </c>
      <c r="AB25" s="34"/>
      <c r="AC25" s="40"/>
    </row>
    <row r="26" spans="1:29" s="11" customFormat="1" ht="15" customHeight="1" x14ac:dyDescent="0.25">
      <c r="A26" s="41"/>
      <c r="B26" s="32"/>
      <c r="C26" s="45"/>
      <c r="D26" s="45">
        <v>17</v>
      </c>
      <c r="E26" s="46"/>
      <c r="F26" s="45"/>
      <c r="G26" s="45"/>
      <c r="H26" s="45"/>
      <c r="I26" s="45"/>
      <c r="J26" s="45"/>
      <c r="K26" s="45"/>
      <c r="L26" s="45"/>
      <c r="M26" s="45"/>
      <c r="N26" s="45"/>
      <c r="O26" s="45"/>
      <c r="P26" s="45"/>
      <c r="Q26" s="45"/>
      <c r="R26" s="45"/>
      <c r="S26" s="45"/>
      <c r="T26" s="45"/>
      <c r="U26" s="45"/>
      <c r="V26" s="45"/>
      <c r="W26" s="45"/>
      <c r="X26" s="45"/>
      <c r="Y26" s="45"/>
      <c r="Z26" s="47" t="str">
        <f t="shared" si="0"/>
        <v>Очікую</v>
      </c>
      <c r="AA26" s="47" t="str">
        <f t="shared" si="1"/>
        <v>Очікую</v>
      </c>
      <c r="AB26" s="34"/>
      <c r="AC26" s="40"/>
    </row>
    <row r="27" spans="1:29" s="11" customFormat="1" ht="15" customHeight="1" x14ac:dyDescent="0.25">
      <c r="A27" s="41"/>
      <c r="B27" s="32"/>
      <c r="C27" s="45"/>
      <c r="D27" s="45">
        <v>18</v>
      </c>
      <c r="E27" s="46"/>
      <c r="F27" s="45"/>
      <c r="G27" s="45"/>
      <c r="H27" s="45"/>
      <c r="I27" s="45"/>
      <c r="J27" s="45"/>
      <c r="K27" s="45"/>
      <c r="L27" s="45"/>
      <c r="M27" s="45"/>
      <c r="N27" s="45"/>
      <c r="O27" s="45"/>
      <c r="P27" s="45"/>
      <c r="Q27" s="45"/>
      <c r="R27" s="45"/>
      <c r="S27" s="45"/>
      <c r="T27" s="45"/>
      <c r="U27" s="45"/>
      <c r="V27" s="45"/>
      <c r="W27" s="45"/>
      <c r="X27" s="45"/>
      <c r="Y27" s="45"/>
      <c r="Z27" s="47" t="str">
        <f t="shared" si="0"/>
        <v>Очікую</v>
      </c>
      <c r="AA27" s="47" t="str">
        <f t="shared" si="1"/>
        <v>Очікую</v>
      </c>
      <c r="AB27" s="34"/>
      <c r="AC27" s="40"/>
    </row>
    <row r="28" spans="1:29" s="11" customFormat="1" ht="15" customHeight="1" x14ac:dyDescent="0.25">
      <c r="A28" s="41"/>
      <c r="B28" s="32"/>
      <c r="C28" s="45"/>
      <c r="D28" s="45">
        <v>19</v>
      </c>
      <c r="E28" s="46"/>
      <c r="F28" s="45"/>
      <c r="G28" s="45"/>
      <c r="H28" s="45"/>
      <c r="I28" s="45"/>
      <c r="J28" s="45"/>
      <c r="K28" s="45"/>
      <c r="L28" s="45"/>
      <c r="M28" s="45"/>
      <c r="N28" s="45"/>
      <c r="O28" s="45"/>
      <c r="P28" s="45"/>
      <c r="Q28" s="45"/>
      <c r="R28" s="45"/>
      <c r="S28" s="45"/>
      <c r="T28" s="45"/>
      <c r="U28" s="45"/>
      <c r="V28" s="45"/>
      <c r="W28" s="45"/>
      <c r="X28" s="45"/>
      <c r="Y28" s="45"/>
      <c r="Z28" s="47" t="str">
        <f t="shared" si="0"/>
        <v>Очікую</v>
      </c>
      <c r="AA28" s="47" t="str">
        <f t="shared" si="1"/>
        <v>Очікую</v>
      </c>
      <c r="AB28" s="34"/>
      <c r="AC28" s="40"/>
    </row>
    <row r="29" spans="1:29" s="11" customFormat="1" ht="15" customHeight="1" x14ac:dyDescent="0.25">
      <c r="A29" s="41"/>
      <c r="B29" s="32"/>
      <c r="C29" s="45"/>
      <c r="D29" s="45">
        <v>20</v>
      </c>
      <c r="E29" s="46"/>
      <c r="F29" s="45"/>
      <c r="G29" s="45"/>
      <c r="H29" s="45"/>
      <c r="I29" s="45"/>
      <c r="J29" s="45"/>
      <c r="K29" s="45"/>
      <c r="L29" s="45"/>
      <c r="M29" s="45"/>
      <c r="N29" s="45"/>
      <c r="O29" s="45"/>
      <c r="P29" s="45"/>
      <c r="Q29" s="45"/>
      <c r="R29" s="45"/>
      <c r="S29" s="45"/>
      <c r="T29" s="45"/>
      <c r="U29" s="45"/>
      <c r="V29" s="45"/>
      <c r="W29" s="45"/>
      <c r="X29" s="45"/>
      <c r="Y29" s="45"/>
      <c r="Z29" s="47" t="str">
        <f t="shared" si="0"/>
        <v>Очікую</v>
      </c>
      <c r="AA29" s="47" t="str">
        <f t="shared" si="1"/>
        <v>Очікую</v>
      </c>
      <c r="AB29" s="34"/>
      <c r="AC29" s="40"/>
    </row>
    <row r="30" spans="1:29" s="11" customFormat="1" ht="15" customHeight="1" x14ac:dyDescent="0.25">
      <c r="A30" s="41"/>
      <c r="B30" s="32"/>
      <c r="C30" s="45"/>
      <c r="D30" s="45">
        <v>21</v>
      </c>
      <c r="E30" s="46"/>
      <c r="F30" s="45"/>
      <c r="G30" s="45"/>
      <c r="H30" s="45"/>
      <c r="I30" s="45"/>
      <c r="J30" s="45"/>
      <c r="K30" s="45"/>
      <c r="L30" s="45"/>
      <c r="M30" s="45"/>
      <c r="N30" s="45"/>
      <c r="O30" s="45"/>
      <c r="P30" s="45"/>
      <c r="Q30" s="45"/>
      <c r="R30" s="45"/>
      <c r="S30" s="45"/>
      <c r="T30" s="45"/>
      <c r="U30" s="45"/>
      <c r="V30" s="45"/>
      <c r="W30" s="45"/>
      <c r="X30" s="45"/>
      <c r="Y30" s="45"/>
      <c r="Z30" s="47" t="str">
        <f t="shared" si="0"/>
        <v>Очікую</v>
      </c>
      <c r="AA30" s="47" t="str">
        <f t="shared" si="1"/>
        <v>Очікую</v>
      </c>
      <c r="AB30" s="34"/>
      <c r="AC30" s="40"/>
    </row>
    <row r="31" spans="1:29" s="11" customFormat="1" ht="15" customHeight="1" x14ac:dyDescent="0.25">
      <c r="A31" s="41"/>
      <c r="B31" s="32"/>
      <c r="C31" s="45"/>
      <c r="D31" s="45">
        <v>22</v>
      </c>
      <c r="E31" s="46"/>
      <c r="F31" s="45"/>
      <c r="G31" s="45"/>
      <c r="H31" s="45"/>
      <c r="I31" s="45"/>
      <c r="J31" s="45"/>
      <c r="K31" s="45"/>
      <c r="L31" s="45"/>
      <c r="M31" s="45"/>
      <c r="N31" s="45"/>
      <c r="O31" s="45"/>
      <c r="P31" s="45"/>
      <c r="Q31" s="45"/>
      <c r="R31" s="45"/>
      <c r="S31" s="45"/>
      <c r="T31" s="45"/>
      <c r="U31" s="45"/>
      <c r="V31" s="45"/>
      <c r="W31" s="45"/>
      <c r="X31" s="45"/>
      <c r="Y31" s="45"/>
      <c r="Z31" s="47" t="str">
        <f t="shared" si="0"/>
        <v>Очікую</v>
      </c>
      <c r="AA31" s="47" t="str">
        <f t="shared" si="1"/>
        <v>Очікую</v>
      </c>
      <c r="AB31" s="34"/>
      <c r="AC31" s="40"/>
    </row>
    <row r="32" spans="1:29" s="11" customFormat="1" ht="15" customHeight="1" x14ac:dyDescent="0.25">
      <c r="A32" s="41"/>
      <c r="B32" s="32"/>
      <c r="C32" s="45"/>
      <c r="D32" s="45">
        <v>23</v>
      </c>
      <c r="E32" s="46"/>
      <c r="F32" s="45"/>
      <c r="G32" s="45"/>
      <c r="H32" s="45"/>
      <c r="I32" s="45"/>
      <c r="J32" s="45"/>
      <c r="K32" s="45"/>
      <c r="L32" s="45"/>
      <c r="M32" s="45"/>
      <c r="N32" s="45"/>
      <c r="O32" s="45"/>
      <c r="P32" s="45"/>
      <c r="Q32" s="45"/>
      <c r="R32" s="45"/>
      <c r="S32" s="45"/>
      <c r="T32" s="45"/>
      <c r="U32" s="45"/>
      <c r="V32" s="45"/>
      <c r="W32" s="45"/>
      <c r="X32" s="45"/>
      <c r="Y32" s="45"/>
      <c r="Z32" s="47" t="str">
        <f t="shared" si="0"/>
        <v>Очікую</v>
      </c>
      <c r="AA32" s="47" t="str">
        <f t="shared" si="1"/>
        <v>Очікую</v>
      </c>
      <c r="AB32" s="34"/>
      <c r="AC32" s="40"/>
    </row>
    <row r="33" spans="1:29" s="11" customFormat="1" ht="15" customHeight="1" x14ac:dyDescent="0.25">
      <c r="A33" s="41"/>
      <c r="B33" s="32"/>
      <c r="C33" s="45"/>
      <c r="D33" s="45">
        <v>24</v>
      </c>
      <c r="E33" s="46"/>
      <c r="F33" s="45"/>
      <c r="G33" s="45"/>
      <c r="H33" s="45"/>
      <c r="I33" s="45"/>
      <c r="J33" s="45"/>
      <c r="K33" s="45"/>
      <c r="L33" s="45"/>
      <c r="M33" s="45"/>
      <c r="N33" s="45"/>
      <c r="O33" s="45"/>
      <c r="P33" s="45"/>
      <c r="Q33" s="45"/>
      <c r="R33" s="45"/>
      <c r="S33" s="45"/>
      <c r="T33" s="45"/>
      <c r="U33" s="45"/>
      <c r="V33" s="45"/>
      <c r="W33" s="45"/>
      <c r="X33" s="45"/>
      <c r="Y33" s="45"/>
      <c r="Z33" s="47" t="str">
        <f t="shared" si="0"/>
        <v>Очікую</v>
      </c>
      <c r="AA33" s="47" t="str">
        <f t="shared" si="1"/>
        <v>Очікую</v>
      </c>
      <c r="AB33" s="34"/>
      <c r="AC33" s="40"/>
    </row>
    <row r="34" spans="1:29" s="11" customFormat="1" ht="15" customHeight="1" x14ac:dyDescent="0.25">
      <c r="A34" s="41"/>
      <c r="B34" s="32"/>
      <c r="C34" s="45"/>
      <c r="D34" s="45">
        <v>25</v>
      </c>
      <c r="E34" s="46"/>
      <c r="F34" s="45"/>
      <c r="G34" s="45"/>
      <c r="H34" s="45"/>
      <c r="I34" s="45"/>
      <c r="J34" s="45"/>
      <c r="K34" s="45"/>
      <c r="L34" s="45"/>
      <c r="M34" s="45"/>
      <c r="N34" s="45"/>
      <c r="O34" s="45"/>
      <c r="P34" s="45"/>
      <c r="Q34" s="45"/>
      <c r="R34" s="45"/>
      <c r="S34" s="45"/>
      <c r="T34" s="45"/>
      <c r="U34" s="45"/>
      <c r="V34" s="45"/>
      <c r="W34" s="45"/>
      <c r="X34" s="45"/>
      <c r="Y34" s="45"/>
      <c r="Z34" s="47" t="str">
        <f t="shared" si="0"/>
        <v>Очікую</v>
      </c>
      <c r="AA34" s="47" t="str">
        <f t="shared" si="1"/>
        <v>Очікую</v>
      </c>
      <c r="AB34" s="34"/>
      <c r="AC34" s="40"/>
    </row>
    <row r="35" spans="1:29" s="11" customFormat="1" ht="15" customHeight="1" x14ac:dyDescent="0.25">
      <c r="A35" s="41"/>
      <c r="B35" s="32"/>
      <c r="C35" s="45"/>
      <c r="D35" s="45">
        <v>26</v>
      </c>
      <c r="E35" s="46"/>
      <c r="F35" s="45"/>
      <c r="G35" s="45"/>
      <c r="H35" s="45"/>
      <c r="I35" s="45"/>
      <c r="J35" s="45"/>
      <c r="K35" s="45"/>
      <c r="L35" s="45"/>
      <c r="M35" s="45"/>
      <c r="N35" s="45"/>
      <c r="O35" s="45"/>
      <c r="P35" s="45"/>
      <c r="Q35" s="45"/>
      <c r="R35" s="45"/>
      <c r="S35" s="45"/>
      <c r="T35" s="45"/>
      <c r="U35" s="45"/>
      <c r="V35" s="45"/>
      <c r="W35" s="45"/>
      <c r="X35" s="45"/>
      <c r="Y35" s="45"/>
      <c r="Z35" s="47" t="str">
        <f t="shared" si="0"/>
        <v>Очікую</v>
      </c>
      <c r="AA35" s="47" t="str">
        <f t="shared" si="1"/>
        <v>Очікую</v>
      </c>
      <c r="AB35" s="34"/>
      <c r="AC35" s="40"/>
    </row>
    <row r="36" spans="1:29" s="11" customFormat="1" ht="15" customHeight="1" x14ac:dyDescent="0.25">
      <c r="A36" s="41"/>
      <c r="B36" s="32"/>
      <c r="C36" s="45"/>
      <c r="D36" s="45">
        <v>27</v>
      </c>
      <c r="E36" s="46"/>
      <c r="F36" s="45"/>
      <c r="G36" s="45"/>
      <c r="H36" s="45"/>
      <c r="I36" s="45"/>
      <c r="J36" s="45"/>
      <c r="K36" s="45"/>
      <c r="L36" s="45"/>
      <c r="M36" s="45"/>
      <c r="N36" s="45"/>
      <c r="O36" s="45"/>
      <c r="P36" s="45"/>
      <c r="Q36" s="45"/>
      <c r="R36" s="45"/>
      <c r="S36" s="45"/>
      <c r="T36" s="45"/>
      <c r="U36" s="45"/>
      <c r="V36" s="45"/>
      <c r="W36" s="45"/>
      <c r="X36" s="45"/>
      <c r="Y36" s="45"/>
      <c r="Z36" s="47" t="str">
        <f t="shared" si="0"/>
        <v>Очікую</v>
      </c>
      <c r="AA36" s="47" t="str">
        <f t="shared" si="1"/>
        <v>Очікую</v>
      </c>
      <c r="AB36" s="34"/>
      <c r="AC36" s="40"/>
    </row>
    <row r="37" spans="1:29" s="11" customFormat="1" ht="15" customHeight="1" x14ac:dyDescent="0.25">
      <c r="A37" s="41"/>
      <c r="B37" s="32"/>
      <c r="C37" s="45"/>
      <c r="D37" s="45">
        <v>28</v>
      </c>
      <c r="E37" s="46"/>
      <c r="F37" s="45"/>
      <c r="G37" s="45"/>
      <c r="H37" s="45"/>
      <c r="I37" s="45"/>
      <c r="J37" s="45"/>
      <c r="K37" s="45"/>
      <c r="L37" s="45"/>
      <c r="M37" s="45"/>
      <c r="N37" s="45"/>
      <c r="O37" s="45"/>
      <c r="P37" s="45"/>
      <c r="Q37" s="45"/>
      <c r="R37" s="45"/>
      <c r="S37" s="45"/>
      <c r="T37" s="45"/>
      <c r="U37" s="45"/>
      <c r="V37" s="45"/>
      <c r="W37" s="45"/>
      <c r="X37" s="45"/>
      <c r="Y37" s="45"/>
      <c r="Z37" s="47" t="str">
        <f t="shared" si="0"/>
        <v>Очікую</v>
      </c>
      <c r="AA37" s="47" t="str">
        <f t="shared" si="1"/>
        <v>Очікую</v>
      </c>
      <c r="AB37" s="34"/>
      <c r="AC37" s="40"/>
    </row>
    <row r="38" spans="1:29" s="11" customFormat="1" ht="15" customHeight="1" x14ac:dyDescent="0.25">
      <c r="A38" s="41"/>
      <c r="B38" s="32"/>
      <c r="C38" s="45"/>
      <c r="D38" s="45">
        <v>29</v>
      </c>
      <c r="E38" s="46"/>
      <c r="F38" s="45"/>
      <c r="G38" s="45"/>
      <c r="H38" s="45"/>
      <c r="I38" s="45"/>
      <c r="J38" s="45"/>
      <c r="K38" s="45"/>
      <c r="L38" s="45"/>
      <c r="M38" s="45"/>
      <c r="N38" s="45"/>
      <c r="O38" s="45"/>
      <c r="P38" s="45"/>
      <c r="Q38" s="45"/>
      <c r="R38" s="45"/>
      <c r="S38" s="45"/>
      <c r="T38" s="45"/>
      <c r="U38" s="45"/>
      <c r="V38" s="45"/>
      <c r="W38" s="45"/>
      <c r="X38" s="45"/>
      <c r="Y38" s="45"/>
      <c r="Z38" s="47" t="str">
        <f t="shared" si="0"/>
        <v>Очікую</v>
      </c>
      <c r="AA38" s="47" t="str">
        <f t="shared" si="1"/>
        <v>Очікую</v>
      </c>
      <c r="AB38" s="34"/>
      <c r="AC38" s="40"/>
    </row>
    <row r="39" spans="1:29" s="11" customFormat="1" ht="15" customHeight="1" x14ac:dyDescent="0.25">
      <c r="A39" s="41"/>
      <c r="B39" s="32"/>
      <c r="C39" s="45"/>
      <c r="D39" s="45">
        <v>30</v>
      </c>
      <c r="E39" s="46"/>
      <c r="F39" s="45"/>
      <c r="G39" s="45"/>
      <c r="H39" s="45"/>
      <c r="I39" s="45"/>
      <c r="J39" s="45"/>
      <c r="K39" s="45"/>
      <c r="L39" s="45"/>
      <c r="M39" s="45"/>
      <c r="N39" s="45"/>
      <c r="O39" s="45"/>
      <c r="P39" s="45"/>
      <c r="Q39" s="45"/>
      <c r="R39" s="45"/>
      <c r="S39" s="45"/>
      <c r="T39" s="45"/>
      <c r="U39" s="45"/>
      <c r="V39" s="45"/>
      <c r="W39" s="45"/>
      <c r="X39" s="45"/>
      <c r="Y39" s="45"/>
      <c r="Z39" s="47" t="str">
        <f t="shared" si="0"/>
        <v>Очікую</v>
      </c>
      <c r="AA39" s="47" t="str">
        <f t="shared" si="1"/>
        <v>Очікую</v>
      </c>
      <c r="AB39" s="34"/>
      <c r="AC39" s="40"/>
    </row>
    <row r="40" spans="1:29" s="11" customFormat="1" ht="15" customHeight="1" x14ac:dyDescent="0.25">
      <c r="A40" s="41"/>
      <c r="B40" s="32"/>
      <c r="C40" s="45"/>
      <c r="D40" s="45">
        <v>31</v>
      </c>
      <c r="E40" s="46"/>
      <c r="F40" s="45"/>
      <c r="G40" s="45"/>
      <c r="H40" s="45"/>
      <c r="I40" s="45"/>
      <c r="J40" s="45"/>
      <c r="K40" s="45"/>
      <c r="L40" s="45"/>
      <c r="M40" s="45"/>
      <c r="N40" s="45"/>
      <c r="O40" s="45"/>
      <c r="P40" s="45"/>
      <c r="Q40" s="45"/>
      <c r="R40" s="45"/>
      <c r="S40" s="45"/>
      <c r="T40" s="45"/>
      <c r="U40" s="45"/>
      <c r="V40" s="45"/>
      <c r="W40" s="45"/>
      <c r="X40" s="45"/>
      <c r="Y40" s="45"/>
      <c r="Z40" s="47" t="str">
        <f t="shared" si="0"/>
        <v>Очікую</v>
      </c>
      <c r="AA40" s="47" t="str">
        <f t="shared" si="1"/>
        <v>Очікую</v>
      </c>
      <c r="AB40" s="34"/>
      <c r="AC40" s="40"/>
    </row>
    <row r="41" spans="1:29" s="11" customFormat="1" ht="15" customHeight="1" x14ac:dyDescent="0.25">
      <c r="A41" s="41"/>
      <c r="B41" s="32"/>
      <c r="C41" s="45"/>
      <c r="D41" s="45">
        <v>32</v>
      </c>
      <c r="E41" s="46"/>
      <c r="F41" s="45"/>
      <c r="G41" s="45"/>
      <c r="H41" s="45"/>
      <c r="I41" s="45"/>
      <c r="J41" s="45"/>
      <c r="K41" s="45"/>
      <c r="L41" s="45"/>
      <c r="M41" s="45"/>
      <c r="N41" s="45"/>
      <c r="O41" s="45"/>
      <c r="P41" s="45"/>
      <c r="Q41" s="45"/>
      <c r="R41" s="45"/>
      <c r="S41" s="45"/>
      <c r="T41" s="45"/>
      <c r="U41" s="45"/>
      <c r="V41" s="45"/>
      <c r="W41" s="45"/>
      <c r="X41" s="45"/>
      <c r="Y41" s="45"/>
      <c r="Z41" s="47" t="str">
        <f t="shared" si="0"/>
        <v>Очікую</v>
      </c>
      <c r="AA41" s="47" t="str">
        <f t="shared" si="1"/>
        <v>Очікую</v>
      </c>
      <c r="AB41" s="34"/>
      <c r="AC41" s="40"/>
    </row>
    <row r="42" spans="1:29" s="11" customFormat="1" ht="15" customHeight="1" x14ac:dyDescent="0.25">
      <c r="A42" s="41"/>
      <c r="B42" s="32"/>
      <c r="C42" s="45"/>
      <c r="D42" s="45">
        <v>33</v>
      </c>
      <c r="E42" s="46"/>
      <c r="F42" s="45"/>
      <c r="G42" s="45"/>
      <c r="H42" s="45"/>
      <c r="I42" s="45"/>
      <c r="J42" s="45"/>
      <c r="K42" s="45"/>
      <c r="L42" s="45"/>
      <c r="M42" s="45"/>
      <c r="N42" s="45"/>
      <c r="O42" s="45"/>
      <c r="P42" s="45"/>
      <c r="Q42" s="45"/>
      <c r="R42" s="45"/>
      <c r="S42" s="45"/>
      <c r="T42" s="45"/>
      <c r="U42" s="45"/>
      <c r="V42" s="45"/>
      <c r="W42" s="45"/>
      <c r="X42" s="45"/>
      <c r="Y42" s="45"/>
      <c r="Z42" s="47" t="str">
        <f t="shared" si="0"/>
        <v>Очікую</v>
      </c>
      <c r="AA42" s="47" t="str">
        <f t="shared" si="1"/>
        <v>Очікую</v>
      </c>
      <c r="AB42" s="34"/>
      <c r="AC42" s="40"/>
    </row>
    <row r="43" spans="1:29" s="11" customFormat="1" ht="15" customHeight="1" x14ac:dyDescent="0.25">
      <c r="A43" s="41"/>
      <c r="B43" s="32"/>
      <c r="C43" s="45"/>
      <c r="D43" s="45">
        <v>34</v>
      </c>
      <c r="E43" s="46"/>
      <c r="F43" s="45"/>
      <c r="G43" s="45"/>
      <c r="H43" s="45"/>
      <c r="I43" s="45"/>
      <c r="J43" s="45"/>
      <c r="K43" s="45"/>
      <c r="L43" s="45"/>
      <c r="M43" s="45"/>
      <c r="N43" s="45"/>
      <c r="O43" s="45"/>
      <c r="P43" s="45"/>
      <c r="Q43" s="45"/>
      <c r="R43" s="45"/>
      <c r="S43" s="45"/>
      <c r="T43" s="45"/>
      <c r="U43" s="45"/>
      <c r="V43" s="45"/>
      <c r="W43" s="45"/>
      <c r="X43" s="45"/>
      <c r="Y43" s="45"/>
      <c r="Z43" s="47" t="str">
        <f t="shared" si="0"/>
        <v>Очікую</v>
      </c>
      <c r="AA43" s="47" t="str">
        <f t="shared" si="1"/>
        <v>Очікую</v>
      </c>
      <c r="AB43" s="34"/>
      <c r="AC43" s="40"/>
    </row>
    <row r="44" spans="1:29" s="11" customFormat="1" ht="15" customHeight="1" x14ac:dyDescent="0.25">
      <c r="A44" s="41"/>
      <c r="B44" s="32"/>
      <c r="C44" s="45"/>
      <c r="D44" s="45">
        <v>35</v>
      </c>
      <c r="E44" s="46"/>
      <c r="F44" s="45"/>
      <c r="G44" s="45"/>
      <c r="H44" s="45"/>
      <c r="I44" s="45"/>
      <c r="J44" s="45"/>
      <c r="K44" s="45"/>
      <c r="L44" s="45"/>
      <c r="M44" s="45"/>
      <c r="N44" s="45"/>
      <c r="O44" s="45"/>
      <c r="P44" s="45"/>
      <c r="Q44" s="45"/>
      <c r="R44" s="45"/>
      <c r="S44" s="45"/>
      <c r="T44" s="45"/>
      <c r="U44" s="45"/>
      <c r="V44" s="45"/>
      <c r="W44" s="45"/>
      <c r="X44" s="45"/>
      <c r="Y44" s="45"/>
      <c r="Z44" s="47" t="str">
        <f t="shared" si="0"/>
        <v>Очікую</v>
      </c>
      <c r="AA44" s="47" t="str">
        <f t="shared" si="1"/>
        <v>Очікую</v>
      </c>
      <c r="AB44" s="34"/>
      <c r="AC44" s="40"/>
    </row>
    <row r="45" spans="1:29" s="11" customFormat="1" ht="15" customHeight="1" x14ac:dyDescent="0.25">
      <c r="A45" s="41"/>
      <c r="B45" s="32"/>
      <c r="C45" s="45"/>
      <c r="D45" s="45">
        <v>36</v>
      </c>
      <c r="E45" s="46"/>
      <c r="F45" s="45"/>
      <c r="G45" s="45"/>
      <c r="H45" s="45"/>
      <c r="I45" s="45"/>
      <c r="J45" s="45"/>
      <c r="K45" s="45"/>
      <c r="L45" s="45"/>
      <c r="M45" s="45"/>
      <c r="N45" s="45"/>
      <c r="O45" s="45"/>
      <c r="P45" s="45"/>
      <c r="Q45" s="45"/>
      <c r="R45" s="45"/>
      <c r="S45" s="45"/>
      <c r="T45" s="45"/>
      <c r="U45" s="45"/>
      <c r="V45" s="45"/>
      <c r="W45" s="45"/>
      <c r="X45" s="45"/>
      <c r="Y45" s="45"/>
      <c r="Z45" s="47" t="str">
        <f t="shared" si="0"/>
        <v>Очікую</v>
      </c>
      <c r="AA45" s="47" t="str">
        <f t="shared" si="1"/>
        <v>Очікую</v>
      </c>
      <c r="AB45" s="34"/>
      <c r="AC45" s="40"/>
    </row>
    <row r="46" spans="1:29" s="11" customFormat="1" ht="15" customHeight="1" x14ac:dyDescent="0.25">
      <c r="A46" s="41"/>
      <c r="B46" s="32"/>
      <c r="C46" s="45"/>
      <c r="D46" s="45">
        <v>37</v>
      </c>
      <c r="E46" s="46"/>
      <c r="F46" s="45"/>
      <c r="G46" s="45"/>
      <c r="H46" s="45"/>
      <c r="I46" s="45"/>
      <c r="J46" s="45"/>
      <c r="K46" s="45"/>
      <c r="L46" s="45"/>
      <c r="M46" s="45"/>
      <c r="N46" s="45"/>
      <c r="O46" s="45"/>
      <c r="P46" s="45"/>
      <c r="Q46" s="45"/>
      <c r="R46" s="45"/>
      <c r="S46" s="45"/>
      <c r="T46" s="45"/>
      <c r="U46" s="45"/>
      <c r="V46" s="45"/>
      <c r="W46" s="45"/>
      <c r="X46" s="45"/>
      <c r="Y46" s="45"/>
      <c r="Z46" s="47" t="str">
        <f t="shared" si="0"/>
        <v>Очікую</v>
      </c>
      <c r="AA46" s="47" t="str">
        <f t="shared" si="1"/>
        <v>Очікую</v>
      </c>
      <c r="AB46" s="34"/>
      <c r="AC46" s="40"/>
    </row>
    <row r="47" spans="1:29" s="11" customFormat="1" ht="15" customHeight="1" x14ac:dyDescent="0.25">
      <c r="A47" s="41"/>
      <c r="B47" s="32"/>
      <c r="C47" s="45"/>
      <c r="D47" s="45">
        <v>38</v>
      </c>
      <c r="E47" s="46"/>
      <c r="F47" s="45"/>
      <c r="G47" s="45"/>
      <c r="H47" s="45"/>
      <c r="I47" s="45"/>
      <c r="J47" s="45"/>
      <c r="K47" s="45"/>
      <c r="L47" s="45"/>
      <c r="M47" s="45"/>
      <c r="N47" s="45"/>
      <c r="O47" s="45"/>
      <c r="P47" s="45"/>
      <c r="Q47" s="45"/>
      <c r="R47" s="45"/>
      <c r="S47" s="45"/>
      <c r="T47" s="45"/>
      <c r="U47" s="45"/>
      <c r="V47" s="45"/>
      <c r="W47" s="45"/>
      <c r="X47" s="45"/>
      <c r="Y47" s="45"/>
      <c r="Z47" s="47" t="str">
        <f t="shared" si="0"/>
        <v>Очікую</v>
      </c>
      <c r="AA47" s="47" t="str">
        <f t="shared" si="1"/>
        <v>Очікую</v>
      </c>
      <c r="AB47" s="34"/>
      <c r="AC47" s="40"/>
    </row>
    <row r="48" spans="1:29" s="11" customFormat="1" ht="15" customHeight="1" x14ac:dyDescent="0.25">
      <c r="A48" s="41"/>
      <c r="B48" s="32"/>
      <c r="C48" s="45"/>
      <c r="D48" s="45">
        <v>39</v>
      </c>
      <c r="E48" s="46"/>
      <c r="F48" s="45"/>
      <c r="G48" s="45"/>
      <c r="H48" s="45"/>
      <c r="I48" s="45"/>
      <c r="J48" s="45"/>
      <c r="K48" s="45"/>
      <c r="L48" s="45"/>
      <c r="M48" s="45"/>
      <c r="N48" s="45"/>
      <c r="O48" s="45"/>
      <c r="P48" s="45"/>
      <c r="Q48" s="45"/>
      <c r="R48" s="45"/>
      <c r="S48" s="45"/>
      <c r="T48" s="45"/>
      <c r="U48" s="45"/>
      <c r="V48" s="45"/>
      <c r="W48" s="45"/>
      <c r="X48" s="45"/>
      <c r="Y48" s="45"/>
      <c r="Z48" s="47" t="str">
        <f t="shared" si="0"/>
        <v>Очікую</v>
      </c>
      <c r="AA48" s="47" t="str">
        <f t="shared" si="1"/>
        <v>Очікую</v>
      </c>
      <c r="AB48" s="34"/>
      <c r="AC48" s="40"/>
    </row>
    <row r="49" spans="1:29" s="11" customFormat="1" ht="15" customHeight="1" x14ac:dyDescent="0.25">
      <c r="A49" s="41"/>
      <c r="B49" s="32"/>
      <c r="C49" s="45"/>
      <c r="D49" s="45">
        <v>40</v>
      </c>
      <c r="E49" s="46"/>
      <c r="F49" s="45"/>
      <c r="G49" s="45"/>
      <c r="H49" s="45"/>
      <c r="I49" s="45"/>
      <c r="J49" s="45"/>
      <c r="K49" s="45"/>
      <c r="L49" s="45"/>
      <c r="M49" s="45"/>
      <c r="N49" s="45"/>
      <c r="O49" s="45"/>
      <c r="P49" s="45"/>
      <c r="Q49" s="45"/>
      <c r="R49" s="45"/>
      <c r="S49" s="45"/>
      <c r="T49" s="45"/>
      <c r="U49" s="45"/>
      <c r="V49" s="45"/>
      <c r="W49" s="45"/>
      <c r="X49" s="45"/>
      <c r="Y49" s="45"/>
      <c r="Z49" s="47" t="str">
        <f t="shared" si="0"/>
        <v>Очікую</v>
      </c>
      <c r="AA49" s="47" t="str">
        <f t="shared" si="1"/>
        <v>Очікую</v>
      </c>
      <c r="AB49" s="34"/>
      <c r="AC49" s="40"/>
    </row>
    <row r="50" spans="1:29" s="11" customFormat="1" ht="15" customHeight="1" x14ac:dyDescent="0.25">
      <c r="A50" s="41"/>
      <c r="B50" s="32"/>
      <c r="C50" s="45"/>
      <c r="D50" s="45">
        <v>41</v>
      </c>
      <c r="E50" s="46"/>
      <c r="F50" s="45"/>
      <c r="G50" s="45"/>
      <c r="H50" s="45"/>
      <c r="I50" s="45"/>
      <c r="J50" s="45"/>
      <c r="K50" s="45"/>
      <c r="L50" s="45"/>
      <c r="M50" s="45"/>
      <c r="N50" s="45"/>
      <c r="O50" s="45"/>
      <c r="P50" s="45"/>
      <c r="Q50" s="45"/>
      <c r="R50" s="45"/>
      <c r="S50" s="45"/>
      <c r="T50" s="45"/>
      <c r="U50" s="45"/>
      <c r="V50" s="45"/>
      <c r="W50" s="45"/>
      <c r="X50" s="45"/>
      <c r="Y50" s="45"/>
      <c r="Z50" s="47" t="str">
        <f t="shared" si="0"/>
        <v>Очікую</v>
      </c>
      <c r="AA50" s="47" t="str">
        <f t="shared" si="1"/>
        <v>Очікую</v>
      </c>
      <c r="AB50" s="34"/>
      <c r="AC50" s="40"/>
    </row>
    <row r="51" spans="1:29" s="11" customFormat="1" ht="15" customHeight="1" x14ac:dyDescent="0.25">
      <c r="A51" s="41"/>
      <c r="B51" s="32"/>
      <c r="C51" s="45"/>
      <c r="D51" s="45">
        <v>42</v>
      </c>
      <c r="E51" s="46"/>
      <c r="F51" s="45"/>
      <c r="G51" s="45"/>
      <c r="H51" s="45"/>
      <c r="I51" s="45"/>
      <c r="J51" s="45"/>
      <c r="K51" s="45"/>
      <c r="L51" s="45"/>
      <c r="M51" s="45"/>
      <c r="N51" s="45"/>
      <c r="O51" s="45"/>
      <c r="P51" s="45"/>
      <c r="Q51" s="45"/>
      <c r="R51" s="45"/>
      <c r="S51" s="45"/>
      <c r="T51" s="45"/>
      <c r="U51" s="45"/>
      <c r="V51" s="45"/>
      <c r="W51" s="45"/>
      <c r="X51" s="45"/>
      <c r="Y51" s="45"/>
      <c r="Z51" s="47" t="str">
        <f t="shared" si="0"/>
        <v>Очікую</v>
      </c>
      <c r="AA51" s="47" t="str">
        <f t="shared" si="1"/>
        <v>Очікую</v>
      </c>
      <c r="AB51" s="34"/>
      <c r="AC51" s="40"/>
    </row>
    <row r="52" spans="1:29" s="11" customFormat="1" ht="15" customHeight="1" x14ac:dyDescent="0.25">
      <c r="A52" s="41"/>
      <c r="B52" s="32"/>
      <c r="C52" s="45"/>
      <c r="D52" s="45">
        <v>43</v>
      </c>
      <c r="E52" s="46"/>
      <c r="F52" s="45"/>
      <c r="G52" s="45"/>
      <c r="H52" s="45"/>
      <c r="I52" s="45"/>
      <c r="J52" s="45"/>
      <c r="K52" s="45"/>
      <c r="L52" s="45"/>
      <c r="M52" s="45"/>
      <c r="N52" s="45"/>
      <c r="O52" s="45"/>
      <c r="P52" s="45"/>
      <c r="Q52" s="45"/>
      <c r="R52" s="45"/>
      <c r="S52" s="45"/>
      <c r="T52" s="45"/>
      <c r="U52" s="45"/>
      <c r="V52" s="45"/>
      <c r="W52" s="45"/>
      <c r="X52" s="45"/>
      <c r="Y52" s="45"/>
      <c r="Z52" s="47" t="str">
        <f t="shared" si="0"/>
        <v>Очікую</v>
      </c>
      <c r="AA52" s="47" t="str">
        <f t="shared" si="1"/>
        <v>Очікую</v>
      </c>
      <c r="AB52" s="34"/>
      <c r="AC52" s="40"/>
    </row>
    <row r="53" spans="1:29" s="11" customFormat="1" ht="15" customHeight="1" x14ac:dyDescent="0.25">
      <c r="A53" s="41"/>
      <c r="B53" s="32"/>
      <c r="C53" s="45"/>
      <c r="D53" s="45">
        <v>44</v>
      </c>
      <c r="E53" s="46"/>
      <c r="F53" s="45"/>
      <c r="G53" s="45"/>
      <c r="H53" s="45"/>
      <c r="I53" s="45"/>
      <c r="J53" s="45"/>
      <c r="K53" s="45"/>
      <c r="L53" s="45"/>
      <c r="M53" s="45"/>
      <c r="N53" s="45"/>
      <c r="O53" s="45"/>
      <c r="P53" s="45"/>
      <c r="Q53" s="45"/>
      <c r="R53" s="45"/>
      <c r="S53" s="45"/>
      <c r="T53" s="45"/>
      <c r="U53" s="45"/>
      <c r="V53" s="45"/>
      <c r="W53" s="45"/>
      <c r="X53" s="45"/>
      <c r="Y53" s="45"/>
      <c r="Z53" s="47" t="str">
        <f t="shared" si="0"/>
        <v>Очікую</v>
      </c>
      <c r="AA53" s="47" t="str">
        <f t="shared" si="1"/>
        <v>Очікую</v>
      </c>
      <c r="AB53" s="34"/>
      <c r="AC53" s="40"/>
    </row>
    <row r="54" spans="1:29" s="11" customFormat="1" ht="15" customHeight="1" x14ac:dyDescent="0.25">
      <c r="A54" s="41"/>
      <c r="B54" s="32"/>
      <c r="C54" s="45"/>
      <c r="D54" s="45">
        <v>45</v>
      </c>
      <c r="E54" s="46"/>
      <c r="F54" s="45"/>
      <c r="G54" s="45"/>
      <c r="H54" s="45"/>
      <c r="I54" s="45"/>
      <c r="J54" s="45"/>
      <c r="K54" s="45"/>
      <c r="L54" s="45"/>
      <c r="M54" s="45"/>
      <c r="N54" s="45"/>
      <c r="O54" s="45"/>
      <c r="P54" s="45"/>
      <c r="Q54" s="45"/>
      <c r="R54" s="45"/>
      <c r="S54" s="45"/>
      <c r="T54" s="45"/>
      <c r="U54" s="45"/>
      <c r="V54" s="45"/>
      <c r="W54" s="45"/>
      <c r="X54" s="45"/>
      <c r="Y54" s="45"/>
      <c r="Z54" s="47" t="str">
        <f t="shared" si="0"/>
        <v>Очікую</v>
      </c>
      <c r="AA54" s="47" t="str">
        <f t="shared" si="1"/>
        <v>Очікую</v>
      </c>
      <c r="AB54" s="34"/>
      <c r="AC54" s="40"/>
    </row>
    <row r="55" spans="1:29" s="11" customFormat="1" ht="15" customHeight="1" x14ac:dyDescent="0.25">
      <c r="A55" s="41"/>
      <c r="B55" s="32"/>
      <c r="C55" s="45"/>
      <c r="D55" s="45">
        <v>46</v>
      </c>
      <c r="E55" s="46"/>
      <c r="F55" s="45"/>
      <c r="G55" s="45"/>
      <c r="H55" s="45"/>
      <c r="I55" s="45"/>
      <c r="J55" s="45"/>
      <c r="K55" s="45"/>
      <c r="L55" s="45"/>
      <c r="M55" s="45"/>
      <c r="N55" s="45"/>
      <c r="O55" s="45"/>
      <c r="P55" s="45"/>
      <c r="Q55" s="45"/>
      <c r="R55" s="45"/>
      <c r="S55" s="45"/>
      <c r="T55" s="45"/>
      <c r="U55" s="45"/>
      <c r="V55" s="45"/>
      <c r="W55" s="45"/>
      <c r="X55" s="45"/>
      <c r="Y55" s="45"/>
      <c r="Z55" s="47" t="str">
        <f t="shared" si="0"/>
        <v>Очікую</v>
      </c>
      <c r="AA55" s="47" t="str">
        <f t="shared" si="1"/>
        <v>Очікую</v>
      </c>
      <c r="AB55" s="34"/>
      <c r="AC55" s="40"/>
    </row>
    <row r="56" spans="1:29" s="11" customFormat="1" ht="15" customHeight="1" x14ac:dyDescent="0.25">
      <c r="A56" s="41"/>
      <c r="B56" s="32"/>
      <c r="C56" s="45"/>
      <c r="D56" s="45">
        <v>47</v>
      </c>
      <c r="E56" s="46"/>
      <c r="F56" s="45"/>
      <c r="G56" s="45"/>
      <c r="H56" s="45"/>
      <c r="I56" s="45"/>
      <c r="J56" s="45"/>
      <c r="K56" s="45"/>
      <c r="L56" s="45"/>
      <c r="M56" s="45"/>
      <c r="N56" s="45"/>
      <c r="O56" s="45"/>
      <c r="P56" s="45"/>
      <c r="Q56" s="45"/>
      <c r="R56" s="45"/>
      <c r="S56" s="45"/>
      <c r="T56" s="45"/>
      <c r="U56" s="45"/>
      <c r="V56" s="45"/>
      <c r="W56" s="45"/>
      <c r="X56" s="45"/>
      <c r="Y56" s="45"/>
      <c r="Z56" s="47" t="str">
        <f t="shared" si="0"/>
        <v>Очікую</v>
      </c>
      <c r="AA56" s="47" t="str">
        <f t="shared" si="1"/>
        <v>Очікую</v>
      </c>
      <c r="AB56" s="34"/>
      <c r="AC56" s="40"/>
    </row>
    <row r="57" spans="1:29" s="11" customFormat="1" ht="15" customHeight="1" x14ac:dyDescent="0.25">
      <c r="A57" s="41"/>
      <c r="B57" s="32"/>
      <c r="C57" s="45"/>
      <c r="D57" s="45">
        <v>48</v>
      </c>
      <c r="E57" s="46"/>
      <c r="F57" s="45"/>
      <c r="G57" s="45"/>
      <c r="H57" s="45"/>
      <c r="I57" s="45"/>
      <c r="J57" s="45"/>
      <c r="K57" s="45"/>
      <c r="L57" s="45"/>
      <c r="M57" s="45"/>
      <c r="N57" s="45"/>
      <c r="O57" s="45"/>
      <c r="P57" s="45"/>
      <c r="Q57" s="45"/>
      <c r="R57" s="45"/>
      <c r="S57" s="45"/>
      <c r="T57" s="45"/>
      <c r="U57" s="45"/>
      <c r="V57" s="45"/>
      <c r="W57" s="45"/>
      <c r="X57" s="45"/>
      <c r="Y57" s="45"/>
      <c r="Z57" s="47" t="str">
        <f t="shared" si="0"/>
        <v>Очікую</v>
      </c>
      <c r="AA57" s="47" t="str">
        <f t="shared" si="1"/>
        <v>Очікую</v>
      </c>
      <c r="AB57" s="34"/>
      <c r="AC57" s="40"/>
    </row>
    <row r="58" spans="1:29" s="11" customFormat="1" ht="15" customHeight="1" x14ac:dyDescent="0.25">
      <c r="A58" s="41"/>
      <c r="B58" s="32"/>
      <c r="C58" s="45"/>
      <c r="D58" s="45">
        <v>49</v>
      </c>
      <c r="E58" s="46"/>
      <c r="F58" s="45"/>
      <c r="G58" s="45"/>
      <c r="H58" s="45"/>
      <c r="I58" s="45"/>
      <c r="J58" s="45"/>
      <c r="K58" s="45"/>
      <c r="L58" s="45"/>
      <c r="M58" s="45"/>
      <c r="N58" s="45"/>
      <c r="O58" s="45"/>
      <c r="P58" s="45"/>
      <c r="Q58" s="45"/>
      <c r="R58" s="45"/>
      <c r="S58" s="45"/>
      <c r="T58" s="45"/>
      <c r="U58" s="45"/>
      <c r="V58" s="45"/>
      <c r="W58" s="45"/>
      <c r="X58" s="45"/>
      <c r="Y58" s="45"/>
      <c r="Z58" s="47" t="str">
        <f t="shared" si="0"/>
        <v>Очікую</v>
      </c>
      <c r="AA58" s="47" t="str">
        <f t="shared" si="1"/>
        <v>Очікую</v>
      </c>
      <c r="AB58" s="34"/>
      <c r="AC58" s="40"/>
    </row>
    <row r="59" spans="1:29" s="11" customFormat="1" ht="15" customHeight="1" x14ac:dyDescent="0.25">
      <c r="A59" s="41"/>
      <c r="B59" s="32"/>
      <c r="C59" s="45"/>
      <c r="D59" s="45">
        <v>50</v>
      </c>
      <c r="E59" s="46"/>
      <c r="F59" s="45"/>
      <c r="G59" s="45"/>
      <c r="H59" s="45"/>
      <c r="I59" s="45"/>
      <c r="J59" s="45"/>
      <c r="K59" s="45"/>
      <c r="L59" s="45"/>
      <c r="M59" s="45"/>
      <c r="N59" s="45"/>
      <c r="O59" s="45"/>
      <c r="P59" s="45"/>
      <c r="Q59" s="45"/>
      <c r="R59" s="45"/>
      <c r="S59" s="45"/>
      <c r="T59" s="45"/>
      <c r="U59" s="45"/>
      <c r="V59" s="45"/>
      <c r="W59" s="45"/>
      <c r="X59" s="45"/>
      <c r="Y59" s="45"/>
      <c r="Z59" s="47" t="str">
        <f t="shared" si="0"/>
        <v>Очікую</v>
      </c>
      <c r="AA59" s="47" t="str">
        <f t="shared" si="1"/>
        <v>Очікую</v>
      </c>
      <c r="AB59" s="34"/>
      <c r="AC59" s="40"/>
    </row>
    <row r="60" spans="1:29" s="11" customFormat="1" ht="15" customHeight="1" x14ac:dyDescent="0.25">
      <c r="A60" s="41"/>
      <c r="B60" s="32"/>
      <c r="C60" s="45"/>
      <c r="D60" s="45">
        <v>51</v>
      </c>
      <c r="E60" s="46"/>
      <c r="F60" s="45"/>
      <c r="G60" s="45"/>
      <c r="H60" s="45"/>
      <c r="I60" s="45"/>
      <c r="J60" s="45"/>
      <c r="K60" s="45"/>
      <c r="L60" s="45"/>
      <c r="M60" s="45"/>
      <c r="N60" s="45"/>
      <c r="O60" s="45"/>
      <c r="P60" s="45"/>
      <c r="Q60" s="45"/>
      <c r="R60" s="45"/>
      <c r="S60" s="45"/>
      <c r="T60" s="45"/>
      <c r="U60" s="45"/>
      <c r="V60" s="45"/>
      <c r="W60" s="45"/>
      <c r="X60" s="45"/>
      <c r="Y60" s="45"/>
      <c r="Z60" s="47" t="str">
        <f t="shared" si="0"/>
        <v>Очікую</v>
      </c>
      <c r="AA60" s="47" t="str">
        <f t="shared" si="1"/>
        <v>Очікую</v>
      </c>
      <c r="AB60" s="34"/>
      <c r="AC60" s="40"/>
    </row>
    <row r="61" spans="1:29" s="11" customFormat="1" ht="15" customHeight="1" x14ac:dyDescent="0.25">
      <c r="A61" s="41"/>
      <c r="B61" s="32"/>
      <c r="C61" s="45"/>
      <c r="D61" s="45">
        <v>52</v>
      </c>
      <c r="E61" s="46"/>
      <c r="F61" s="45"/>
      <c r="G61" s="45"/>
      <c r="H61" s="45"/>
      <c r="I61" s="45"/>
      <c r="J61" s="45"/>
      <c r="K61" s="45"/>
      <c r="L61" s="45"/>
      <c r="M61" s="45"/>
      <c r="N61" s="45"/>
      <c r="O61" s="45"/>
      <c r="P61" s="45"/>
      <c r="Q61" s="45"/>
      <c r="R61" s="45"/>
      <c r="S61" s="45"/>
      <c r="T61" s="45"/>
      <c r="U61" s="45"/>
      <c r="V61" s="45"/>
      <c r="W61" s="45"/>
      <c r="X61" s="45"/>
      <c r="Y61" s="45"/>
      <c r="Z61" s="47" t="str">
        <f t="shared" si="0"/>
        <v>Очікую</v>
      </c>
      <c r="AA61" s="47" t="str">
        <f t="shared" si="1"/>
        <v>Очікую</v>
      </c>
      <c r="AB61" s="34"/>
      <c r="AC61" s="40"/>
    </row>
    <row r="62" spans="1:29" s="11" customFormat="1" ht="15" customHeight="1" x14ac:dyDescent="0.25">
      <c r="A62" s="41"/>
      <c r="B62" s="32"/>
      <c r="C62" s="45"/>
      <c r="D62" s="45">
        <v>53</v>
      </c>
      <c r="E62" s="46"/>
      <c r="F62" s="45"/>
      <c r="G62" s="45"/>
      <c r="H62" s="45"/>
      <c r="I62" s="45"/>
      <c r="J62" s="45"/>
      <c r="K62" s="45"/>
      <c r="L62" s="45"/>
      <c r="M62" s="45"/>
      <c r="N62" s="45"/>
      <c r="O62" s="45"/>
      <c r="P62" s="45"/>
      <c r="Q62" s="45"/>
      <c r="R62" s="45"/>
      <c r="S62" s="45"/>
      <c r="T62" s="45"/>
      <c r="U62" s="45"/>
      <c r="V62" s="45"/>
      <c r="W62" s="45"/>
      <c r="X62" s="45"/>
      <c r="Y62" s="45"/>
      <c r="Z62" s="47" t="str">
        <f t="shared" si="0"/>
        <v>Очікую</v>
      </c>
      <c r="AA62" s="47" t="str">
        <f t="shared" si="1"/>
        <v>Очікую</v>
      </c>
      <c r="AB62" s="34"/>
      <c r="AC62" s="40"/>
    </row>
    <row r="63" spans="1:29" s="11" customFormat="1" ht="15" customHeight="1" x14ac:dyDescent="0.25">
      <c r="A63" s="41"/>
      <c r="B63" s="32"/>
      <c r="C63" s="45"/>
      <c r="D63" s="45">
        <v>54</v>
      </c>
      <c r="E63" s="46"/>
      <c r="F63" s="45"/>
      <c r="G63" s="45"/>
      <c r="H63" s="45"/>
      <c r="I63" s="45"/>
      <c r="J63" s="45"/>
      <c r="K63" s="45"/>
      <c r="L63" s="45"/>
      <c r="M63" s="45"/>
      <c r="N63" s="45"/>
      <c r="O63" s="45"/>
      <c r="P63" s="45"/>
      <c r="Q63" s="45"/>
      <c r="R63" s="45"/>
      <c r="S63" s="45"/>
      <c r="T63" s="45"/>
      <c r="U63" s="45"/>
      <c r="V63" s="45"/>
      <c r="W63" s="45"/>
      <c r="X63" s="45"/>
      <c r="Y63" s="45"/>
      <c r="Z63" s="47" t="str">
        <f t="shared" si="0"/>
        <v>Очікую</v>
      </c>
      <c r="AA63" s="47" t="str">
        <f t="shared" si="1"/>
        <v>Очікую</v>
      </c>
      <c r="AB63" s="34"/>
      <c r="AC63" s="40"/>
    </row>
    <row r="64" spans="1:29" s="11" customFormat="1" ht="15" customHeight="1" x14ac:dyDescent="0.25">
      <c r="A64" s="41"/>
      <c r="B64" s="32"/>
      <c r="C64" s="45"/>
      <c r="D64" s="45">
        <v>55</v>
      </c>
      <c r="E64" s="46"/>
      <c r="F64" s="45"/>
      <c r="G64" s="45"/>
      <c r="H64" s="45"/>
      <c r="I64" s="45"/>
      <c r="J64" s="45"/>
      <c r="K64" s="45"/>
      <c r="L64" s="45"/>
      <c r="M64" s="45"/>
      <c r="N64" s="45"/>
      <c r="O64" s="45"/>
      <c r="P64" s="45"/>
      <c r="Q64" s="45"/>
      <c r="R64" s="45"/>
      <c r="S64" s="45"/>
      <c r="T64" s="45"/>
      <c r="U64" s="45"/>
      <c r="V64" s="45"/>
      <c r="W64" s="45"/>
      <c r="X64" s="45"/>
      <c r="Y64" s="45"/>
      <c r="Z64" s="47" t="str">
        <f t="shared" si="0"/>
        <v>Очікую</v>
      </c>
      <c r="AA64" s="47" t="str">
        <f t="shared" si="1"/>
        <v>Очікую</v>
      </c>
      <c r="AB64" s="34"/>
      <c r="AC64" s="40"/>
    </row>
    <row r="65" spans="1:29" s="11" customFormat="1" ht="15" customHeight="1" x14ac:dyDescent="0.25">
      <c r="A65" s="41"/>
      <c r="B65" s="32"/>
      <c r="C65" s="45"/>
      <c r="D65" s="45">
        <v>56</v>
      </c>
      <c r="E65" s="46"/>
      <c r="F65" s="45"/>
      <c r="G65" s="45"/>
      <c r="H65" s="45"/>
      <c r="I65" s="45"/>
      <c r="J65" s="45"/>
      <c r="K65" s="45"/>
      <c r="L65" s="45"/>
      <c r="M65" s="45"/>
      <c r="N65" s="45"/>
      <c r="O65" s="45"/>
      <c r="P65" s="45"/>
      <c r="Q65" s="45"/>
      <c r="R65" s="45"/>
      <c r="S65" s="45"/>
      <c r="T65" s="45"/>
      <c r="U65" s="45"/>
      <c r="V65" s="45"/>
      <c r="W65" s="45"/>
      <c r="X65" s="45"/>
      <c r="Y65" s="45"/>
      <c r="Z65" s="47" t="str">
        <f t="shared" si="0"/>
        <v>Очікую</v>
      </c>
      <c r="AA65" s="47" t="str">
        <f t="shared" si="1"/>
        <v>Очікую</v>
      </c>
      <c r="AB65" s="34"/>
      <c r="AC65" s="40"/>
    </row>
    <row r="66" spans="1:29" s="11" customFormat="1" ht="15" customHeight="1" x14ac:dyDescent="0.25">
      <c r="A66" s="41"/>
      <c r="B66" s="32"/>
      <c r="C66" s="45"/>
      <c r="D66" s="45">
        <v>57</v>
      </c>
      <c r="E66" s="46"/>
      <c r="F66" s="45"/>
      <c r="G66" s="45"/>
      <c r="H66" s="45"/>
      <c r="I66" s="45"/>
      <c r="J66" s="45"/>
      <c r="K66" s="45"/>
      <c r="L66" s="45"/>
      <c r="M66" s="45"/>
      <c r="N66" s="45"/>
      <c r="O66" s="45"/>
      <c r="P66" s="45"/>
      <c r="Q66" s="45"/>
      <c r="R66" s="45"/>
      <c r="S66" s="45"/>
      <c r="T66" s="45"/>
      <c r="U66" s="45"/>
      <c r="V66" s="45"/>
      <c r="W66" s="45"/>
      <c r="X66" s="45"/>
      <c r="Y66" s="45"/>
      <c r="Z66" s="47" t="str">
        <f t="shared" si="0"/>
        <v>Очікую</v>
      </c>
      <c r="AA66" s="47" t="str">
        <f t="shared" si="1"/>
        <v>Очікую</v>
      </c>
      <c r="AB66" s="34"/>
      <c r="AC66" s="40"/>
    </row>
    <row r="67" spans="1:29" s="11" customFormat="1" ht="15" customHeight="1" x14ac:dyDescent="0.25">
      <c r="A67" s="41"/>
      <c r="B67" s="32"/>
      <c r="C67" s="45"/>
      <c r="D67" s="45">
        <v>58</v>
      </c>
      <c r="E67" s="46"/>
      <c r="F67" s="45"/>
      <c r="G67" s="45"/>
      <c r="H67" s="45"/>
      <c r="I67" s="45"/>
      <c r="J67" s="45"/>
      <c r="K67" s="45"/>
      <c r="L67" s="45"/>
      <c r="M67" s="45"/>
      <c r="N67" s="45"/>
      <c r="O67" s="45"/>
      <c r="P67" s="45"/>
      <c r="Q67" s="45"/>
      <c r="R67" s="45"/>
      <c r="S67" s="45"/>
      <c r="T67" s="45"/>
      <c r="U67" s="45"/>
      <c r="V67" s="45"/>
      <c r="W67" s="45"/>
      <c r="X67" s="45"/>
      <c r="Y67" s="45"/>
      <c r="Z67" s="47" t="str">
        <f t="shared" si="0"/>
        <v>Очікую</v>
      </c>
      <c r="AA67" s="47" t="str">
        <f t="shared" si="1"/>
        <v>Очікую</v>
      </c>
      <c r="AB67" s="34"/>
      <c r="AC67" s="40"/>
    </row>
    <row r="68" spans="1:29" s="11" customFormat="1" ht="15" customHeight="1" x14ac:dyDescent="0.25">
      <c r="A68" s="41"/>
      <c r="B68" s="32"/>
      <c r="C68" s="45"/>
      <c r="D68" s="45">
        <v>59</v>
      </c>
      <c r="E68" s="46"/>
      <c r="F68" s="45"/>
      <c r="G68" s="45"/>
      <c r="H68" s="45"/>
      <c r="I68" s="45"/>
      <c r="J68" s="45"/>
      <c r="K68" s="45"/>
      <c r="L68" s="45"/>
      <c r="M68" s="45"/>
      <c r="N68" s="45"/>
      <c r="O68" s="45"/>
      <c r="P68" s="45"/>
      <c r="Q68" s="45"/>
      <c r="R68" s="45"/>
      <c r="S68" s="45"/>
      <c r="T68" s="45"/>
      <c r="U68" s="45"/>
      <c r="V68" s="45"/>
      <c r="W68" s="45"/>
      <c r="X68" s="45"/>
      <c r="Y68" s="45"/>
      <c r="Z68" s="47" t="str">
        <f t="shared" si="0"/>
        <v>Очікую</v>
      </c>
      <c r="AA68" s="47" t="str">
        <f t="shared" si="1"/>
        <v>Очікую</v>
      </c>
      <c r="AB68" s="34"/>
      <c r="AC68" s="40"/>
    </row>
    <row r="69" spans="1:29" s="11" customFormat="1" ht="15" customHeight="1" x14ac:dyDescent="0.25">
      <c r="A69" s="41"/>
      <c r="B69" s="32"/>
      <c r="C69" s="45"/>
      <c r="D69" s="45">
        <v>60</v>
      </c>
      <c r="E69" s="46"/>
      <c r="F69" s="45"/>
      <c r="G69" s="45"/>
      <c r="H69" s="45"/>
      <c r="I69" s="45"/>
      <c r="J69" s="45"/>
      <c r="K69" s="45"/>
      <c r="L69" s="45"/>
      <c r="M69" s="45"/>
      <c r="N69" s="45"/>
      <c r="O69" s="45"/>
      <c r="P69" s="45"/>
      <c r="Q69" s="45"/>
      <c r="R69" s="45"/>
      <c r="S69" s="45"/>
      <c r="T69" s="45"/>
      <c r="U69" s="45"/>
      <c r="V69" s="45"/>
      <c r="W69" s="45"/>
      <c r="X69" s="45"/>
      <c r="Y69" s="45"/>
      <c r="Z69" s="47" t="str">
        <f t="shared" si="0"/>
        <v>Очікую</v>
      </c>
      <c r="AA69" s="47" t="str">
        <f t="shared" si="1"/>
        <v>Очікую</v>
      </c>
      <c r="AB69" s="34"/>
      <c r="AC69" s="40"/>
    </row>
    <row r="70" spans="1:29" s="11" customFormat="1" ht="15" customHeight="1" x14ac:dyDescent="0.25">
      <c r="A70" s="41"/>
      <c r="B70" s="32"/>
      <c r="C70" s="45"/>
      <c r="D70" s="45">
        <v>61</v>
      </c>
      <c r="E70" s="46"/>
      <c r="F70" s="45"/>
      <c r="G70" s="45"/>
      <c r="H70" s="45"/>
      <c r="I70" s="45"/>
      <c r="J70" s="45"/>
      <c r="K70" s="45"/>
      <c r="L70" s="45"/>
      <c r="M70" s="45"/>
      <c r="N70" s="45"/>
      <c r="O70" s="45"/>
      <c r="P70" s="45"/>
      <c r="Q70" s="45"/>
      <c r="R70" s="45"/>
      <c r="S70" s="45"/>
      <c r="T70" s="45"/>
      <c r="U70" s="45"/>
      <c r="V70" s="45"/>
      <c r="W70" s="45"/>
      <c r="X70" s="45"/>
      <c r="Y70" s="45"/>
      <c r="Z70" s="47" t="str">
        <f t="shared" si="0"/>
        <v>Очікую</v>
      </c>
      <c r="AA70" s="47" t="str">
        <f t="shared" si="1"/>
        <v>Очікую</v>
      </c>
      <c r="AB70" s="34"/>
      <c r="AC70" s="40"/>
    </row>
    <row r="71" spans="1:29" s="11" customFormat="1" ht="15" customHeight="1" x14ac:dyDescent="0.25">
      <c r="A71" s="41"/>
      <c r="B71" s="32"/>
      <c r="C71" s="45"/>
      <c r="D71" s="45">
        <v>62</v>
      </c>
      <c r="E71" s="46"/>
      <c r="F71" s="45"/>
      <c r="G71" s="45"/>
      <c r="H71" s="45"/>
      <c r="I71" s="45"/>
      <c r="J71" s="45"/>
      <c r="K71" s="45"/>
      <c r="L71" s="45"/>
      <c r="M71" s="45"/>
      <c r="N71" s="45"/>
      <c r="O71" s="45"/>
      <c r="P71" s="45"/>
      <c r="Q71" s="45"/>
      <c r="R71" s="45"/>
      <c r="S71" s="45"/>
      <c r="T71" s="45"/>
      <c r="U71" s="45"/>
      <c r="V71" s="45"/>
      <c r="W71" s="45"/>
      <c r="X71" s="45"/>
      <c r="Y71" s="45"/>
      <c r="Z71" s="47" t="str">
        <f t="shared" si="0"/>
        <v>Очікую</v>
      </c>
      <c r="AA71" s="47" t="str">
        <f t="shared" si="1"/>
        <v>Очікую</v>
      </c>
      <c r="AB71" s="34"/>
      <c r="AC71" s="40"/>
    </row>
    <row r="72" spans="1:29" s="11" customFormat="1" ht="15" customHeight="1" x14ac:dyDescent="0.25">
      <c r="A72" s="41"/>
      <c r="B72" s="32"/>
      <c r="C72" s="45"/>
      <c r="D72" s="45">
        <v>63</v>
      </c>
      <c r="E72" s="46"/>
      <c r="F72" s="45"/>
      <c r="G72" s="45"/>
      <c r="H72" s="45"/>
      <c r="I72" s="45"/>
      <c r="J72" s="45"/>
      <c r="K72" s="45"/>
      <c r="L72" s="45"/>
      <c r="M72" s="45"/>
      <c r="N72" s="45"/>
      <c r="O72" s="45"/>
      <c r="P72" s="45"/>
      <c r="Q72" s="45"/>
      <c r="R72" s="45"/>
      <c r="S72" s="45"/>
      <c r="T72" s="45"/>
      <c r="U72" s="45"/>
      <c r="V72" s="45"/>
      <c r="W72" s="45"/>
      <c r="X72" s="45"/>
      <c r="Y72" s="45"/>
      <c r="Z72" s="47" t="str">
        <f t="shared" si="0"/>
        <v>Очікую</v>
      </c>
      <c r="AA72" s="47" t="str">
        <f t="shared" si="1"/>
        <v>Очікую</v>
      </c>
      <c r="AB72" s="34"/>
      <c r="AC72" s="40"/>
    </row>
    <row r="73" spans="1:29" s="11" customFormat="1" ht="15" customHeight="1" x14ac:dyDescent="0.25">
      <c r="A73" s="41"/>
      <c r="B73" s="32"/>
      <c r="C73" s="45"/>
      <c r="D73" s="45">
        <v>64</v>
      </c>
      <c r="E73" s="46"/>
      <c r="F73" s="45"/>
      <c r="G73" s="45"/>
      <c r="H73" s="45"/>
      <c r="I73" s="45"/>
      <c r="J73" s="45"/>
      <c r="K73" s="45"/>
      <c r="L73" s="45"/>
      <c r="M73" s="45"/>
      <c r="N73" s="45"/>
      <c r="O73" s="45"/>
      <c r="P73" s="45"/>
      <c r="Q73" s="45"/>
      <c r="R73" s="45"/>
      <c r="S73" s="45"/>
      <c r="T73" s="45"/>
      <c r="U73" s="45"/>
      <c r="V73" s="45"/>
      <c r="W73" s="45"/>
      <c r="X73" s="45"/>
      <c r="Y73" s="45"/>
      <c r="Z73" s="47" t="str">
        <f t="shared" si="0"/>
        <v>Очікую</v>
      </c>
      <c r="AA73" s="47" t="str">
        <f t="shared" si="1"/>
        <v>Очікую</v>
      </c>
      <c r="AB73" s="34"/>
      <c r="AC73" s="40"/>
    </row>
    <row r="74" spans="1:29" s="11" customFormat="1" ht="15" customHeight="1" x14ac:dyDescent="0.25">
      <c r="A74" s="41"/>
      <c r="B74" s="32"/>
      <c r="C74" s="45"/>
      <c r="D74" s="45">
        <v>65</v>
      </c>
      <c r="E74" s="46"/>
      <c r="F74" s="45"/>
      <c r="G74" s="45"/>
      <c r="H74" s="45"/>
      <c r="I74" s="45"/>
      <c r="J74" s="45"/>
      <c r="K74" s="45"/>
      <c r="L74" s="45"/>
      <c r="M74" s="45"/>
      <c r="N74" s="45"/>
      <c r="O74" s="45"/>
      <c r="P74" s="45"/>
      <c r="Q74" s="45"/>
      <c r="R74" s="45"/>
      <c r="S74" s="45"/>
      <c r="T74" s="45"/>
      <c r="U74" s="45"/>
      <c r="V74" s="45"/>
      <c r="W74" s="45"/>
      <c r="X74" s="45"/>
      <c r="Y74" s="45"/>
      <c r="Z74" s="47" t="str">
        <f t="shared" si="0"/>
        <v>Очікую</v>
      </c>
      <c r="AA74" s="47" t="str">
        <f t="shared" si="1"/>
        <v>Очікую</v>
      </c>
      <c r="AB74" s="34"/>
      <c r="AC74" s="40"/>
    </row>
    <row r="75" spans="1:29" s="11" customFormat="1" ht="15" customHeight="1" x14ac:dyDescent="0.25">
      <c r="A75" s="41"/>
      <c r="B75" s="32"/>
      <c r="C75" s="45"/>
      <c r="D75" s="45">
        <v>66</v>
      </c>
      <c r="E75" s="46"/>
      <c r="F75" s="45"/>
      <c r="G75" s="45"/>
      <c r="H75" s="45"/>
      <c r="I75" s="45"/>
      <c r="J75" s="45"/>
      <c r="K75" s="45"/>
      <c r="L75" s="45"/>
      <c r="M75" s="45"/>
      <c r="N75" s="45"/>
      <c r="O75" s="45"/>
      <c r="P75" s="45"/>
      <c r="Q75" s="45"/>
      <c r="R75" s="45"/>
      <c r="S75" s="45"/>
      <c r="T75" s="45"/>
      <c r="U75" s="45"/>
      <c r="V75" s="45"/>
      <c r="W75" s="45"/>
      <c r="X75" s="45"/>
      <c r="Y75" s="45"/>
      <c r="Z75" s="47" t="str">
        <f t="shared" ref="Z75:Z109" si="2">IF(COUNTIF(F75:Y75,"=*")&gt;0,IF($C75="К","-"," - "),IF(COUNTIF(F75:Y75,"&lt;4")&gt;0,IF(C75="К","-"," - "),(IFERROR(AVERAGE(F75:Y75),"Очікую"))))</f>
        <v>Очікую</v>
      </c>
      <c r="AA75" s="47" t="str">
        <f t="shared" ref="AA75:AA109" si="3">IFERROR(Z75/12*90,"Очікую")</f>
        <v>Очікую</v>
      </c>
      <c r="AB75" s="34"/>
      <c r="AC75" s="40"/>
    </row>
    <row r="76" spans="1:29" s="11" customFormat="1" ht="15" customHeight="1" x14ac:dyDescent="0.25">
      <c r="A76" s="41"/>
      <c r="B76" s="32"/>
      <c r="C76" s="45"/>
      <c r="D76" s="45">
        <v>67</v>
      </c>
      <c r="E76" s="46"/>
      <c r="F76" s="45"/>
      <c r="G76" s="45"/>
      <c r="H76" s="45"/>
      <c r="I76" s="45"/>
      <c r="J76" s="45"/>
      <c r="K76" s="45"/>
      <c r="L76" s="45"/>
      <c r="M76" s="45"/>
      <c r="N76" s="45"/>
      <c r="O76" s="45"/>
      <c r="P76" s="45"/>
      <c r="Q76" s="45"/>
      <c r="R76" s="45"/>
      <c r="S76" s="45"/>
      <c r="T76" s="45"/>
      <c r="U76" s="45"/>
      <c r="V76" s="45"/>
      <c r="W76" s="45"/>
      <c r="X76" s="45"/>
      <c r="Y76" s="45"/>
      <c r="Z76" s="47" t="str">
        <f t="shared" si="2"/>
        <v>Очікую</v>
      </c>
      <c r="AA76" s="47" t="str">
        <f t="shared" si="3"/>
        <v>Очікую</v>
      </c>
      <c r="AB76" s="34"/>
      <c r="AC76" s="40"/>
    </row>
    <row r="77" spans="1:29" s="11" customFormat="1" ht="15" customHeight="1" x14ac:dyDescent="0.25">
      <c r="A77" s="41"/>
      <c r="B77" s="32"/>
      <c r="C77" s="45"/>
      <c r="D77" s="45">
        <v>68</v>
      </c>
      <c r="E77" s="46"/>
      <c r="F77" s="45"/>
      <c r="G77" s="45"/>
      <c r="H77" s="45"/>
      <c r="I77" s="45"/>
      <c r="J77" s="45"/>
      <c r="K77" s="45"/>
      <c r="L77" s="45"/>
      <c r="M77" s="45"/>
      <c r="N77" s="45"/>
      <c r="O77" s="45"/>
      <c r="P77" s="45"/>
      <c r="Q77" s="45"/>
      <c r="R77" s="45"/>
      <c r="S77" s="45"/>
      <c r="T77" s="45"/>
      <c r="U77" s="45"/>
      <c r="V77" s="45"/>
      <c r="W77" s="45"/>
      <c r="X77" s="45"/>
      <c r="Y77" s="45"/>
      <c r="Z77" s="47" t="str">
        <f t="shared" si="2"/>
        <v>Очікую</v>
      </c>
      <c r="AA77" s="47" t="str">
        <f t="shared" si="3"/>
        <v>Очікую</v>
      </c>
      <c r="AB77" s="34"/>
      <c r="AC77" s="40"/>
    </row>
    <row r="78" spans="1:29" s="11" customFormat="1" ht="15" customHeight="1" x14ac:dyDescent="0.25">
      <c r="A78" s="41"/>
      <c r="B78" s="32"/>
      <c r="C78" s="45"/>
      <c r="D78" s="45">
        <v>69</v>
      </c>
      <c r="E78" s="46"/>
      <c r="F78" s="45"/>
      <c r="G78" s="45"/>
      <c r="H78" s="45"/>
      <c r="I78" s="45"/>
      <c r="J78" s="45"/>
      <c r="K78" s="45"/>
      <c r="L78" s="45"/>
      <c r="M78" s="45"/>
      <c r="N78" s="45"/>
      <c r="O78" s="45"/>
      <c r="P78" s="45"/>
      <c r="Q78" s="45"/>
      <c r="R78" s="45"/>
      <c r="S78" s="45"/>
      <c r="T78" s="45"/>
      <c r="U78" s="45"/>
      <c r="V78" s="45"/>
      <c r="W78" s="45"/>
      <c r="X78" s="45"/>
      <c r="Y78" s="45"/>
      <c r="Z78" s="47" t="str">
        <f t="shared" si="2"/>
        <v>Очікую</v>
      </c>
      <c r="AA78" s="47" t="str">
        <f t="shared" si="3"/>
        <v>Очікую</v>
      </c>
      <c r="AB78" s="34"/>
      <c r="AC78" s="40"/>
    </row>
    <row r="79" spans="1:29" s="11" customFormat="1" ht="15" customHeight="1" x14ac:dyDescent="0.25">
      <c r="A79" s="41"/>
      <c r="B79" s="32"/>
      <c r="C79" s="45"/>
      <c r="D79" s="45">
        <v>70</v>
      </c>
      <c r="E79" s="46"/>
      <c r="F79" s="45"/>
      <c r="G79" s="45"/>
      <c r="H79" s="45"/>
      <c r="I79" s="45"/>
      <c r="J79" s="45"/>
      <c r="K79" s="45"/>
      <c r="L79" s="45"/>
      <c r="M79" s="45"/>
      <c r="N79" s="45"/>
      <c r="O79" s="45"/>
      <c r="P79" s="45"/>
      <c r="Q79" s="45"/>
      <c r="R79" s="45"/>
      <c r="S79" s="45"/>
      <c r="T79" s="45"/>
      <c r="U79" s="45"/>
      <c r="V79" s="45"/>
      <c r="W79" s="45"/>
      <c r="X79" s="45"/>
      <c r="Y79" s="45"/>
      <c r="Z79" s="47" t="str">
        <f t="shared" si="2"/>
        <v>Очікую</v>
      </c>
      <c r="AA79" s="47" t="str">
        <f t="shared" si="3"/>
        <v>Очікую</v>
      </c>
      <c r="AB79" s="34"/>
      <c r="AC79" s="40"/>
    </row>
    <row r="80" spans="1:29" s="11" customFormat="1" ht="15" customHeight="1" x14ac:dyDescent="0.25">
      <c r="A80" s="41"/>
      <c r="B80" s="32"/>
      <c r="C80" s="45"/>
      <c r="D80" s="45">
        <v>71</v>
      </c>
      <c r="E80" s="46"/>
      <c r="F80" s="45"/>
      <c r="G80" s="45"/>
      <c r="H80" s="45"/>
      <c r="I80" s="45"/>
      <c r="J80" s="45"/>
      <c r="K80" s="45"/>
      <c r="L80" s="45"/>
      <c r="M80" s="45"/>
      <c r="N80" s="45"/>
      <c r="O80" s="45"/>
      <c r="P80" s="45"/>
      <c r="Q80" s="45"/>
      <c r="R80" s="45"/>
      <c r="S80" s="45"/>
      <c r="T80" s="45"/>
      <c r="U80" s="45"/>
      <c r="V80" s="45"/>
      <c r="W80" s="45"/>
      <c r="X80" s="45"/>
      <c r="Y80" s="45"/>
      <c r="Z80" s="47" t="str">
        <f t="shared" si="2"/>
        <v>Очікую</v>
      </c>
      <c r="AA80" s="47" t="str">
        <f t="shared" si="3"/>
        <v>Очікую</v>
      </c>
      <c r="AB80" s="34"/>
      <c r="AC80" s="40"/>
    </row>
    <row r="81" spans="1:29" s="11" customFormat="1" ht="15" customHeight="1" x14ac:dyDescent="0.25">
      <c r="A81" s="41"/>
      <c r="B81" s="32"/>
      <c r="C81" s="45"/>
      <c r="D81" s="45">
        <v>72</v>
      </c>
      <c r="E81" s="46"/>
      <c r="F81" s="45"/>
      <c r="G81" s="45"/>
      <c r="H81" s="45"/>
      <c r="I81" s="45"/>
      <c r="J81" s="45"/>
      <c r="K81" s="45"/>
      <c r="L81" s="45"/>
      <c r="M81" s="45"/>
      <c r="N81" s="45"/>
      <c r="O81" s="45"/>
      <c r="P81" s="45"/>
      <c r="Q81" s="45"/>
      <c r="R81" s="45"/>
      <c r="S81" s="45"/>
      <c r="T81" s="45"/>
      <c r="U81" s="45"/>
      <c r="V81" s="45"/>
      <c r="W81" s="45"/>
      <c r="X81" s="45"/>
      <c r="Y81" s="45"/>
      <c r="Z81" s="47" t="str">
        <f t="shared" si="2"/>
        <v>Очікую</v>
      </c>
      <c r="AA81" s="47" t="str">
        <f t="shared" si="3"/>
        <v>Очікую</v>
      </c>
      <c r="AB81" s="34"/>
      <c r="AC81" s="40"/>
    </row>
    <row r="82" spans="1:29" s="11" customFormat="1" ht="15" customHeight="1" x14ac:dyDescent="0.25">
      <c r="A82" s="41"/>
      <c r="B82" s="32"/>
      <c r="C82" s="45"/>
      <c r="D82" s="45">
        <v>73</v>
      </c>
      <c r="E82" s="46"/>
      <c r="F82" s="45"/>
      <c r="G82" s="45"/>
      <c r="H82" s="45"/>
      <c r="I82" s="45"/>
      <c r="J82" s="45"/>
      <c r="K82" s="45"/>
      <c r="L82" s="45"/>
      <c r="M82" s="45"/>
      <c r="N82" s="45"/>
      <c r="O82" s="45"/>
      <c r="P82" s="45"/>
      <c r="Q82" s="45"/>
      <c r="R82" s="45"/>
      <c r="S82" s="45"/>
      <c r="T82" s="45"/>
      <c r="U82" s="45"/>
      <c r="V82" s="45"/>
      <c r="W82" s="45"/>
      <c r="X82" s="45"/>
      <c r="Y82" s="45"/>
      <c r="Z82" s="47" t="str">
        <f t="shared" si="2"/>
        <v>Очікую</v>
      </c>
      <c r="AA82" s="47" t="str">
        <f t="shared" si="3"/>
        <v>Очікую</v>
      </c>
      <c r="AB82" s="34"/>
      <c r="AC82" s="40"/>
    </row>
    <row r="83" spans="1:29" s="11" customFormat="1" ht="15" customHeight="1" x14ac:dyDescent="0.25">
      <c r="A83" s="41"/>
      <c r="B83" s="32"/>
      <c r="C83" s="45"/>
      <c r="D83" s="45">
        <v>74</v>
      </c>
      <c r="E83" s="46"/>
      <c r="F83" s="45"/>
      <c r="G83" s="45"/>
      <c r="H83" s="45"/>
      <c r="I83" s="45"/>
      <c r="J83" s="45"/>
      <c r="K83" s="45"/>
      <c r="L83" s="45"/>
      <c r="M83" s="45"/>
      <c r="N83" s="45"/>
      <c r="O83" s="45"/>
      <c r="P83" s="45"/>
      <c r="Q83" s="45"/>
      <c r="R83" s="45"/>
      <c r="S83" s="45"/>
      <c r="T83" s="45"/>
      <c r="U83" s="45"/>
      <c r="V83" s="45"/>
      <c r="W83" s="45"/>
      <c r="X83" s="45"/>
      <c r="Y83" s="45"/>
      <c r="Z83" s="47" t="str">
        <f t="shared" si="2"/>
        <v>Очікую</v>
      </c>
      <c r="AA83" s="47" t="str">
        <f t="shared" si="3"/>
        <v>Очікую</v>
      </c>
      <c r="AB83" s="34"/>
      <c r="AC83" s="40"/>
    </row>
    <row r="84" spans="1:29" s="11" customFormat="1" ht="15" customHeight="1" x14ac:dyDescent="0.25">
      <c r="A84" s="41"/>
      <c r="B84" s="32"/>
      <c r="C84" s="45"/>
      <c r="D84" s="45">
        <v>75</v>
      </c>
      <c r="E84" s="46"/>
      <c r="F84" s="45"/>
      <c r="G84" s="45"/>
      <c r="H84" s="45"/>
      <c r="I84" s="45"/>
      <c r="J84" s="45"/>
      <c r="K84" s="45"/>
      <c r="L84" s="45"/>
      <c r="M84" s="45"/>
      <c r="N84" s="45"/>
      <c r="O84" s="45"/>
      <c r="P84" s="45"/>
      <c r="Q84" s="45"/>
      <c r="R84" s="45"/>
      <c r="S84" s="45"/>
      <c r="T84" s="45"/>
      <c r="U84" s="45"/>
      <c r="V84" s="45"/>
      <c r="W84" s="45"/>
      <c r="X84" s="45"/>
      <c r="Y84" s="45"/>
      <c r="Z84" s="47" t="str">
        <f t="shared" si="2"/>
        <v>Очікую</v>
      </c>
      <c r="AA84" s="47" t="str">
        <f t="shared" si="3"/>
        <v>Очікую</v>
      </c>
      <c r="AB84" s="34"/>
      <c r="AC84" s="40"/>
    </row>
    <row r="85" spans="1:29" s="11" customFormat="1" ht="15" customHeight="1" x14ac:dyDescent="0.25">
      <c r="A85" s="41"/>
      <c r="B85" s="32"/>
      <c r="C85" s="45"/>
      <c r="D85" s="45">
        <v>76</v>
      </c>
      <c r="E85" s="46"/>
      <c r="F85" s="45"/>
      <c r="G85" s="45"/>
      <c r="H85" s="45"/>
      <c r="I85" s="45"/>
      <c r="J85" s="45"/>
      <c r="K85" s="45"/>
      <c r="L85" s="45"/>
      <c r="M85" s="45"/>
      <c r="N85" s="45"/>
      <c r="O85" s="45"/>
      <c r="P85" s="45"/>
      <c r="Q85" s="45"/>
      <c r="R85" s="45"/>
      <c r="S85" s="45"/>
      <c r="T85" s="45"/>
      <c r="U85" s="45"/>
      <c r="V85" s="45"/>
      <c r="W85" s="45"/>
      <c r="X85" s="45"/>
      <c r="Y85" s="45"/>
      <c r="Z85" s="47" t="str">
        <f t="shared" si="2"/>
        <v>Очікую</v>
      </c>
      <c r="AA85" s="47" t="str">
        <f t="shared" si="3"/>
        <v>Очікую</v>
      </c>
      <c r="AB85" s="34"/>
      <c r="AC85" s="40"/>
    </row>
    <row r="86" spans="1:29" s="11" customFormat="1" ht="15" customHeight="1" x14ac:dyDescent="0.25">
      <c r="A86" s="41"/>
      <c r="B86" s="32"/>
      <c r="C86" s="45"/>
      <c r="D86" s="45">
        <v>77</v>
      </c>
      <c r="E86" s="46"/>
      <c r="F86" s="45"/>
      <c r="G86" s="45"/>
      <c r="H86" s="45"/>
      <c r="I86" s="45"/>
      <c r="J86" s="45"/>
      <c r="K86" s="45"/>
      <c r="L86" s="45"/>
      <c r="M86" s="45"/>
      <c r="N86" s="45"/>
      <c r="O86" s="45"/>
      <c r="P86" s="45"/>
      <c r="Q86" s="45"/>
      <c r="R86" s="45"/>
      <c r="S86" s="45"/>
      <c r="T86" s="45"/>
      <c r="U86" s="45"/>
      <c r="V86" s="45"/>
      <c r="W86" s="45"/>
      <c r="X86" s="45"/>
      <c r="Y86" s="45"/>
      <c r="Z86" s="47" t="str">
        <f t="shared" si="2"/>
        <v>Очікую</v>
      </c>
      <c r="AA86" s="47" t="str">
        <f t="shared" si="3"/>
        <v>Очікую</v>
      </c>
      <c r="AB86" s="34"/>
      <c r="AC86" s="40"/>
    </row>
    <row r="87" spans="1:29" s="11" customFormat="1" ht="15" customHeight="1" x14ac:dyDescent="0.25">
      <c r="A87" s="41"/>
      <c r="B87" s="32"/>
      <c r="C87" s="45"/>
      <c r="D87" s="45">
        <v>78</v>
      </c>
      <c r="E87" s="46"/>
      <c r="F87" s="45"/>
      <c r="G87" s="45"/>
      <c r="H87" s="45"/>
      <c r="I87" s="45"/>
      <c r="J87" s="45"/>
      <c r="K87" s="45"/>
      <c r="L87" s="45"/>
      <c r="M87" s="45"/>
      <c r="N87" s="45"/>
      <c r="O87" s="45"/>
      <c r="P87" s="45"/>
      <c r="Q87" s="45"/>
      <c r="R87" s="45"/>
      <c r="S87" s="45"/>
      <c r="T87" s="45"/>
      <c r="U87" s="45"/>
      <c r="V87" s="45"/>
      <c r="W87" s="45"/>
      <c r="X87" s="45"/>
      <c r="Y87" s="45"/>
      <c r="Z87" s="47" t="str">
        <f t="shared" si="2"/>
        <v>Очікую</v>
      </c>
      <c r="AA87" s="47" t="str">
        <f t="shared" si="3"/>
        <v>Очікую</v>
      </c>
      <c r="AB87" s="34"/>
      <c r="AC87" s="40"/>
    </row>
    <row r="88" spans="1:29" s="11" customFormat="1" ht="15" customHeight="1" x14ac:dyDescent="0.25">
      <c r="A88" s="41"/>
      <c r="B88" s="32"/>
      <c r="C88" s="45"/>
      <c r="D88" s="45">
        <v>79</v>
      </c>
      <c r="E88" s="46"/>
      <c r="F88" s="45"/>
      <c r="G88" s="45"/>
      <c r="H88" s="45"/>
      <c r="I88" s="45"/>
      <c r="J88" s="45"/>
      <c r="K88" s="45"/>
      <c r="L88" s="45"/>
      <c r="M88" s="45"/>
      <c r="N88" s="45"/>
      <c r="O88" s="45"/>
      <c r="P88" s="45"/>
      <c r="Q88" s="45"/>
      <c r="R88" s="45"/>
      <c r="S88" s="45"/>
      <c r="T88" s="45"/>
      <c r="U88" s="45"/>
      <c r="V88" s="45"/>
      <c r="W88" s="45"/>
      <c r="X88" s="45"/>
      <c r="Y88" s="45"/>
      <c r="Z88" s="47" t="str">
        <f t="shared" si="2"/>
        <v>Очікую</v>
      </c>
      <c r="AA88" s="47" t="str">
        <f t="shared" si="3"/>
        <v>Очікую</v>
      </c>
      <c r="AB88" s="34"/>
      <c r="AC88" s="40"/>
    </row>
    <row r="89" spans="1:29" s="11" customFormat="1" ht="15" customHeight="1" x14ac:dyDescent="0.25">
      <c r="A89" s="41"/>
      <c r="B89" s="32"/>
      <c r="C89" s="45"/>
      <c r="D89" s="45">
        <v>80</v>
      </c>
      <c r="E89" s="46"/>
      <c r="F89" s="45"/>
      <c r="G89" s="45"/>
      <c r="H89" s="45"/>
      <c r="I89" s="45"/>
      <c r="J89" s="45"/>
      <c r="K89" s="45"/>
      <c r="L89" s="45"/>
      <c r="M89" s="45"/>
      <c r="N89" s="45"/>
      <c r="O89" s="45"/>
      <c r="P89" s="45"/>
      <c r="Q89" s="45"/>
      <c r="R89" s="45"/>
      <c r="S89" s="45"/>
      <c r="T89" s="45"/>
      <c r="U89" s="45"/>
      <c r="V89" s="45"/>
      <c r="W89" s="45"/>
      <c r="X89" s="45"/>
      <c r="Y89" s="45"/>
      <c r="Z89" s="47" t="str">
        <f t="shared" si="2"/>
        <v>Очікую</v>
      </c>
      <c r="AA89" s="47" t="str">
        <f t="shared" si="3"/>
        <v>Очікую</v>
      </c>
      <c r="AB89" s="34"/>
      <c r="AC89" s="40"/>
    </row>
    <row r="90" spans="1:29" s="11" customFormat="1" ht="15" customHeight="1" x14ac:dyDescent="0.25">
      <c r="A90" s="41"/>
      <c r="B90" s="32"/>
      <c r="C90" s="45"/>
      <c r="D90" s="45">
        <v>81</v>
      </c>
      <c r="E90" s="46"/>
      <c r="F90" s="45"/>
      <c r="G90" s="45"/>
      <c r="H90" s="45"/>
      <c r="I90" s="45"/>
      <c r="J90" s="45"/>
      <c r="K90" s="45"/>
      <c r="L90" s="45"/>
      <c r="M90" s="45"/>
      <c r="N90" s="45"/>
      <c r="O90" s="45"/>
      <c r="P90" s="45"/>
      <c r="Q90" s="45"/>
      <c r="R90" s="45"/>
      <c r="S90" s="45"/>
      <c r="T90" s="45"/>
      <c r="U90" s="45"/>
      <c r="V90" s="45"/>
      <c r="W90" s="45"/>
      <c r="X90" s="45"/>
      <c r="Y90" s="45"/>
      <c r="Z90" s="47" t="str">
        <f t="shared" si="2"/>
        <v>Очікую</v>
      </c>
      <c r="AA90" s="47" t="str">
        <f t="shared" si="3"/>
        <v>Очікую</v>
      </c>
      <c r="AB90" s="34"/>
      <c r="AC90" s="40"/>
    </row>
    <row r="91" spans="1:29" s="11" customFormat="1" ht="15" customHeight="1" x14ac:dyDescent="0.25">
      <c r="A91" s="41"/>
      <c r="B91" s="32"/>
      <c r="C91" s="45"/>
      <c r="D91" s="45">
        <v>82</v>
      </c>
      <c r="E91" s="46"/>
      <c r="F91" s="45"/>
      <c r="G91" s="45"/>
      <c r="H91" s="45"/>
      <c r="I91" s="45"/>
      <c r="J91" s="45"/>
      <c r="K91" s="45"/>
      <c r="L91" s="45"/>
      <c r="M91" s="45"/>
      <c r="N91" s="45"/>
      <c r="O91" s="45"/>
      <c r="P91" s="45"/>
      <c r="Q91" s="45"/>
      <c r="R91" s="45"/>
      <c r="S91" s="45"/>
      <c r="T91" s="45"/>
      <c r="U91" s="45"/>
      <c r="V91" s="45"/>
      <c r="W91" s="45"/>
      <c r="X91" s="45"/>
      <c r="Y91" s="45"/>
      <c r="Z91" s="47" t="str">
        <f t="shared" si="2"/>
        <v>Очікую</v>
      </c>
      <c r="AA91" s="47" t="str">
        <f t="shared" si="3"/>
        <v>Очікую</v>
      </c>
      <c r="AB91" s="34"/>
      <c r="AC91" s="40"/>
    </row>
    <row r="92" spans="1:29" s="11" customFormat="1" ht="15" customHeight="1" x14ac:dyDescent="0.25">
      <c r="A92" s="41"/>
      <c r="B92" s="32"/>
      <c r="C92" s="45"/>
      <c r="D92" s="45">
        <v>83</v>
      </c>
      <c r="E92" s="46"/>
      <c r="F92" s="45"/>
      <c r="G92" s="45"/>
      <c r="H92" s="45"/>
      <c r="I92" s="45"/>
      <c r="J92" s="45"/>
      <c r="K92" s="45"/>
      <c r="L92" s="45"/>
      <c r="M92" s="45"/>
      <c r="N92" s="45"/>
      <c r="O92" s="45"/>
      <c r="P92" s="45"/>
      <c r="Q92" s="45"/>
      <c r="R92" s="45"/>
      <c r="S92" s="45"/>
      <c r="T92" s="45"/>
      <c r="U92" s="45"/>
      <c r="V92" s="45"/>
      <c r="W92" s="45"/>
      <c r="X92" s="45"/>
      <c r="Y92" s="45"/>
      <c r="Z92" s="47" t="str">
        <f t="shared" si="2"/>
        <v>Очікую</v>
      </c>
      <c r="AA92" s="47" t="str">
        <f t="shared" si="3"/>
        <v>Очікую</v>
      </c>
      <c r="AB92" s="34"/>
      <c r="AC92" s="40"/>
    </row>
    <row r="93" spans="1:29" s="11" customFormat="1" ht="15" customHeight="1" x14ac:dyDescent="0.25">
      <c r="A93" s="41"/>
      <c r="B93" s="32"/>
      <c r="C93" s="45"/>
      <c r="D93" s="45">
        <v>84</v>
      </c>
      <c r="E93" s="46"/>
      <c r="F93" s="45"/>
      <c r="G93" s="45"/>
      <c r="H93" s="45"/>
      <c r="I93" s="45"/>
      <c r="J93" s="45"/>
      <c r="K93" s="45"/>
      <c r="L93" s="45"/>
      <c r="M93" s="45"/>
      <c r="N93" s="45"/>
      <c r="O93" s="45"/>
      <c r="P93" s="45"/>
      <c r="Q93" s="45"/>
      <c r="R93" s="45"/>
      <c r="S93" s="45"/>
      <c r="T93" s="45"/>
      <c r="U93" s="45"/>
      <c r="V93" s="45"/>
      <c r="W93" s="45"/>
      <c r="X93" s="45"/>
      <c r="Y93" s="45"/>
      <c r="Z93" s="47" t="str">
        <f t="shared" si="2"/>
        <v>Очікую</v>
      </c>
      <c r="AA93" s="47" t="str">
        <f t="shared" si="3"/>
        <v>Очікую</v>
      </c>
      <c r="AB93" s="34"/>
      <c r="AC93" s="40"/>
    </row>
    <row r="94" spans="1:29" s="11" customFormat="1" ht="15" customHeight="1" x14ac:dyDescent="0.25">
      <c r="A94" s="41"/>
      <c r="B94" s="32"/>
      <c r="C94" s="45"/>
      <c r="D94" s="45">
        <v>85</v>
      </c>
      <c r="E94" s="46"/>
      <c r="F94" s="45"/>
      <c r="G94" s="45"/>
      <c r="H94" s="45"/>
      <c r="I94" s="45"/>
      <c r="J94" s="45"/>
      <c r="K94" s="45"/>
      <c r="L94" s="45"/>
      <c r="M94" s="45"/>
      <c r="N94" s="45"/>
      <c r="O94" s="45"/>
      <c r="P94" s="45"/>
      <c r="Q94" s="45"/>
      <c r="R94" s="45"/>
      <c r="S94" s="45"/>
      <c r="T94" s="45"/>
      <c r="U94" s="45"/>
      <c r="V94" s="45"/>
      <c r="W94" s="45"/>
      <c r="X94" s="45"/>
      <c r="Y94" s="45"/>
      <c r="Z94" s="47" t="str">
        <f t="shared" si="2"/>
        <v>Очікую</v>
      </c>
      <c r="AA94" s="47" t="str">
        <f t="shared" si="3"/>
        <v>Очікую</v>
      </c>
      <c r="AB94" s="34"/>
      <c r="AC94" s="40"/>
    </row>
    <row r="95" spans="1:29" s="11" customFormat="1" ht="15" customHeight="1" x14ac:dyDescent="0.25">
      <c r="A95" s="41"/>
      <c r="B95" s="32"/>
      <c r="C95" s="45"/>
      <c r="D95" s="45">
        <v>86</v>
      </c>
      <c r="E95" s="46"/>
      <c r="F95" s="45"/>
      <c r="G95" s="45"/>
      <c r="H95" s="45"/>
      <c r="I95" s="45"/>
      <c r="J95" s="45"/>
      <c r="K95" s="45"/>
      <c r="L95" s="45"/>
      <c r="M95" s="45"/>
      <c r="N95" s="45"/>
      <c r="O95" s="45"/>
      <c r="P95" s="45"/>
      <c r="Q95" s="45"/>
      <c r="R95" s="45"/>
      <c r="S95" s="45"/>
      <c r="T95" s="45"/>
      <c r="U95" s="45"/>
      <c r="V95" s="45"/>
      <c r="W95" s="45"/>
      <c r="X95" s="45"/>
      <c r="Y95" s="45"/>
      <c r="Z95" s="47" t="str">
        <f t="shared" si="2"/>
        <v>Очікую</v>
      </c>
      <c r="AA95" s="47" t="str">
        <f t="shared" si="3"/>
        <v>Очікую</v>
      </c>
      <c r="AB95" s="34"/>
      <c r="AC95" s="40"/>
    </row>
    <row r="96" spans="1:29" s="11" customFormat="1" ht="15" customHeight="1" x14ac:dyDescent="0.25">
      <c r="A96" s="41"/>
      <c r="B96" s="32"/>
      <c r="C96" s="45"/>
      <c r="D96" s="45">
        <v>87</v>
      </c>
      <c r="E96" s="46"/>
      <c r="F96" s="45"/>
      <c r="G96" s="45"/>
      <c r="H96" s="45"/>
      <c r="I96" s="45"/>
      <c r="J96" s="45"/>
      <c r="K96" s="45"/>
      <c r="L96" s="45"/>
      <c r="M96" s="45"/>
      <c r="N96" s="45"/>
      <c r="O96" s="45"/>
      <c r="P96" s="45"/>
      <c r="Q96" s="45"/>
      <c r="R96" s="45"/>
      <c r="S96" s="45"/>
      <c r="T96" s="45"/>
      <c r="U96" s="45"/>
      <c r="V96" s="45"/>
      <c r="W96" s="45"/>
      <c r="X96" s="45"/>
      <c r="Y96" s="45"/>
      <c r="Z96" s="47" t="str">
        <f t="shared" si="2"/>
        <v>Очікую</v>
      </c>
      <c r="AA96" s="47" t="str">
        <f t="shared" si="3"/>
        <v>Очікую</v>
      </c>
      <c r="AB96" s="34"/>
      <c r="AC96" s="40"/>
    </row>
    <row r="97" spans="1:29" s="11" customFormat="1" ht="15" customHeight="1" x14ac:dyDescent="0.25">
      <c r="A97" s="41"/>
      <c r="B97" s="32"/>
      <c r="C97" s="45"/>
      <c r="D97" s="45">
        <v>88</v>
      </c>
      <c r="E97" s="46"/>
      <c r="F97" s="45"/>
      <c r="G97" s="45"/>
      <c r="H97" s="45"/>
      <c r="I97" s="45"/>
      <c r="J97" s="45"/>
      <c r="K97" s="45"/>
      <c r="L97" s="45"/>
      <c r="M97" s="45"/>
      <c r="N97" s="45"/>
      <c r="O97" s="45"/>
      <c r="P97" s="45"/>
      <c r="Q97" s="45"/>
      <c r="R97" s="45"/>
      <c r="S97" s="45"/>
      <c r="T97" s="45"/>
      <c r="U97" s="45"/>
      <c r="V97" s="45"/>
      <c r="W97" s="45"/>
      <c r="X97" s="45"/>
      <c r="Y97" s="45"/>
      <c r="Z97" s="47" t="str">
        <f t="shared" si="2"/>
        <v>Очікую</v>
      </c>
      <c r="AA97" s="47" t="str">
        <f t="shared" si="3"/>
        <v>Очікую</v>
      </c>
      <c r="AB97" s="34"/>
      <c r="AC97" s="40"/>
    </row>
    <row r="98" spans="1:29" s="11" customFormat="1" ht="15" customHeight="1" x14ac:dyDescent="0.25">
      <c r="A98" s="41"/>
      <c r="B98" s="32"/>
      <c r="C98" s="45"/>
      <c r="D98" s="45">
        <v>89</v>
      </c>
      <c r="E98" s="46"/>
      <c r="F98" s="45"/>
      <c r="G98" s="45"/>
      <c r="H98" s="45"/>
      <c r="I98" s="45"/>
      <c r="J98" s="45"/>
      <c r="K98" s="45"/>
      <c r="L98" s="45"/>
      <c r="M98" s="45"/>
      <c r="N98" s="45"/>
      <c r="O98" s="45"/>
      <c r="P98" s="45"/>
      <c r="Q98" s="45"/>
      <c r="R98" s="45"/>
      <c r="S98" s="45"/>
      <c r="T98" s="45"/>
      <c r="U98" s="45"/>
      <c r="V98" s="45"/>
      <c r="W98" s="45"/>
      <c r="X98" s="45"/>
      <c r="Y98" s="45"/>
      <c r="Z98" s="47" t="str">
        <f t="shared" si="2"/>
        <v>Очікую</v>
      </c>
      <c r="AA98" s="47" t="str">
        <f t="shared" si="3"/>
        <v>Очікую</v>
      </c>
      <c r="AB98" s="34"/>
      <c r="AC98" s="40"/>
    </row>
    <row r="99" spans="1:29" s="11" customFormat="1" ht="15" customHeight="1" x14ac:dyDescent="0.25">
      <c r="A99" s="41"/>
      <c r="B99" s="32"/>
      <c r="C99" s="45"/>
      <c r="D99" s="45">
        <v>90</v>
      </c>
      <c r="E99" s="46"/>
      <c r="F99" s="45"/>
      <c r="G99" s="45"/>
      <c r="H99" s="45"/>
      <c r="I99" s="45"/>
      <c r="J99" s="45"/>
      <c r="K99" s="45"/>
      <c r="L99" s="45"/>
      <c r="M99" s="45"/>
      <c r="N99" s="45"/>
      <c r="O99" s="45"/>
      <c r="P99" s="45"/>
      <c r="Q99" s="45"/>
      <c r="R99" s="45"/>
      <c r="S99" s="45"/>
      <c r="T99" s="45"/>
      <c r="U99" s="45"/>
      <c r="V99" s="45"/>
      <c r="W99" s="45"/>
      <c r="X99" s="45"/>
      <c r="Y99" s="45"/>
      <c r="Z99" s="47" t="str">
        <f t="shared" si="2"/>
        <v>Очікую</v>
      </c>
      <c r="AA99" s="47" t="str">
        <f t="shared" si="3"/>
        <v>Очікую</v>
      </c>
      <c r="AB99" s="34"/>
      <c r="AC99" s="40"/>
    </row>
    <row r="100" spans="1:29" s="11" customFormat="1" ht="15" customHeight="1" x14ac:dyDescent="0.25">
      <c r="A100" s="41"/>
      <c r="B100" s="32"/>
      <c r="C100" s="45"/>
      <c r="D100" s="45">
        <v>91</v>
      </c>
      <c r="E100" s="46"/>
      <c r="F100" s="45"/>
      <c r="G100" s="45"/>
      <c r="H100" s="45"/>
      <c r="I100" s="45"/>
      <c r="J100" s="45"/>
      <c r="K100" s="45"/>
      <c r="L100" s="45"/>
      <c r="M100" s="45"/>
      <c r="N100" s="45"/>
      <c r="O100" s="45"/>
      <c r="P100" s="45"/>
      <c r="Q100" s="45"/>
      <c r="R100" s="45"/>
      <c r="S100" s="45"/>
      <c r="T100" s="45"/>
      <c r="U100" s="45"/>
      <c r="V100" s="45"/>
      <c r="W100" s="45"/>
      <c r="X100" s="45"/>
      <c r="Y100" s="45"/>
      <c r="Z100" s="47" t="str">
        <f t="shared" si="2"/>
        <v>Очікую</v>
      </c>
      <c r="AA100" s="47" t="str">
        <f t="shared" si="3"/>
        <v>Очікую</v>
      </c>
      <c r="AB100" s="34"/>
      <c r="AC100" s="40"/>
    </row>
    <row r="101" spans="1:29" s="11" customFormat="1" ht="15" customHeight="1" x14ac:dyDescent="0.25">
      <c r="A101" s="41"/>
      <c r="B101" s="32"/>
      <c r="C101" s="45"/>
      <c r="D101" s="45">
        <v>92</v>
      </c>
      <c r="E101" s="46"/>
      <c r="F101" s="45"/>
      <c r="G101" s="45"/>
      <c r="H101" s="45"/>
      <c r="I101" s="45"/>
      <c r="J101" s="45"/>
      <c r="K101" s="45"/>
      <c r="L101" s="45"/>
      <c r="M101" s="45"/>
      <c r="N101" s="45"/>
      <c r="O101" s="45"/>
      <c r="P101" s="45"/>
      <c r="Q101" s="45"/>
      <c r="R101" s="45"/>
      <c r="S101" s="45"/>
      <c r="T101" s="45"/>
      <c r="U101" s="45"/>
      <c r="V101" s="45"/>
      <c r="W101" s="45"/>
      <c r="X101" s="45"/>
      <c r="Y101" s="45"/>
      <c r="Z101" s="47" t="str">
        <f t="shared" si="2"/>
        <v>Очікую</v>
      </c>
      <c r="AA101" s="47" t="str">
        <f t="shared" si="3"/>
        <v>Очікую</v>
      </c>
      <c r="AB101" s="34"/>
      <c r="AC101" s="40"/>
    </row>
    <row r="102" spans="1:29" s="11" customFormat="1" ht="15" customHeight="1" x14ac:dyDescent="0.25">
      <c r="A102" s="41"/>
      <c r="B102" s="32"/>
      <c r="C102" s="45"/>
      <c r="D102" s="45">
        <v>93</v>
      </c>
      <c r="E102" s="46"/>
      <c r="F102" s="45"/>
      <c r="G102" s="45"/>
      <c r="H102" s="45"/>
      <c r="I102" s="45"/>
      <c r="J102" s="45"/>
      <c r="K102" s="45"/>
      <c r="L102" s="45"/>
      <c r="M102" s="45"/>
      <c r="N102" s="45"/>
      <c r="O102" s="45"/>
      <c r="P102" s="45"/>
      <c r="Q102" s="45"/>
      <c r="R102" s="45"/>
      <c r="S102" s="45"/>
      <c r="T102" s="45"/>
      <c r="U102" s="45"/>
      <c r="V102" s="45"/>
      <c r="W102" s="45"/>
      <c r="X102" s="45"/>
      <c r="Y102" s="45"/>
      <c r="Z102" s="47" t="str">
        <f t="shared" si="2"/>
        <v>Очікую</v>
      </c>
      <c r="AA102" s="47" t="str">
        <f t="shared" si="3"/>
        <v>Очікую</v>
      </c>
      <c r="AB102" s="34"/>
      <c r="AC102" s="40"/>
    </row>
    <row r="103" spans="1:29" s="11" customFormat="1" ht="15" customHeight="1" x14ac:dyDescent="0.25">
      <c r="A103" s="41"/>
      <c r="B103" s="32"/>
      <c r="C103" s="45"/>
      <c r="D103" s="45">
        <v>94</v>
      </c>
      <c r="E103" s="46"/>
      <c r="F103" s="45"/>
      <c r="G103" s="45"/>
      <c r="H103" s="45"/>
      <c r="I103" s="45"/>
      <c r="J103" s="45"/>
      <c r="K103" s="45"/>
      <c r="L103" s="45"/>
      <c r="M103" s="45"/>
      <c r="N103" s="45"/>
      <c r="O103" s="45"/>
      <c r="P103" s="45"/>
      <c r="Q103" s="45"/>
      <c r="R103" s="45"/>
      <c r="S103" s="45"/>
      <c r="T103" s="45"/>
      <c r="U103" s="45"/>
      <c r="V103" s="45"/>
      <c r="W103" s="45"/>
      <c r="X103" s="45"/>
      <c r="Y103" s="45"/>
      <c r="Z103" s="47" t="str">
        <f t="shared" si="2"/>
        <v>Очікую</v>
      </c>
      <c r="AA103" s="47" t="str">
        <f t="shared" si="3"/>
        <v>Очікую</v>
      </c>
      <c r="AB103" s="34"/>
      <c r="AC103" s="40"/>
    </row>
    <row r="104" spans="1:29" s="11" customFormat="1" ht="15" customHeight="1" x14ac:dyDescent="0.25">
      <c r="A104" s="41"/>
      <c r="B104" s="32"/>
      <c r="C104" s="45"/>
      <c r="D104" s="45">
        <v>95</v>
      </c>
      <c r="E104" s="46"/>
      <c r="F104" s="45"/>
      <c r="G104" s="45"/>
      <c r="H104" s="45"/>
      <c r="I104" s="45"/>
      <c r="J104" s="45"/>
      <c r="K104" s="45"/>
      <c r="L104" s="45"/>
      <c r="M104" s="45"/>
      <c r="N104" s="45"/>
      <c r="O104" s="45"/>
      <c r="P104" s="45"/>
      <c r="Q104" s="45"/>
      <c r="R104" s="45"/>
      <c r="S104" s="45"/>
      <c r="T104" s="45"/>
      <c r="U104" s="45"/>
      <c r="V104" s="45"/>
      <c r="W104" s="45"/>
      <c r="X104" s="45"/>
      <c r="Y104" s="45"/>
      <c r="Z104" s="47" t="str">
        <f t="shared" si="2"/>
        <v>Очікую</v>
      </c>
      <c r="AA104" s="47" t="str">
        <f t="shared" si="3"/>
        <v>Очікую</v>
      </c>
      <c r="AB104" s="34"/>
      <c r="AC104" s="40"/>
    </row>
    <row r="105" spans="1:29" s="11" customFormat="1" ht="15" customHeight="1" x14ac:dyDescent="0.25">
      <c r="A105" s="41"/>
      <c r="B105" s="32"/>
      <c r="C105" s="45"/>
      <c r="D105" s="45">
        <v>96</v>
      </c>
      <c r="E105" s="46"/>
      <c r="F105" s="45"/>
      <c r="G105" s="45"/>
      <c r="H105" s="45"/>
      <c r="I105" s="45"/>
      <c r="J105" s="45"/>
      <c r="K105" s="45"/>
      <c r="L105" s="45"/>
      <c r="M105" s="45"/>
      <c r="N105" s="45"/>
      <c r="O105" s="45"/>
      <c r="P105" s="45"/>
      <c r="Q105" s="45"/>
      <c r="R105" s="45"/>
      <c r="S105" s="45"/>
      <c r="T105" s="45"/>
      <c r="U105" s="45"/>
      <c r="V105" s="45"/>
      <c r="W105" s="45"/>
      <c r="X105" s="45"/>
      <c r="Y105" s="45"/>
      <c r="Z105" s="47" t="str">
        <f t="shared" si="2"/>
        <v>Очікую</v>
      </c>
      <c r="AA105" s="47" t="str">
        <f t="shared" si="3"/>
        <v>Очікую</v>
      </c>
      <c r="AB105" s="34"/>
      <c r="AC105" s="40"/>
    </row>
    <row r="106" spans="1:29" s="11" customFormat="1" ht="15" customHeight="1" x14ac:dyDescent="0.25">
      <c r="A106" s="41"/>
      <c r="B106" s="32"/>
      <c r="C106" s="45"/>
      <c r="D106" s="45">
        <v>97</v>
      </c>
      <c r="E106" s="46"/>
      <c r="F106" s="45"/>
      <c r="G106" s="45"/>
      <c r="H106" s="45"/>
      <c r="I106" s="45"/>
      <c r="J106" s="45"/>
      <c r="K106" s="45"/>
      <c r="L106" s="45"/>
      <c r="M106" s="45"/>
      <c r="N106" s="45"/>
      <c r="O106" s="45"/>
      <c r="P106" s="45"/>
      <c r="Q106" s="45"/>
      <c r="R106" s="45"/>
      <c r="S106" s="45"/>
      <c r="T106" s="45"/>
      <c r="U106" s="45"/>
      <c r="V106" s="45"/>
      <c r="W106" s="45"/>
      <c r="X106" s="45"/>
      <c r="Y106" s="45"/>
      <c r="Z106" s="47" t="str">
        <f t="shared" si="2"/>
        <v>Очікую</v>
      </c>
      <c r="AA106" s="47" t="str">
        <f t="shared" si="3"/>
        <v>Очікую</v>
      </c>
      <c r="AB106" s="34"/>
      <c r="AC106" s="40"/>
    </row>
    <row r="107" spans="1:29" s="11" customFormat="1" ht="15" customHeight="1" x14ac:dyDescent="0.25">
      <c r="A107" s="41"/>
      <c r="B107" s="32"/>
      <c r="C107" s="45"/>
      <c r="D107" s="45">
        <v>98</v>
      </c>
      <c r="E107" s="46"/>
      <c r="F107" s="45"/>
      <c r="G107" s="45"/>
      <c r="H107" s="45"/>
      <c r="I107" s="45"/>
      <c r="J107" s="45"/>
      <c r="K107" s="45"/>
      <c r="L107" s="45"/>
      <c r="M107" s="45"/>
      <c r="N107" s="45"/>
      <c r="O107" s="45"/>
      <c r="P107" s="45"/>
      <c r="Q107" s="45"/>
      <c r="R107" s="45"/>
      <c r="S107" s="45"/>
      <c r="T107" s="45"/>
      <c r="U107" s="45"/>
      <c r="V107" s="45"/>
      <c r="W107" s="45"/>
      <c r="X107" s="45"/>
      <c r="Y107" s="45"/>
      <c r="Z107" s="47" t="str">
        <f t="shared" si="2"/>
        <v>Очікую</v>
      </c>
      <c r="AA107" s="47" t="str">
        <f t="shared" si="3"/>
        <v>Очікую</v>
      </c>
      <c r="AB107" s="34"/>
      <c r="AC107" s="40"/>
    </row>
    <row r="108" spans="1:29" s="11" customFormat="1" ht="15" customHeight="1" x14ac:dyDescent="0.25">
      <c r="A108" s="41"/>
      <c r="B108" s="32"/>
      <c r="C108" s="45"/>
      <c r="D108" s="45">
        <v>99</v>
      </c>
      <c r="E108" s="46"/>
      <c r="F108" s="45"/>
      <c r="G108" s="45"/>
      <c r="H108" s="45"/>
      <c r="I108" s="45"/>
      <c r="J108" s="45"/>
      <c r="K108" s="45"/>
      <c r="L108" s="45"/>
      <c r="M108" s="45"/>
      <c r="N108" s="45"/>
      <c r="O108" s="45"/>
      <c r="P108" s="45"/>
      <c r="Q108" s="45"/>
      <c r="R108" s="45"/>
      <c r="S108" s="45"/>
      <c r="T108" s="45"/>
      <c r="U108" s="45"/>
      <c r="V108" s="45"/>
      <c r="W108" s="45"/>
      <c r="X108" s="45"/>
      <c r="Y108" s="45"/>
      <c r="Z108" s="47" t="str">
        <f t="shared" si="2"/>
        <v>Очікую</v>
      </c>
      <c r="AA108" s="47" t="str">
        <f t="shared" si="3"/>
        <v>Очікую</v>
      </c>
      <c r="AB108" s="34"/>
      <c r="AC108" s="40"/>
    </row>
    <row r="109" spans="1:29" s="11" customFormat="1" ht="15" customHeight="1" x14ac:dyDescent="0.25">
      <c r="A109" s="41"/>
      <c r="B109" s="32"/>
      <c r="C109" s="45"/>
      <c r="D109" s="45">
        <v>100</v>
      </c>
      <c r="E109" s="46"/>
      <c r="F109" s="45"/>
      <c r="G109" s="45"/>
      <c r="H109" s="45"/>
      <c r="I109" s="45"/>
      <c r="J109" s="45"/>
      <c r="K109" s="45"/>
      <c r="L109" s="45"/>
      <c r="M109" s="45"/>
      <c r="N109" s="45"/>
      <c r="O109" s="45"/>
      <c r="P109" s="45"/>
      <c r="Q109" s="45"/>
      <c r="R109" s="45"/>
      <c r="S109" s="45"/>
      <c r="T109" s="45"/>
      <c r="U109" s="45"/>
      <c r="V109" s="45"/>
      <c r="W109" s="45"/>
      <c r="X109" s="45"/>
      <c r="Y109" s="45"/>
      <c r="Z109" s="47" t="str">
        <f t="shared" si="2"/>
        <v>Очікую</v>
      </c>
      <c r="AA109" s="47" t="str">
        <f t="shared" si="3"/>
        <v>Очікую</v>
      </c>
      <c r="AB109" s="34"/>
      <c r="AC109" s="40"/>
    </row>
    <row r="110" spans="1:29" ht="15" customHeight="1" x14ac:dyDescent="0.25">
      <c r="A110" s="41"/>
      <c r="B110" s="32"/>
      <c r="C110" s="25"/>
      <c r="D110" s="25"/>
      <c r="E110" s="26" t="s">
        <v>9</v>
      </c>
      <c r="F110" s="5" t="str">
        <f>ЛЗ5!F115</f>
        <v>Очікую</v>
      </c>
      <c r="G110" s="6"/>
      <c r="H110" s="6"/>
      <c r="I110" s="6"/>
      <c r="J110" s="6"/>
      <c r="K110" s="6"/>
      <c r="L110" s="25"/>
      <c r="M110" s="27"/>
      <c r="N110" s="25"/>
      <c r="O110" s="25"/>
      <c r="P110" s="25"/>
      <c r="Q110" s="25"/>
      <c r="R110" s="25"/>
      <c r="S110" s="25"/>
      <c r="T110" s="25"/>
      <c r="U110" s="28"/>
      <c r="V110" s="27"/>
      <c r="W110" s="25"/>
      <c r="X110" s="25"/>
      <c r="Y110" s="25"/>
      <c r="Z110" s="25"/>
      <c r="AA110" s="25"/>
      <c r="AB110" s="33"/>
      <c r="AC110" s="40"/>
    </row>
    <row r="111" spans="1:29" ht="15" customHeight="1" x14ac:dyDescent="0.25">
      <c r="A111" s="41"/>
      <c r="B111" s="32"/>
      <c r="C111" s="25"/>
      <c r="D111" s="25"/>
      <c r="E111" s="26" t="s">
        <v>10</v>
      </c>
      <c r="F111" s="5" t="str">
        <f>ЛЗ5!F116</f>
        <v>Очікую</v>
      </c>
      <c r="G111" s="6"/>
      <c r="H111" s="63" t="s">
        <v>11</v>
      </c>
      <c r="I111" s="6"/>
      <c r="J111" s="6"/>
      <c r="K111" s="6"/>
      <c r="L111" s="25"/>
      <c r="M111" s="27"/>
      <c r="N111" s="63"/>
      <c r="O111" s="63"/>
      <c r="P111" s="63"/>
      <c r="Q111" s="63"/>
      <c r="R111" s="6"/>
      <c r="S111" s="6"/>
      <c r="T111" s="6"/>
      <c r="U111" s="64"/>
      <c r="V111" s="64"/>
      <c r="W111" s="64"/>
      <c r="X111" s="64"/>
      <c r="Y111" s="64"/>
      <c r="Z111" s="64"/>
      <c r="AA111" s="25"/>
      <c r="AB111" s="33"/>
      <c r="AC111" s="40"/>
    </row>
    <row r="112" spans="1:29" ht="15" customHeight="1" x14ac:dyDescent="0.25">
      <c r="A112" s="41"/>
      <c r="B112" s="32"/>
      <c r="C112" s="25"/>
      <c r="D112" s="25"/>
      <c r="E112" s="26" t="s">
        <v>12</v>
      </c>
      <c r="F112" s="5">
        <f>ЛЗ5!F117</f>
        <v>0</v>
      </c>
      <c r="G112" s="6"/>
      <c r="H112" s="10"/>
      <c r="I112" s="6"/>
      <c r="J112" s="6"/>
      <c r="K112" s="6"/>
      <c r="L112" s="25"/>
      <c r="M112" s="27"/>
      <c r="N112" s="6"/>
      <c r="O112" s="6"/>
      <c r="P112" s="6"/>
      <c r="Q112" s="6"/>
      <c r="R112" s="6"/>
      <c r="S112" s="6"/>
      <c r="T112" s="6"/>
      <c r="U112" s="10"/>
      <c r="V112" s="10"/>
      <c r="W112" s="6"/>
      <c r="X112" s="6"/>
      <c r="Y112" s="6"/>
      <c r="Z112" s="6"/>
      <c r="AA112" s="25"/>
      <c r="AB112" s="33"/>
      <c r="AC112" s="40"/>
    </row>
    <row r="113" spans="1:29" ht="15" customHeight="1" x14ac:dyDescent="0.25">
      <c r="A113" s="41"/>
      <c r="B113" s="32"/>
      <c r="C113" s="25"/>
      <c r="D113" s="25"/>
      <c r="E113" s="26" t="s">
        <v>13</v>
      </c>
      <c r="F113" s="5" t="str">
        <f>ЛЗ5!F118</f>
        <v>Очікую</v>
      </c>
      <c r="G113" s="6"/>
      <c r="H113" s="64" t="s">
        <v>14</v>
      </c>
      <c r="I113" s="6"/>
      <c r="J113" s="6"/>
      <c r="K113" s="6"/>
      <c r="L113" s="25"/>
      <c r="M113" s="27"/>
      <c r="N113" s="64"/>
      <c r="O113" s="64"/>
      <c r="P113" s="64"/>
      <c r="Q113" s="64"/>
      <c r="R113" s="6"/>
      <c r="S113" s="6"/>
      <c r="T113" s="6"/>
      <c r="U113" s="64"/>
      <c r="V113" s="64"/>
      <c r="W113" s="64"/>
      <c r="X113" s="64"/>
      <c r="Y113" s="64"/>
      <c r="Z113" s="64"/>
      <c r="AA113" s="25"/>
      <c r="AB113" s="33"/>
      <c r="AC113" s="40"/>
    </row>
    <row r="114" spans="1:29" ht="12" customHeight="1" thickBot="1" x14ac:dyDescent="0.3">
      <c r="A114" s="41"/>
      <c r="B114" s="35"/>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c r="AA114" s="36"/>
      <c r="AB114" s="37"/>
      <c r="AC114" s="40"/>
    </row>
    <row r="115" spans="1:29" ht="12" customHeight="1" x14ac:dyDescent="0.25">
      <c r="A115" s="39"/>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40"/>
    </row>
    <row r="116" spans="1:29" ht="0" hidden="1" customHeight="1" x14ac:dyDescent="0.25">
      <c r="A116" s="42"/>
      <c r="AC116" s="42"/>
    </row>
    <row r="117" spans="1:29" ht="0" hidden="1" customHeight="1" x14ac:dyDescent="0.25">
      <c r="A117" s="42"/>
      <c r="AC117" s="42"/>
    </row>
    <row r="118" spans="1:29" ht="0" hidden="1" customHeight="1" x14ac:dyDescent="0.25">
      <c r="A118" s="42"/>
      <c r="AC118" s="42"/>
    </row>
    <row r="119" spans="1:29" ht="0" hidden="1" customHeight="1" x14ac:dyDescent="0.25">
      <c r="A119" s="42"/>
      <c r="AC119" s="42"/>
    </row>
    <row r="120" spans="1:29" ht="0" hidden="1" customHeight="1" x14ac:dyDescent="0.25">
      <c r="A120" s="42"/>
      <c r="B120" s="42"/>
      <c r="C120" s="42"/>
      <c r="D120" s="42"/>
      <c r="E120" s="42"/>
      <c r="F120" s="42"/>
      <c r="G120" s="42"/>
      <c r="H120" s="42"/>
      <c r="I120" s="42"/>
      <c r="J120" s="42"/>
      <c r="K120" s="42"/>
      <c r="L120" s="42"/>
      <c r="M120" s="42"/>
      <c r="N120" s="42"/>
      <c r="O120" s="42"/>
      <c r="P120" s="42"/>
      <c r="Q120" s="42"/>
      <c r="R120" s="42"/>
      <c r="S120" s="42"/>
      <c r="T120" s="42"/>
      <c r="U120" s="42"/>
      <c r="V120" s="42"/>
      <c r="W120" s="42"/>
      <c r="X120" s="42"/>
      <c r="Y120" s="42"/>
      <c r="Z120" s="42"/>
      <c r="AA120" s="42"/>
      <c r="AB120" s="42"/>
      <c r="AC120" s="42"/>
    </row>
  </sheetData>
  <sheetProtection insertRows="0" deleteRows="0"/>
  <mergeCells count="11">
    <mergeCell ref="C8:C9"/>
    <mergeCell ref="D8:D9"/>
    <mergeCell ref="E8:E9"/>
    <mergeCell ref="F8:Y8"/>
    <mergeCell ref="AA8:AA9"/>
    <mergeCell ref="Z8:Z9"/>
    <mergeCell ref="C3:AA3"/>
    <mergeCell ref="C4:AA4"/>
    <mergeCell ref="C5:AA5"/>
    <mergeCell ref="C6:AA6"/>
    <mergeCell ref="C7:AA7"/>
  </mergeCells>
  <printOptions horizontalCentered="1"/>
  <pageMargins left="0.19685039370078741" right="0.19685039370078741" top="0.19685039370078741" bottom="0.19685039370078741" header="0" footer="0"/>
  <pageSetup paperSize="9" scale="32"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E26B0A"/>
    <pageSetUpPr fitToPage="1"/>
  </sheetPr>
  <dimension ref="A1:BO120"/>
  <sheetViews>
    <sheetView zoomScaleNormal="100" workbookViewId="0"/>
  </sheetViews>
  <sheetFormatPr defaultColWidth="0" defaultRowHeight="0" customHeight="1" zeroHeight="1" x14ac:dyDescent="0.25"/>
  <cols>
    <col min="1" max="2" width="2.7109375" style="1" customWidth="1"/>
    <col min="3" max="3" width="4.140625" style="1" customWidth="1"/>
    <col min="4" max="4" width="6.5703125" style="1" customWidth="1"/>
    <col min="5" max="5" width="40.42578125" style="1" customWidth="1"/>
    <col min="6" max="25" width="6.7109375" style="1" customWidth="1"/>
    <col min="26" max="27" width="11.28515625" style="1" customWidth="1"/>
    <col min="28" max="29" width="2.7109375" style="1" customWidth="1"/>
    <col min="30" max="35" width="14.42578125" style="1" hidden="1" customWidth="1"/>
    <col min="36" max="36" width="14.85546875" style="1" hidden="1" customWidth="1"/>
    <col min="37" max="50" width="3.7109375" style="1" hidden="1" customWidth="1"/>
    <col min="51" max="67" width="5.7109375" style="1" hidden="1" customWidth="1"/>
    <col min="68" max="16384" width="14.42578125" style="1" hidden="1"/>
  </cols>
  <sheetData>
    <row r="1" spans="1:29" ht="12" customHeight="1" thickBot="1" x14ac:dyDescent="0.3">
      <c r="A1" s="38" t="s">
        <v>18</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row>
    <row r="2" spans="1:29" ht="12" customHeight="1" x14ac:dyDescent="0.25">
      <c r="A2" s="41"/>
      <c r="B2" s="29"/>
      <c r="C2" s="30"/>
      <c r="D2" s="30"/>
      <c r="E2" s="30"/>
      <c r="F2" s="30"/>
      <c r="G2" s="30"/>
      <c r="H2" s="30"/>
      <c r="I2" s="30"/>
      <c r="J2" s="30"/>
      <c r="K2" s="30"/>
      <c r="L2" s="30"/>
      <c r="M2" s="30"/>
      <c r="N2" s="30"/>
      <c r="O2" s="30"/>
      <c r="P2" s="30"/>
      <c r="Q2" s="30"/>
      <c r="R2" s="30"/>
      <c r="S2" s="30"/>
      <c r="T2" s="30"/>
      <c r="U2" s="30"/>
      <c r="V2" s="30"/>
      <c r="W2" s="30"/>
      <c r="X2" s="30"/>
      <c r="Y2" s="30"/>
      <c r="Z2" s="30"/>
      <c r="AA2" s="30"/>
      <c r="AB2" s="31"/>
      <c r="AC2" s="40"/>
    </row>
    <row r="3" spans="1:29" s="2" customFormat="1" ht="54.95" customHeight="1" x14ac:dyDescent="0.3">
      <c r="A3" s="41"/>
      <c r="B3" s="32"/>
      <c r="C3" s="85" t="s">
        <v>19</v>
      </c>
      <c r="D3" s="85"/>
      <c r="E3" s="85"/>
      <c r="F3" s="85"/>
      <c r="G3" s="85"/>
      <c r="H3" s="85"/>
      <c r="I3" s="85"/>
      <c r="J3" s="85"/>
      <c r="K3" s="85"/>
      <c r="L3" s="85"/>
      <c r="M3" s="85"/>
      <c r="N3" s="85"/>
      <c r="O3" s="85"/>
      <c r="P3" s="85"/>
      <c r="Q3" s="85"/>
      <c r="R3" s="85"/>
      <c r="S3" s="85"/>
      <c r="T3" s="85"/>
      <c r="U3" s="85"/>
      <c r="V3" s="85"/>
      <c r="W3" s="85"/>
      <c r="X3" s="85"/>
      <c r="Y3" s="85"/>
      <c r="Z3" s="85"/>
      <c r="AA3" s="85"/>
      <c r="AB3" s="33"/>
      <c r="AC3" s="40"/>
    </row>
    <row r="4" spans="1:29" s="3" customFormat="1" ht="15" customHeight="1" x14ac:dyDescent="0.25">
      <c r="A4" s="41"/>
      <c r="B4" s="32"/>
      <c r="C4" s="84" t="s">
        <v>23</v>
      </c>
      <c r="D4" s="84"/>
      <c r="E4" s="84"/>
      <c r="F4" s="84"/>
      <c r="G4" s="84"/>
      <c r="H4" s="84"/>
      <c r="I4" s="84"/>
      <c r="J4" s="84"/>
      <c r="K4" s="84"/>
      <c r="L4" s="84"/>
      <c r="M4" s="84"/>
      <c r="N4" s="84"/>
      <c r="O4" s="84"/>
      <c r="P4" s="84"/>
      <c r="Q4" s="84"/>
      <c r="R4" s="84"/>
      <c r="S4" s="84"/>
      <c r="T4" s="84"/>
      <c r="U4" s="84"/>
      <c r="V4" s="84"/>
      <c r="W4" s="84"/>
      <c r="X4" s="84"/>
      <c r="Y4" s="84"/>
      <c r="Z4" s="84"/>
      <c r="AA4" s="84"/>
      <c r="AB4" s="33"/>
      <c r="AC4" s="40"/>
    </row>
    <row r="5" spans="1:29" s="2" customFormat="1" ht="15" customHeight="1" x14ac:dyDescent="0.25">
      <c r="A5" s="41"/>
      <c r="B5" s="32"/>
      <c r="C5" s="86" t="str">
        <f>ЛЗ6!C5</f>
        <v>Успішності студентів спеціальності XXX «XXXXX»</v>
      </c>
      <c r="D5" s="86"/>
      <c r="E5" s="86"/>
      <c r="F5" s="86"/>
      <c r="G5" s="86"/>
      <c r="H5" s="86"/>
      <c r="I5" s="86"/>
      <c r="J5" s="86"/>
      <c r="K5" s="86"/>
      <c r="L5" s="86"/>
      <c r="M5" s="86"/>
      <c r="N5" s="86"/>
      <c r="O5" s="86"/>
      <c r="P5" s="86"/>
      <c r="Q5" s="86"/>
      <c r="R5" s="86"/>
      <c r="S5" s="86"/>
      <c r="T5" s="86"/>
      <c r="U5" s="86"/>
      <c r="V5" s="86"/>
      <c r="W5" s="86"/>
      <c r="X5" s="86"/>
      <c r="Y5" s="86"/>
      <c r="Z5" s="86"/>
      <c r="AA5" s="86"/>
      <c r="AB5" s="33"/>
      <c r="AC5" s="40"/>
    </row>
    <row r="6" spans="1:29" s="2" customFormat="1" ht="15" customHeight="1" x14ac:dyDescent="0.25">
      <c r="A6" s="41"/>
      <c r="B6" s="32"/>
      <c r="C6" s="86" t="str">
        <f>ЛЗ6!C6</f>
        <v>За X семестр XXXX-XXXX н.р.</v>
      </c>
      <c r="D6" s="86"/>
      <c r="E6" s="86"/>
      <c r="F6" s="86"/>
      <c r="G6" s="86"/>
      <c r="H6" s="86"/>
      <c r="I6" s="86"/>
      <c r="J6" s="86"/>
      <c r="K6" s="86"/>
      <c r="L6" s="86"/>
      <c r="M6" s="86"/>
      <c r="N6" s="86"/>
      <c r="O6" s="86"/>
      <c r="P6" s="86"/>
      <c r="Q6" s="86"/>
      <c r="R6" s="86"/>
      <c r="S6" s="86"/>
      <c r="T6" s="86"/>
      <c r="U6" s="86"/>
      <c r="V6" s="86"/>
      <c r="W6" s="86"/>
      <c r="X6" s="86"/>
      <c r="Y6" s="86"/>
      <c r="Z6" s="86"/>
      <c r="AA6" s="86"/>
      <c r="AB6" s="33"/>
      <c r="AC6" s="40"/>
    </row>
    <row r="7" spans="1:29" s="2" customFormat="1" ht="15" customHeight="1" x14ac:dyDescent="0.25">
      <c r="A7" s="41"/>
      <c r="B7" s="32"/>
      <c r="C7" s="87" t="str">
        <f>ЛЗ6!C7</f>
        <v>Група XXXX курс X</v>
      </c>
      <c r="D7" s="87"/>
      <c r="E7" s="87"/>
      <c r="F7" s="87"/>
      <c r="G7" s="87"/>
      <c r="H7" s="87"/>
      <c r="I7" s="87"/>
      <c r="J7" s="87"/>
      <c r="K7" s="87"/>
      <c r="L7" s="87"/>
      <c r="M7" s="87"/>
      <c r="N7" s="87"/>
      <c r="O7" s="87"/>
      <c r="P7" s="87"/>
      <c r="Q7" s="87"/>
      <c r="R7" s="87"/>
      <c r="S7" s="87"/>
      <c r="T7" s="87"/>
      <c r="U7" s="87"/>
      <c r="V7" s="87"/>
      <c r="W7" s="87"/>
      <c r="X7" s="87"/>
      <c r="Y7" s="87"/>
      <c r="Z7" s="87"/>
      <c r="AA7" s="87"/>
      <c r="AB7" s="33"/>
      <c r="AC7" s="40"/>
    </row>
    <row r="8" spans="1:29" ht="15" customHeight="1" x14ac:dyDescent="0.25">
      <c r="A8" s="41"/>
      <c r="B8" s="32"/>
      <c r="C8" s="88" t="s">
        <v>0</v>
      </c>
      <c r="D8" s="90" t="s">
        <v>1</v>
      </c>
      <c r="E8" s="90" t="s">
        <v>2</v>
      </c>
      <c r="F8" s="91" t="s">
        <v>17</v>
      </c>
      <c r="G8" s="92"/>
      <c r="H8" s="92"/>
      <c r="I8" s="92"/>
      <c r="J8" s="92"/>
      <c r="K8" s="92"/>
      <c r="L8" s="92"/>
      <c r="M8" s="92"/>
      <c r="N8" s="92"/>
      <c r="O8" s="92"/>
      <c r="P8" s="92"/>
      <c r="Q8" s="92"/>
      <c r="R8" s="92"/>
      <c r="S8" s="92"/>
      <c r="T8" s="92"/>
      <c r="U8" s="92"/>
      <c r="V8" s="92"/>
      <c r="W8" s="92"/>
      <c r="X8" s="92"/>
      <c r="Y8" s="93"/>
      <c r="Z8" s="94" t="s">
        <v>3</v>
      </c>
      <c r="AA8" s="94" t="s">
        <v>24</v>
      </c>
      <c r="AB8" s="33"/>
      <c r="AC8" s="40"/>
    </row>
    <row r="9" spans="1:29" ht="125.1" customHeight="1" x14ac:dyDescent="0.25">
      <c r="A9" s="41"/>
      <c r="B9" s="32"/>
      <c r="C9" s="89"/>
      <c r="D9" s="89"/>
      <c r="E9" s="89"/>
      <c r="F9" s="24">
        <v>1</v>
      </c>
      <c r="G9" s="24">
        <v>2</v>
      </c>
      <c r="H9" s="24">
        <v>3</v>
      </c>
      <c r="I9" s="24">
        <v>4</v>
      </c>
      <c r="J9" s="24">
        <v>5</v>
      </c>
      <c r="K9" s="24">
        <v>6</v>
      </c>
      <c r="L9" s="24">
        <v>7</v>
      </c>
      <c r="M9" s="24">
        <v>8</v>
      </c>
      <c r="N9" s="24">
        <v>9</v>
      </c>
      <c r="O9" s="24">
        <v>10</v>
      </c>
      <c r="P9" s="24">
        <v>11</v>
      </c>
      <c r="Q9" s="24">
        <v>12</v>
      </c>
      <c r="R9" s="24">
        <v>13</v>
      </c>
      <c r="S9" s="24">
        <v>14</v>
      </c>
      <c r="T9" s="24">
        <v>15</v>
      </c>
      <c r="U9" s="24">
        <v>16</v>
      </c>
      <c r="V9" s="24">
        <v>17</v>
      </c>
      <c r="W9" s="24">
        <v>18</v>
      </c>
      <c r="X9" s="24">
        <v>19</v>
      </c>
      <c r="Y9" s="24">
        <v>20</v>
      </c>
      <c r="Z9" s="95"/>
      <c r="AA9" s="95"/>
      <c r="AB9" s="33"/>
      <c r="AC9" s="40"/>
    </row>
    <row r="10" spans="1:29" s="11" customFormat="1" ht="15" customHeight="1" x14ac:dyDescent="0.25">
      <c r="A10" s="41"/>
      <c r="B10" s="32"/>
      <c r="C10" s="45"/>
      <c r="D10" s="45">
        <v>1</v>
      </c>
      <c r="E10" s="46"/>
      <c r="F10" s="45"/>
      <c r="G10" s="45"/>
      <c r="H10" s="45"/>
      <c r="I10" s="45"/>
      <c r="J10" s="45"/>
      <c r="K10" s="45"/>
      <c r="L10" s="45"/>
      <c r="M10" s="45"/>
      <c r="N10" s="45"/>
      <c r="O10" s="45"/>
      <c r="P10" s="45"/>
      <c r="Q10" s="45"/>
      <c r="R10" s="45"/>
      <c r="S10" s="45"/>
      <c r="T10" s="45"/>
      <c r="U10" s="45"/>
      <c r="V10" s="45"/>
      <c r="W10" s="45"/>
      <c r="X10" s="45"/>
      <c r="Y10" s="45"/>
      <c r="Z10" s="47" t="str">
        <f>IF(COUNTIF(F10:Y10,"=*")&gt;0,IF($C10="К","-"," - "),IF(COUNTIF(F10:Y10,"&lt;4")&gt;0,IF(C10="К","-"," - "),(IFERROR(AVERAGE(F10:Y10),"Очікую"))))</f>
        <v>Очікую</v>
      </c>
      <c r="AA10" s="47" t="str">
        <f>IFERROR(Z10/12*90,"Очікую")</f>
        <v>Очікую</v>
      </c>
      <c r="AB10" s="34"/>
      <c r="AC10" s="40"/>
    </row>
    <row r="11" spans="1:29" s="11" customFormat="1" ht="15" customHeight="1" x14ac:dyDescent="0.25">
      <c r="A11" s="41"/>
      <c r="B11" s="32"/>
      <c r="C11" s="45"/>
      <c r="D11" s="45">
        <v>2</v>
      </c>
      <c r="E11" s="46"/>
      <c r="F11" s="45"/>
      <c r="G11" s="45"/>
      <c r="H11" s="45"/>
      <c r="I11" s="45"/>
      <c r="J11" s="45"/>
      <c r="K11" s="45"/>
      <c r="L11" s="45"/>
      <c r="M11" s="45"/>
      <c r="N11" s="45"/>
      <c r="O11" s="45"/>
      <c r="P11" s="45"/>
      <c r="Q11" s="45"/>
      <c r="R11" s="45"/>
      <c r="S11" s="45"/>
      <c r="T11" s="45"/>
      <c r="U11" s="45"/>
      <c r="V11" s="45"/>
      <c r="W11" s="45"/>
      <c r="X11" s="45"/>
      <c r="Y11" s="45"/>
      <c r="Z11" s="47" t="str">
        <f t="shared" ref="Z11:Z74" si="0">IF(COUNTIF(F11:Y11,"=*")&gt;0,IF($C11="К","-"," - "),IF(COUNTIF(F11:Y11,"&lt;4")&gt;0,IF(C11="К","-"," - "),(IFERROR(AVERAGE(F11:Y11),"Очікую"))))</f>
        <v>Очікую</v>
      </c>
      <c r="AA11" s="47" t="str">
        <f t="shared" ref="AA11:AA74" si="1">IFERROR(Z11/12*90,"Очікую")</f>
        <v>Очікую</v>
      </c>
      <c r="AB11" s="34"/>
      <c r="AC11" s="40"/>
    </row>
    <row r="12" spans="1:29" s="11" customFormat="1" ht="15" customHeight="1" x14ac:dyDescent="0.25">
      <c r="A12" s="41"/>
      <c r="B12" s="32"/>
      <c r="C12" s="45"/>
      <c r="D12" s="45">
        <v>3</v>
      </c>
      <c r="E12" s="46"/>
      <c r="F12" s="45"/>
      <c r="G12" s="45"/>
      <c r="H12" s="45"/>
      <c r="I12" s="45"/>
      <c r="J12" s="45"/>
      <c r="K12" s="45"/>
      <c r="L12" s="45"/>
      <c r="M12" s="45"/>
      <c r="N12" s="45"/>
      <c r="O12" s="45"/>
      <c r="P12" s="45"/>
      <c r="Q12" s="45"/>
      <c r="R12" s="45"/>
      <c r="S12" s="45"/>
      <c r="T12" s="45"/>
      <c r="U12" s="45"/>
      <c r="V12" s="45"/>
      <c r="W12" s="45"/>
      <c r="X12" s="45"/>
      <c r="Y12" s="45"/>
      <c r="Z12" s="47" t="str">
        <f t="shared" si="0"/>
        <v>Очікую</v>
      </c>
      <c r="AA12" s="47" t="str">
        <f t="shared" si="1"/>
        <v>Очікую</v>
      </c>
      <c r="AB12" s="34"/>
      <c r="AC12" s="40"/>
    </row>
    <row r="13" spans="1:29" s="11" customFormat="1" ht="15" customHeight="1" x14ac:dyDescent="0.25">
      <c r="A13" s="41"/>
      <c r="B13" s="32"/>
      <c r="C13" s="45"/>
      <c r="D13" s="45">
        <v>4</v>
      </c>
      <c r="E13" s="46"/>
      <c r="F13" s="45"/>
      <c r="G13" s="45"/>
      <c r="H13" s="45"/>
      <c r="I13" s="45"/>
      <c r="J13" s="45"/>
      <c r="K13" s="45"/>
      <c r="L13" s="45"/>
      <c r="M13" s="45"/>
      <c r="N13" s="45"/>
      <c r="O13" s="45"/>
      <c r="P13" s="45"/>
      <c r="Q13" s="45"/>
      <c r="R13" s="45"/>
      <c r="S13" s="45"/>
      <c r="T13" s="45"/>
      <c r="U13" s="45"/>
      <c r="V13" s="45"/>
      <c r="W13" s="45"/>
      <c r="X13" s="45"/>
      <c r="Y13" s="45"/>
      <c r="Z13" s="47" t="str">
        <f t="shared" si="0"/>
        <v>Очікую</v>
      </c>
      <c r="AA13" s="47" t="str">
        <f t="shared" si="1"/>
        <v>Очікую</v>
      </c>
      <c r="AB13" s="34"/>
      <c r="AC13" s="40"/>
    </row>
    <row r="14" spans="1:29" s="11" customFormat="1" ht="15" customHeight="1" x14ac:dyDescent="0.25">
      <c r="A14" s="41"/>
      <c r="B14" s="32"/>
      <c r="C14" s="45"/>
      <c r="D14" s="45">
        <v>5</v>
      </c>
      <c r="E14" s="46"/>
      <c r="F14" s="45"/>
      <c r="G14" s="45"/>
      <c r="H14" s="45"/>
      <c r="I14" s="45"/>
      <c r="J14" s="45"/>
      <c r="K14" s="45"/>
      <c r="L14" s="45"/>
      <c r="M14" s="45"/>
      <c r="N14" s="45"/>
      <c r="O14" s="45"/>
      <c r="P14" s="45"/>
      <c r="Q14" s="45"/>
      <c r="R14" s="45"/>
      <c r="S14" s="45"/>
      <c r="T14" s="45"/>
      <c r="U14" s="45"/>
      <c r="V14" s="45"/>
      <c r="W14" s="45"/>
      <c r="X14" s="45"/>
      <c r="Y14" s="45"/>
      <c r="Z14" s="47" t="str">
        <f t="shared" si="0"/>
        <v>Очікую</v>
      </c>
      <c r="AA14" s="47" t="str">
        <f t="shared" si="1"/>
        <v>Очікую</v>
      </c>
      <c r="AB14" s="34"/>
      <c r="AC14" s="40"/>
    </row>
    <row r="15" spans="1:29" s="11" customFormat="1" ht="15" customHeight="1" x14ac:dyDescent="0.25">
      <c r="A15" s="41"/>
      <c r="B15" s="32"/>
      <c r="C15" s="45"/>
      <c r="D15" s="45">
        <v>6</v>
      </c>
      <c r="E15" s="46"/>
      <c r="F15" s="45"/>
      <c r="G15" s="45"/>
      <c r="H15" s="45"/>
      <c r="I15" s="45"/>
      <c r="J15" s="45"/>
      <c r="K15" s="45"/>
      <c r="L15" s="45"/>
      <c r="M15" s="45"/>
      <c r="N15" s="45"/>
      <c r="O15" s="45"/>
      <c r="P15" s="45"/>
      <c r="Q15" s="45"/>
      <c r="R15" s="45"/>
      <c r="S15" s="45"/>
      <c r="T15" s="45"/>
      <c r="U15" s="45"/>
      <c r="V15" s="45"/>
      <c r="W15" s="45"/>
      <c r="X15" s="45"/>
      <c r="Y15" s="45"/>
      <c r="Z15" s="47" t="str">
        <f t="shared" si="0"/>
        <v>Очікую</v>
      </c>
      <c r="AA15" s="47" t="str">
        <f t="shared" si="1"/>
        <v>Очікую</v>
      </c>
      <c r="AB15" s="34"/>
      <c r="AC15" s="40"/>
    </row>
    <row r="16" spans="1:29" s="11" customFormat="1" ht="15" customHeight="1" x14ac:dyDescent="0.25">
      <c r="A16" s="41"/>
      <c r="B16" s="32"/>
      <c r="C16" s="45"/>
      <c r="D16" s="45">
        <v>7</v>
      </c>
      <c r="E16" s="46"/>
      <c r="F16" s="45"/>
      <c r="G16" s="45"/>
      <c r="H16" s="45"/>
      <c r="I16" s="45"/>
      <c r="J16" s="45"/>
      <c r="K16" s="45"/>
      <c r="L16" s="45"/>
      <c r="M16" s="45"/>
      <c r="N16" s="45"/>
      <c r="O16" s="45"/>
      <c r="P16" s="45"/>
      <c r="Q16" s="45"/>
      <c r="R16" s="45"/>
      <c r="S16" s="45"/>
      <c r="T16" s="45"/>
      <c r="U16" s="45"/>
      <c r="V16" s="45"/>
      <c r="W16" s="45"/>
      <c r="X16" s="45"/>
      <c r="Y16" s="45"/>
      <c r="Z16" s="47" t="str">
        <f t="shared" si="0"/>
        <v>Очікую</v>
      </c>
      <c r="AA16" s="47" t="str">
        <f t="shared" si="1"/>
        <v>Очікую</v>
      </c>
      <c r="AB16" s="34"/>
      <c r="AC16" s="40"/>
    </row>
    <row r="17" spans="1:29" s="11" customFormat="1" ht="15" customHeight="1" x14ac:dyDescent="0.25">
      <c r="A17" s="41"/>
      <c r="B17" s="32"/>
      <c r="C17" s="45"/>
      <c r="D17" s="45">
        <v>8</v>
      </c>
      <c r="E17" s="46"/>
      <c r="F17" s="45"/>
      <c r="G17" s="45"/>
      <c r="H17" s="45"/>
      <c r="I17" s="45"/>
      <c r="J17" s="45"/>
      <c r="K17" s="45"/>
      <c r="L17" s="45"/>
      <c r="M17" s="45"/>
      <c r="N17" s="45"/>
      <c r="O17" s="45"/>
      <c r="P17" s="45"/>
      <c r="Q17" s="45"/>
      <c r="R17" s="45"/>
      <c r="S17" s="45"/>
      <c r="T17" s="45"/>
      <c r="U17" s="45"/>
      <c r="V17" s="45"/>
      <c r="W17" s="45"/>
      <c r="X17" s="45"/>
      <c r="Y17" s="45"/>
      <c r="Z17" s="47" t="str">
        <f t="shared" si="0"/>
        <v>Очікую</v>
      </c>
      <c r="AA17" s="47" t="str">
        <f t="shared" si="1"/>
        <v>Очікую</v>
      </c>
      <c r="AB17" s="34"/>
      <c r="AC17" s="40"/>
    </row>
    <row r="18" spans="1:29" s="11" customFormat="1" ht="15" customHeight="1" x14ac:dyDescent="0.25">
      <c r="A18" s="41"/>
      <c r="B18" s="32"/>
      <c r="C18" s="45"/>
      <c r="D18" s="45">
        <v>9</v>
      </c>
      <c r="E18" s="46"/>
      <c r="F18" s="45"/>
      <c r="G18" s="45"/>
      <c r="H18" s="45"/>
      <c r="I18" s="45"/>
      <c r="J18" s="45"/>
      <c r="K18" s="45"/>
      <c r="L18" s="45"/>
      <c r="M18" s="45"/>
      <c r="N18" s="45"/>
      <c r="O18" s="45"/>
      <c r="P18" s="45"/>
      <c r="Q18" s="45"/>
      <c r="R18" s="45"/>
      <c r="S18" s="45"/>
      <c r="T18" s="45"/>
      <c r="U18" s="45"/>
      <c r="V18" s="45"/>
      <c r="W18" s="45"/>
      <c r="X18" s="45"/>
      <c r="Y18" s="45"/>
      <c r="Z18" s="47" t="str">
        <f t="shared" si="0"/>
        <v>Очікую</v>
      </c>
      <c r="AA18" s="47" t="str">
        <f t="shared" si="1"/>
        <v>Очікую</v>
      </c>
      <c r="AB18" s="34"/>
      <c r="AC18" s="40"/>
    </row>
    <row r="19" spans="1:29" s="11" customFormat="1" ht="15" customHeight="1" x14ac:dyDescent="0.25">
      <c r="A19" s="41"/>
      <c r="B19" s="32"/>
      <c r="C19" s="45"/>
      <c r="D19" s="45">
        <v>10</v>
      </c>
      <c r="E19" s="46"/>
      <c r="F19" s="45"/>
      <c r="G19" s="45"/>
      <c r="H19" s="45"/>
      <c r="I19" s="45"/>
      <c r="J19" s="45"/>
      <c r="K19" s="45"/>
      <c r="L19" s="45"/>
      <c r="M19" s="45"/>
      <c r="N19" s="45"/>
      <c r="O19" s="45"/>
      <c r="P19" s="45"/>
      <c r="Q19" s="45"/>
      <c r="R19" s="45"/>
      <c r="S19" s="45"/>
      <c r="T19" s="45"/>
      <c r="U19" s="45"/>
      <c r="V19" s="45"/>
      <c r="W19" s="45"/>
      <c r="X19" s="45"/>
      <c r="Y19" s="45"/>
      <c r="Z19" s="47" t="str">
        <f t="shared" si="0"/>
        <v>Очікую</v>
      </c>
      <c r="AA19" s="47" t="str">
        <f t="shared" si="1"/>
        <v>Очікую</v>
      </c>
      <c r="AB19" s="34"/>
      <c r="AC19" s="40"/>
    </row>
    <row r="20" spans="1:29" s="11" customFormat="1" ht="15" customHeight="1" x14ac:dyDescent="0.25">
      <c r="A20" s="41"/>
      <c r="B20" s="32"/>
      <c r="C20" s="45"/>
      <c r="D20" s="45">
        <v>11</v>
      </c>
      <c r="E20" s="46"/>
      <c r="F20" s="45"/>
      <c r="G20" s="45"/>
      <c r="H20" s="45"/>
      <c r="I20" s="45"/>
      <c r="J20" s="45"/>
      <c r="K20" s="45"/>
      <c r="L20" s="45"/>
      <c r="M20" s="45"/>
      <c r="N20" s="45"/>
      <c r="O20" s="45"/>
      <c r="P20" s="45"/>
      <c r="Q20" s="45"/>
      <c r="R20" s="45"/>
      <c r="S20" s="45"/>
      <c r="T20" s="45"/>
      <c r="U20" s="45"/>
      <c r="V20" s="45"/>
      <c r="W20" s="45"/>
      <c r="X20" s="45"/>
      <c r="Y20" s="45"/>
      <c r="Z20" s="47" t="str">
        <f t="shared" si="0"/>
        <v>Очікую</v>
      </c>
      <c r="AA20" s="47" t="str">
        <f t="shared" si="1"/>
        <v>Очікую</v>
      </c>
      <c r="AB20" s="34"/>
      <c r="AC20" s="40"/>
    </row>
    <row r="21" spans="1:29" s="11" customFormat="1" ht="15" customHeight="1" x14ac:dyDescent="0.25">
      <c r="A21" s="41"/>
      <c r="B21" s="32"/>
      <c r="C21" s="45"/>
      <c r="D21" s="45">
        <v>12</v>
      </c>
      <c r="E21" s="46"/>
      <c r="F21" s="45"/>
      <c r="G21" s="45"/>
      <c r="H21" s="45"/>
      <c r="I21" s="45"/>
      <c r="J21" s="45"/>
      <c r="K21" s="45"/>
      <c r="L21" s="45"/>
      <c r="M21" s="45"/>
      <c r="N21" s="45"/>
      <c r="O21" s="45"/>
      <c r="P21" s="45"/>
      <c r="Q21" s="45"/>
      <c r="R21" s="45"/>
      <c r="S21" s="45"/>
      <c r="T21" s="45"/>
      <c r="U21" s="45"/>
      <c r="V21" s="45"/>
      <c r="W21" s="45"/>
      <c r="X21" s="45"/>
      <c r="Y21" s="45"/>
      <c r="Z21" s="47" t="str">
        <f t="shared" si="0"/>
        <v>Очікую</v>
      </c>
      <c r="AA21" s="47" t="str">
        <f t="shared" si="1"/>
        <v>Очікую</v>
      </c>
      <c r="AB21" s="34"/>
      <c r="AC21" s="40"/>
    </row>
    <row r="22" spans="1:29" s="11" customFormat="1" ht="15" customHeight="1" x14ac:dyDescent="0.25">
      <c r="A22" s="41"/>
      <c r="B22" s="32"/>
      <c r="C22" s="45"/>
      <c r="D22" s="45">
        <v>13</v>
      </c>
      <c r="E22" s="46"/>
      <c r="F22" s="45"/>
      <c r="G22" s="45"/>
      <c r="H22" s="45"/>
      <c r="I22" s="45"/>
      <c r="J22" s="45"/>
      <c r="K22" s="45"/>
      <c r="L22" s="45"/>
      <c r="M22" s="45"/>
      <c r="N22" s="45"/>
      <c r="O22" s="45"/>
      <c r="P22" s="45"/>
      <c r="Q22" s="45"/>
      <c r="R22" s="45"/>
      <c r="S22" s="45"/>
      <c r="T22" s="45"/>
      <c r="U22" s="45"/>
      <c r="V22" s="45"/>
      <c r="W22" s="45"/>
      <c r="X22" s="45"/>
      <c r="Y22" s="45"/>
      <c r="Z22" s="47" t="str">
        <f t="shared" si="0"/>
        <v>Очікую</v>
      </c>
      <c r="AA22" s="47" t="str">
        <f t="shared" si="1"/>
        <v>Очікую</v>
      </c>
      <c r="AB22" s="34"/>
      <c r="AC22" s="40"/>
    </row>
    <row r="23" spans="1:29" s="11" customFormat="1" ht="15" customHeight="1" x14ac:dyDescent="0.25">
      <c r="A23" s="41"/>
      <c r="B23" s="32"/>
      <c r="C23" s="45"/>
      <c r="D23" s="45">
        <v>14</v>
      </c>
      <c r="E23" s="46"/>
      <c r="F23" s="45"/>
      <c r="G23" s="45"/>
      <c r="H23" s="45"/>
      <c r="I23" s="45"/>
      <c r="J23" s="45"/>
      <c r="K23" s="45"/>
      <c r="L23" s="45"/>
      <c r="M23" s="45"/>
      <c r="N23" s="45"/>
      <c r="O23" s="45"/>
      <c r="P23" s="45"/>
      <c r="Q23" s="45"/>
      <c r="R23" s="45"/>
      <c r="S23" s="45"/>
      <c r="T23" s="45"/>
      <c r="U23" s="45"/>
      <c r="V23" s="45"/>
      <c r="W23" s="45"/>
      <c r="X23" s="45"/>
      <c r="Y23" s="45"/>
      <c r="Z23" s="47" t="str">
        <f t="shared" si="0"/>
        <v>Очікую</v>
      </c>
      <c r="AA23" s="47" t="str">
        <f t="shared" si="1"/>
        <v>Очікую</v>
      </c>
      <c r="AB23" s="34"/>
      <c r="AC23" s="40"/>
    </row>
    <row r="24" spans="1:29" s="11" customFormat="1" ht="15" customHeight="1" x14ac:dyDescent="0.25">
      <c r="A24" s="41"/>
      <c r="B24" s="32"/>
      <c r="C24" s="45"/>
      <c r="D24" s="45">
        <v>15</v>
      </c>
      <c r="E24" s="46"/>
      <c r="F24" s="45"/>
      <c r="G24" s="45"/>
      <c r="H24" s="45"/>
      <c r="I24" s="45"/>
      <c r="J24" s="45"/>
      <c r="K24" s="45"/>
      <c r="L24" s="45"/>
      <c r="M24" s="45"/>
      <c r="N24" s="45"/>
      <c r="O24" s="45"/>
      <c r="P24" s="45"/>
      <c r="Q24" s="45"/>
      <c r="R24" s="45"/>
      <c r="S24" s="45"/>
      <c r="T24" s="45"/>
      <c r="U24" s="45"/>
      <c r="V24" s="45"/>
      <c r="W24" s="45"/>
      <c r="X24" s="45"/>
      <c r="Y24" s="45"/>
      <c r="Z24" s="47" t="str">
        <f t="shared" si="0"/>
        <v>Очікую</v>
      </c>
      <c r="AA24" s="47" t="str">
        <f t="shared" si="1"/>
        <v>Очікую</v>
      </c>
      <c r="AB24" s="34"/>
      <c r="AC24" s="40"/>
    </row>
    <row r="25" spans="1:29" s="11" customFormat="1" ht="15" customHeight="1" x14ac:dyDescent="0.25">
      <c r="A25" s="41"/>
      <c r="B25" s="32"/>
      <c r="C25" s="45"/>
      <c r="D25" s="45">
        <v>16</v>
      </c>
      <c r="E25" s="46"/>
      <c r="F25" s="45"/>
      <c r="G25" s="45"/>
      <c r="H25" s="45"/>
      <c r="I25" s="45"/>
      <c r="J25" s="45"/>
      <c r="K25" s="45"/>
      <c r="L25" s="45"/>
      <c r="M25" s="45"/>
      <c r="N25" s="45"/>
      <c r="O25" s="45"/>
      <c r="P25" s="45"/>
      <c r="Q25" s="45"/>
      <c r="R25" s="45"/>
      <c r="S25" s="45"/>
      <c r="T25" s="45"/>
      <c r="U25" s="45"/>
      <c r="V25" s="45"/>
      <c r="W25" s="45"/>
      <c r="X25" s="45"/>
      <c r="Y25" s="45"/>
      <c r="Z25" s="47" t="str">
        <f t="shared" si="0"/>
        <v>Очікую</v>
      </c>
      <c r="AA25" s="47" t="str">
        <f t="shared" si="1"/>
        <v>Очікую</v>
      </c>
      <c r="AB25" s="34"/>
      <c r="AC25" s="40"/>
    </row>
    <row r="26" spans="1:29" s="11" customFormat="1" ht="15" customHeight="1" x14ac:dyDescent="0.25">
      <c r="A26" s="41"/>
      <c r="B26" s="32"/>
      <c r="C26" s="45"/>
      <c r="D26" s="45">
        <v>17</v>
      </c>
      <c r="E26" s="46"/>
      <c r="F26" s="45"/>
      <c r="G26" s="45"/>
      <c r="H26" s="45"/>
      <c r="I26" s="45"/>
      <c r="J26" s="45"/>
      <c r="K26" s="45"/>
      <c r="L26" s="45"/>
      <c r="M26" s="45"/>
      <c r="N26" s="45"/>
      <c r="O26" s="45"/>
      <c r="P26" s="45"/>
      <c r="Q26" s="45"/>
      <c r="R26" s="45"/>
      <c r="S26" s="45"/>
      <c r="T26" s="45"/>
      <c r="U26" s="45"/>
      <c r="V26" s="45"/>
      <c r="W26" s="45"/>
      <c r="X26" s="45"/>
      <c r="Y26" s="45"/>
      <c r="Z26" s="47" t="str">
        <f t="shared" si="0"/>
        <v>Очікую</v>
      </c>
      <c r="AA26" s="47" t="str">
        <f t="shared" si="1"/>
        <v>Очікую</v>
      </c>
      <c r="AB26" s="34"/>
      <c r="AC26" s="40"/>
    </row>
    <row r="27" spans="1:29" s="11" customFormat="1" ht="15" customHeight="1" x14ac:dyDescent="0.25">
      <c r="A27" s="41"/>
      <c r="B27" s="32"/>
      <c r="C27" s="45"/>
      <c r="D27" s="45">
        <v>18</v>
      </c>
      <c r="E27" s="46"/>
      <c r="F27" s="45"/>
      <c r="G27" s="45"/>
      <c r="H27" s="45"/>
      <c r="I27" s="45"/>
      <c r="J27" s="45"/>
      <c r="K27" s="45"/>
      <c r="L27" s="45"/>
      <c r="M27" s="45"/>
      <c r="N27" s="45"/>
      <c r="O27" s="45"/>
      <c r="P27" s="45"/>
      <c r="Q27" s="45"/>
      <c r="R27" s="45"/>
      <c r="S27" s="45"/>
      <c r="T27" s="45"/>
      <c r="U27" s="45"/>
      <c r="V27" s="45"/>
      <c r="W27" s="45"/>
      <c r="X27" s="45"/>
      <c r="Y27" s="45"/>
      <c r="Z27" s="47" t="str">
        <f t="shared" si="0"/>
        <v>Очікую</v>
      </c>
      <c r="AA27" s="47" t="str">
        <f t="shared" si="1"/>
        <v>Очікую</v>
      </c>
      <c r="AB27" s="34"/>
      <c r="AC27" s="40"/>
    </row>
    <row r="28" spans="1:29" s="11" customFormat="1" ht="15" customHeight="1" x14ac:dyDescent="0.25">
      <c r="A28" s="41"/>
      <c r="B28" s="32"/>
      <c r="C28" s="45"/>
      <c r="D28" s="45">
        <v>19</v>
      </c>
      <c r="E28" s="46"/>
      <c r="F28" s="45"/>
      <c r="G28" s="45"/>
      <c r="H28" s="45"/>
      <c r="I28" s="45"/>
      <c r="J28" s="45"/>
      <c r="K28" s="45"/>
      <c r="L28" s="45"/>
      <c r="M28" s="45"/>
      <c r="N28" s="45"/>
      <c r="O28" s="45"/>
      <c r="P28" s="45"/>
      <c r="Q28" s="45"/>
      <c r="R28" s="45"/>
      <c r="S28" s="45"/>
      <c r="T28" s="45"/>
      <c r="U28" s="45"/>
      <c r="V28" s="45"/>
      <c r="W28" s="45"/>
      <c r="X28" s="45"/>
      <c r="Y28" s="45"/>
      <c r="Z28" s="47" t="str">
        <f t="shared" si="0"/>
        <v>Очікую</v>
      </c>
      <c r="AA28" s="47" t="str">
        <f t="shared" si="1"/>
        <v>Очікую</v>
      </c>
      <c r="AB28" s="34"/>
      <c r="AC28" s="40"/>
    </row>
    <row r="29" spans="1:29" s="11" customFormat="1" ht="15" customHeight="1" x14ac:dyDescent="0.25">
      <c r="A29" s="41"/>
      <c r="B29" s="32"/>
      <c r="C29" s="45"/>
      <c r="D29" s="45">
        <v>20</v>
      </c>
      <c r="E29" s="46"/>
      <c r="F29" s="45"/>
      <c r="G29" s="45"/>
      <c r="H29" s="45"/>
      <c r="I29" s="45"/>
      <c r="J29" s="45"/>
      <c r="K29" s="45"/>
      <c r="L29" s="45"/>
      <c r="M29" s="45"/>
      <c r="N29" s="45"/>
      <c r="O29" s="45"/>
      <c r="P29" s="45"/>
      <c r="Q29" s="45"/>
      <c r="R29" s="45"/>
      <c r="S29" s="45"/>
      <c r="T29" s="45"/>
      <c r="U29" s="45"/>
      <c r="V29" s="45"/>
      <c r="W29" s="45"/>
      <c r="X29" s="45"/>
      <c r="Y29" s="45"/>
      <c r="Z29" s="47" t="str">
        <f t="shared" si="0"/>
        <v>Очікую</v>
      </c>
      <c r="AA29" s="47" t="str">
        <f t="shared" si="1"/>
        <v>Очікую</v>
      </c>
      <c r="AB29" s="34"/>
      <c r="AC29" s="40"/>
    </row>
    <row r="30" spans="1:29" s="11" customFormat="1" ht="15" customHeight="1" x14ac:dyDescent="0.25">
      <c r="A30" s="41"/>
      <c r="B30" s="32"/>
      <c r="C30" s="45"/>
      <c r="D30" s="45">
        <v>21</v>
      </c>
      <c r="E30" s="46"/>
      <c r="F30" s="45"/>
      <c r="G30" s="45"/>
      <c r="H30" s="45"/>
      <c r="I30" s="45"/>
      <c r="J30" s="45"/>
      <c r="K30" s="45"/>
      <c r="L30" s="45"/>
      <c r="M30" s="45"/>
      <c r="N30" s="45"/>
      <c r="O30" s="45"/>
      <c r="P30" s="45"/>
      <c r="Q30" s="45"/>
      <c r="R30" s="45"/>
      <c r="S30" s="45"/>
      <c r="T30" s="45"/>
      <c r="U30" s="45"/>
      <c r="V30" s="45"/>
      <c r="W30" s="45"/>
      <c r="X30" s="45"/>
      <c r="Y30" s="45"/>
      <c r="Z30" s="47" t="str">
        <f t="shared" si="0"/>
        <v>Очікую</v>
      </c>
      <c r="AA30" s="47" t="str">
        <f t="shared" si="1"/>
        <v>Очікую</v>
      </c>
      <c r="AB30" s="34"/>
      <c r="AC30" s="40"/>
    </row>
    <row r="31" spans="1:29" s="11" customFormat="1" ht="15" customHeight="1" x14ac:dyDescent="0.25">
      <c r="A31" s="41"/>
      <c r="B31" s="32"/>
      <c r="C31" s="45"/>
      <c r="D31" s="45">
        <v>22</v>
      </c>
      <c r="E31" s="46"/>
      <c r="F31" s="45"/>
      <c r="G31" s="45"/>
      <c r="H31" s="45"/>
      <c r="I31" s="45"/>
      <c r="J31" s="45"/>
      <c r="K31" s="45"/>
      <c r="L31" s="45"/>
      <c r="M31" s="45"/>
      <c r="N31" s="45"/>
      <c r="O31" s="45"/>
      <c r="P31" s="45"/>
      <c r="Q31" s="45"/>
      <c r="R31" s="45"/>
      <c r="S31" s="45"/>
      <c r="T31" s="45"/>
      <c r="U31" s="45"/>
      <c r="V31" s="45"/>
      <c r="W31" s="45"/>
      <c r="X31" s="45"/>
      <c r="Y31" s="45"/>
      <c r="Z31" s="47" t="str">
        <f t="shared" si="0"/>
        <v>Очікую</v>
      </c>
      <c r="AA31" s="47" t="str">
        <f t="shared" si="1"/>
        <v>Очікую</v>
      </c>
      <c r="AB31" s="34"/>
      <c r="AC31" s="40"/>
    </row>
    <row r="32" spans="1:29" s="11" customFormat="1" ht="15" customHeight="1" x14ac:dyDescent="0.25">
      <c r="A32" s="41"/>
      <c r="B32" s="32"/>
      <c r="C32" s="45"/>
      <c r="D32" s="45">
        <v>23</v>
      </c>
      <c r="E32" s="46"/>
      <c r="F32" s="45"/>
      <c r="G32" s="45"/>
      <c r="H32" s="45"/>
      <c r="I32" s="45"/>
      <c r="J32" s="45"/>
      <c r="K32" s="45"/>
      <c r="L32" s="45"/>
      <c r="M32" s="45"/>
      <c r="N32" s="45"/>
      <c r="O32" s="45"/>
      <c r="P32" s="45"/>
      <c r="Q32" s="45"/>
      <c r="R32" s="45"/>
      <c r="S32" s="45"/>
      <c r="T32" s="45"/>
      <c r="U32" s="45"/>
      <c r="V32" s="45"/>
      <c r="W32" s="45"/>
      <c r="X32" s="45"/>
      <c r="Y32" s="45"/>
      <c r="Z32" s="47" t="str">
        <f t="shared" si="0"/>
        <v>Очікую</v>
      </c>
      <c r="AA32" s="47" t="str">
        <f t="shared" si="1"/>
        <v>Очікую</v>
      </c>
      <c r="AB32" s="34"/>
      <c r="AC32" s="40"/>
    </row>
    <row r="33" spans="1:29" s="11" customFormat="1" ht="15" customHeight="1" x14ac:dyDescent="0.25">
      <c r="A33" s="41"/>
      <c r="B33" s="32"/>
      <c r="C33" s="45"/>
      <c r="D33" s="45">
        <v>24</v>
      </c>
      <c r="E33" s="46"/>
      <c r="F33" s="45"/>
      <c r="G33" s="45"/>
      <c r="H33" s="45"/>
      <c r="I33" s="45"/>
      <c r="J33" s="45"/>
      <c r="K33" s="45"/>
      <c r="L33" s="45"/>
      <c r="M33" s="45"/>
      <c r="N33" s="45"/>
      <c r="O33" s="45"/>
      <c r="P33" s="45"/>
      <c r="Q33" s="45"/>
      <c r="R33" s="45"/>
      <c r="S33" s="45"/>
      <c r="T33" s="45"/>
      <c r="U33" s="45"/>
      <c r="V33" s="45"/>
      <c r="W33" s="45"/>
      <c r="X33" s="45"/>
      <c r="Y33" s="45"/>
      <c r="Z33" s="47" t="str">
        <f t="shared" si="0"/>
        <v>Очікую</v>
      </c>
      <c r="AA33" s="47" t="str">
        <f t="shared" si="1"/>
        <v>Очікую</v>
      </c>
      <c r="AB33" s="34"/>
      <c r="AC33" s="40"/>
    </row>
    <row r="34" spans="1:29" s="11" customFormat="1" ht="15" customHeight="1" x14ac:dyDescent="0.25">
      <c r="A34" s="41"/>
      <c r="B34" s="32"/>
      <c r="C34" s="45"/>
      <c r="D34" s="45">
        <v>25</v>
      </c>
      <c r="E34" s="46"/>
      <c r="F34" s="45"/>
      <c r="G34" s="45"/>
      <c r="H34" s="45"/>
      <c r="I34" s="45"/>
      <c r="J34" s="45"/>
      <c r="K34" s="45"/>
      <c r="L34" s="45"/>
      <c r="M34" s="45"/>
      <c r="N34" s="45"/>
      <c r="O34" s="45"/>
      <c r="P34" s="45"/>
      <c r="Q34" s="45"/>
      <c r="R34" s="45"/>
      <c r="S34" s="45"/>
      <c r="T34" s="45"/>
      <c r="U34" s="45"/>
      <c r="V34" s="45"/>
      <c r="W34" s="45"/>
      <c r="X34" s="45"/>
      <c r="Y34" s="45"/>
      <c r="Z34" s="47" t="str">
        <f t="shared" si="0"/>
        <v>Очікую</v>
      </c>
      <c r="AA34" s="47" t="str">
        <f t="shared" si="1"/>
        <v>Очікую</v>
      </c>
      <c r="AB34" s="34"/>
      <c r="AC34" s="40"/>
    </row>
    <row r="35" spans="1:29" s="11" customFormat="1" ht="15" customHeight="1" x14ac:dyDescent="0.25">
      <c r="A35" s="41"/>
      <c r="B35" s="32"/>
      <c r="C35" s="45"/>
      <c r="D35" s="45">
        <v>26</v>
      </c>
      <c r="E35" s="46"/>
      <c r="F35" s="45"/>
      <c r="G35" s="45"/>
      <c r="H35" s="45"/>
      <c r="I35" s="45"/>
      <c r="J35" s="45"/>
      <c r="K35" s="45"/>
      <c r="L35" s="45"/>
      <c r="M35" s="45"/>
      <c r="N35" s="45"/>
      <c r="O35" s="45"/>
      <c r="P35" s="45"/>
      <c r="Q35" s="45"/>
      <c r="R35" s="45"/>
      <c r="S35" s="45"/>
      <c r="T35" s="45"/>
      <c r="U35" s="45"/>
      <c r="V35" s="45"/>
      <c r="W35" s="45"/>
      <c r="X35" s="45"/>
      <c r="Y35" s="45"/>
      <c r="Z35" s="47" t="str">
        <f t="shared" si="0"/>
        <v>Очікую</v>
      </c>
      <c r="AA35" s="47" t="str">
        <f t="shared" si="1"/>
        <v>Очікую</v>
      </c>
      <c r="AB35" s="34"/>
      <c r="AC35" s="40"/>
    </row>
    <row r="36" spans="1:29" s="11" customFormat="1" ht="15" customHeight="1" x14ac:dyDescent="0.25">
      <c r="A36" s="41"/>
      <c r="B36" s="32"/>
      <c r="C36" s="45"/>
      <c r="D36" s="45">
        <v>27</v>
      </c>
      <c r="E36" s="46"/>
      <c r="F36" s="45"/>
      <c r="G36" s="45"/>
      <c r="H36" s="45"/>
      <c r="I36" s="45"/>
      <c r="J36" s="45"/>
      <c r="K36" s="45"/>
      <c r="L36" s="45"/>
      <c r="M36" s="45"/>
      <c r="N36" s="45"/>
      <c r="O36" s="45"/>
      <c r="P36" s="45"/>
      <c r="Q36" s="45"/>
      <c r="R36" s="45"/>
      <c r="S36" s="45"/>
      <c r="T36" s="45"/>
      <c r="U36" s="45"/>
      <c r="V36" s="45"/>
      <c r="W36" s="45"/>
      <c r="X36" s="45"/>
      <c r="Y36" s="45"/>
      <c r="Z36" s="47" t="str">
        <f t="shared" si="0"/>
        <v>Очікую</v>
      </c>
      <c r="AA36" s="47" t="str">
        <f t="shared" si="1"/>
        <v>Очікую</v>
      </c>
      <c r="AB36" s="34"/>
      <c r="AC36" s="40"/>
    </row>
    <row r="37" spans="1:29" s="11" customFormat="1" ht="15" customHeight="1" x14ac:dyDescent="0.25">
      <c r="A37" s="41"/>
      <c r="B37" s="32"/>
      <c r="C37" s="45"/>
      <c r="D37" s="45">
        <v>28</v>
      </c>
      <c r="E37" s="46"/>
      <c r="F37" s="45"/>
      <c r="G37" s="45"/>
      <c r="H37" s="45"/>
      <c r="I37" s="45"/>
      <c r="J37" s="45"/>
      <c r="K37" s="45"/>
      <c r="L37" s="45"/>
      <c r="M37" s="45"/>
      <c r="N37" s="45"/>
      <c r="O37" s="45"/>
      <c r="P37" s="45"/>
      <c r="Q37" s="45"/>
      <c r="R37" s="45"/>
      <c r="S37" s="45"/>
      <c r="T37" s="45"/>
      <c r="U37" s="45"/>
      <c r="V37" s="45"/>
      <c r="W37" s="45"/>
      <c r="X37" s="45"/>
      <c r="Y37" s="45"/>
      <c r="Z37" s="47" t="str">
        <f t="shared" si="0"/>
        <v>Очікую</v>
      </c>
      <c r="AA37" s="47" t="str">
        <f t="shared" si="1"/>
        <v>Очікую</v>
      </c>
      <c r="AB37" s="34"/>
      <c r="AC37" s="40"/>
    </row>
    <row r="38" spans="1:29" s="11" customFormat="1" ht="15" customHeight="1" x14ac:dyDescent="0.25">
      <c r="A38" s="41"/>
      <c r="B38" s="32"/>
      <c r="C38" s="45"/>
      <c r="D38" s="45">
        <v>29</v>
      </c>
      <c r="E38" s="46"/>
      <c r="F38" s="45"/>
      <c r="G38" s="45"/>
      <c r="H38" s="45"/>
      <c r="I38" s="45"/>
      <c r="J38" s="45"/>
      <c r="K38" s="45"/>
      <c r="L38" s="45"/>
      <c r="M38" s="45"/>
      <c r="N38" s="45"/>
      <c r="O38" s="45"/>
      <c r="P38" s="45"/>
      <c r="Q38" s="45"/>
      <c r="R38" s="45"/>
      <c r="S38" s="45"/>
      <c r="T38" s="45"/>
      <c r="U38" s="45"/>
      <c r="V38" s="45"/>
      <c r="W38" s="45"/>
      <c r="X38" s="45"/>
      <c r="Y38" s="45"/>
      <c r="Z38" s="47" t="str">
        <f t="shared" si="0"/>
        <v>Очікую</v>
      </c>
      <c r="AA38" s="47" t="str">
        <f t="shared" si="1"/>
        <v>Очікую</v>
      </c>
      <c r="AB38" s="34"/>
      <c r="AC38" s="40"/>
    </row>
    <row r="39" spans="1:29" s="11" customFormat="1" ht="15" customHeight="1" x14ac:dyDescent="0.25">
      <c r="A39" s="41"/>
      <c r="B39" s="32"/>
      <c r="C39" s="45"/>
      <c r="D39" s="45">
        <v>30</v>
      </c>
      <c r="E39" s="46"/>
      <c r="F39" s="45"/>
      <c r="G39" s="45"/>
      <c r="H39" s="45"/>
      <c r="I39" s="45"/>
      <c r="J39" s="45"/>
      <c r="K39" s="45"/>
      <c r="L39" s="45"/>
      <c r="M39" s="45"/>
      <c r="N39" s="45"/>
      <c r="O39" s="45"/>
      <c r="P39" s="45"/>
      <c r="Q39" s="45"/>
      <c r="R39" s="45"/>
      <c r="S39" s="45"/>
      <c r="T39" s="45"/>
      <c r="U39" s="45"/>
      <c r="V39" s="45"/>
      <c r="W39" s="45"/>
      <c r="X39" s="45"/>
      <c r="Y39" s="45"/>
      <c r="Z39" s="47" t="str">
        <f t="shared" si="0"/>
        <v>Очікую</v>
      </c>
      <c r="AA39" s="47" t="str">
        <f t="shared" si="1"/>
        <v>Очікую</v>
      </c>
      <c r="AB39" s="34"/>
      <c r="AC39" s="40"/>
    </row>
    <row r="40" spans="1:29" s="11" customFormat="1" ht="15" customHeight="1" x14ac:dyDescent="0.25">
      <c r="A40" s="41"/>
      <c r="B40" s="32"/>
      <c r="C40" s="45"/>
      <c r="D40" s="45">
        <v>31</v>
      </c>
      <c r="E40" s="46"/>
      <c r="F40" s="45"/>
      <c r="G40" s="45"/>
      <c r="H40" s="45"/>
      <c r="I40" s="45"/>
      <c r="J40" s="45"/>
      <c r="K40" s="45"/>
      <c r="L40" s="45"/>
      <c r="M40" s="45"/>
      <c r="N40" s="45"/>
      <c r="O40" s="45"/>
      <c r="P40" s="45"/>
      <c r="Q40" s="45"/>
      <c r="R40" s="45"/>
      <c r="S40" s="45"/>
      <c r="T40" s="45"/>
      <c r="U40" s="45"/>
      <c r="V40" s="45"/>
      <c r="W40" s="45"/>
      <c r="X40" s="45"/>
      <c r="Y40" s="45"/>
      <c r="Z40" s="47" t="str">
        <f t="shared" si="0"/>
        <v>Очікую</v>
      </c>
      <c r="AA40" s="47" t="str">
        <f t="shared" si="1"/>
        <v>Очікую</v>
      </c>
      <c r="AB40" s="34"/>
      <c r="AC40" s="40"/>
    </row>
    <row r="41" spans="1:29" s="11" customFormat="1" ht="15" customHeight="1" x14ac:dyDescent="0.25">
      <c r="A41" s="41"/>
      <c r="B41" s="32"/>
      <c r="C41" s="45"/>
      <c r="D41" s="45">
        <v>32</v>
      </c>
      <c r="E41" s="46"/>
      <c r="F41" s="45"/>
      <c r="G41" s="45"/>
      <c r="H41" s="45"/>
      <c r="I41" s="45"/>
      <c r="J41" s="45"/>
      <c r="K41" s="45"/>
      <c r="L41" s="45"/>
      <c r="M41" s="45"/>
      <c r="N41" s="45"/>
      <c r="O41" s="45"/>
      <c r="P41" s="45"/>
      <c r="Q41" s="45"/>
      <c r="R41" s="45"/>
      <c r="S41" s="45"/>
      <c r="T41" s="45"/>
      <c r="U41" s="45"/>
      <c r="V41" s="45"/>
      <c r="W41" s="45"/>
      <c r="X41" s="45"/>
      <c r="Y41" s="45"/>
      <c r="Z41" s="47" t="str">
        <f t="shared" si="0"/>
        <v>Очікую</v>
      </c>
      <c r="AA41" s="47" t="str">
        <f t="shared" si="1"/>
        <v>Очікую</v>
      </c>
      <c r="AB41" s="34"/>
      <c r="AC41" s="40"/>
    </row>
    <row r="42" spans="1:29" s="11" customFormat="1" ht="15" customHeight="1" x14ac:dyDescent="0.25">
      <c r="A42" s="41"/>
      <c r="B42" s="32"/>
      <c r="C42" s="45"/>
      <c r="D42" s="45">
        <v>33</v>
      </c>
      <c r="E42" s="46"/>
      <c r="F42" s="45"/>
      <c r="G42" s="45"/>
      <c r="H42" s="45"/>
      <c r="I42" s="45"/>
      <c r="J42" s="45"/>
      <c r="K42" s="45"/>
      <c r="L42" s="45"/>
      <c r="M42" s="45"/>
      <c r="N42" s="45"/>
      <c r="O42" s="45"/>
      <c r="P42" s="45"/>
      <c r="Q42" s="45"/>
      <c r="R42" s="45"/>
      <c r="S42" s="45"/>
      <c r="T42" s="45"/>
      <c r="U42" s="45"/>
      <c r="V42" s="45"/>
      <c r="W42" s="45"/>
      <c r="X42" s="45"/>
      <c r="Y42" s="45"/>
      <c r="Z42" s="47" t="str">
        <f t="shared" si="0"/>
        <v>Очікую</v>
      </c>
      <c r="AA42" s="47" t="str">
        <f t="shared" si="1"/>
        <v>Очікую</v>
      </c>
      <c r="AB42" s="34"/>
      <c r="AC42" s="40"/>
    </row>
    <row r="43" spans="1:29" s="11" customFormat="1" ht="15" customHeight="1" x14ac:dyDescent="0.25">
      <c r="A43" s="41"/>
      <c r="B43" s="32"/>
      <c r="C43" s="45"/>
      <c r="D43" s="45">
        <v>34</v>
      </c>
      <c r="E43" s="46"/>
      <c r="F43" s="45"/>
      <c r="G43" s="45"/>
      <c r="H43" s="45"/>
      <c r="I43" s="45"/>
      <c r="J43" s="45"/>
      <c r="K43" s="45"/>
      <c r="L43" s="45"/>
      <c r="M43" s="45"/>
      <c r="N43" s="45"/>
      <c r="O43" s="45"/>
      <c r="P43" s="45"/>
      <c r="Q43" s="45"/>
      <c r="R43" s="45"/>
      <c r="S43" s="45"/>
      <c r="T43" s="45"/>
      <c r="U43" s="45"/>
      <c r="V43" s="45"/>
      <c r="W43" s="45"/>
      <c r="X43" s="45"/>
      <c r="Y43" s="45"/>
      <c r="Z43" s="47" t="str">
        <f t="shared" si="0"/>
        <v>Очікую</v>
      </c>
      <c r="AA43" s="47" t="str">
        <f t="shared" si="1"/>
        <v>Очікую</v>
      </c>
      <c r="AB43" s="34"/>
      <c r="AC43" s="40"/>
    </row>
    <row r="44" spans="1:29" s="11" customFormat="1" ht="15" customHeight="1" x14ac:dyDescent="0.25">
      <c r="A44" s="41"/>
      <c r="B44" s="32"/>
      <c r="C44" s="45"/>
      <c r="D44" s="45">
        <v>35</v>
      </c>
      <c r="E44" s="46"/>
      <c r="F44" s="45"/>
      <c r="G44" s="45"/>
      <c r="H44" s="45"/>
      <c r="I44" s="45"/>
      <c r="J44" s="45"/>
      <c r="K44" s="45"/>
      <c r="L44" s="45"/>
      <c r="M44" s="45"/>
      <c r="N44" s="45"/>
      <c r="O44" s="45"/>
      <c r="P44" s="45"/>
      <c r="Q44" s="45"/>
      <c r="R44" s="45"/>
      <c r="S44" s="45"/>
      <c r="T44" s="45"/>
      <c r="U44" s="45"/>
      <c r="V44" s="45"/>
      <c r="W44" s="45"/>
      <c r="X44" s="45"/>
      <c r="Y44" s="45"/>
      <c r="Z44" s="47" t="str">
        <f t="shared" si="0"/>
        <v>Очікую</v>
      </c>
      <c r="AA44" s="47" t="str">
        <f t="shared" si="1"/>
        <v>Очікую</v>
      </c>
      <c r="AB44" s="34"/>
      <c r="AC44" s="40"/>
    </row>
    <row r="45" spans="1:29" s="11" customFormat="1" ht="15" customHeight="1" x14ac:dyDescent="0.25">
      <c r="A45" s="41"/>
      <c r="B45" s="32"/>
      <c r="C45" s="45"/>
      <c r="D45" s="45">
        <v>36</v>
      </c>
      <c r="E45" s="46"/>
      <c r="F45" s="45"/>
      <c r="G45" s="45"/>
      <c r="H45" s="45"/>
      <c r="I45" s="45"/>
      <c r="J45" s="45"/>
      <c r="K45" s="45"/>
      <c r="L45" s="45"/>
      <c r="M45" s="45"/>
      <c r="N45" s="45"/>
      <c r="O45" s="45"/>
      <c r="P45" s="45"/>
      <c r="Q45" s="45"/>
      <c r="R45" s="45"/>
      <c r="S45" s="45"/>
      <c r="T45" s="45"/>
      <c r="U45" s="45"/>
      <c r="V45" s="45"/>
      <c r="W45" s="45"/>
      <c r="X45" s="45"/>
      <c r="Y45" s="45"/>
      <c r="Z45" s="47" t="str">
        <f t="shared" si="0"/>
        <v>Очікую</v>
      </c>
      <c r="AA45" s="47" t="str">
        <f t="shared" si="1"/>
        <v>Очікую</v>
      </c>
      <c r="AB45" s="34"/>
      <c r="AC45" s="40"/>
    </row>
    <row r="46" spans="1:29" s="11" customFormat="1" ht="15" customHeight="1" x14ac:dyDescent="0.25">
      <c r="A46" s="41"/>
      <c r="B46" s="32"/>
      <c r="C46" s="45"/>
      <c r="D46" s="45">
        <v>37</v>
      </c>
      <c r="E46" s="46"/>
      <c r="F46" s="45"/>
      <c r="G46" s="45"/>
      <c r="H46" s="45"/>
      <c r="I46" s="45"/>
      <c r="J46" s="45"/>
      <c r="K46" s="45"/>
      <c r="L46" s="45"/>
      <c r="M46" s="45"/>
      <c r="N46" s="45"/>
      <c r="O46" s="45"/>
      <c r="P46" s="45"/>
      <c r="Q46" s="45"/>
      <c r="R46" s="45"/>
      <c r="S46" s="45"/>
      <c r="T46" s="45"/>
      <c r="U46" s="45"/>
      <c r="V46" s="45"/>
      <c r="W46" s="45"/>
      <c r="X46" s="45"/>
      <c r="Y46" s="45"/>
      <c r="Z46" s="47" t="str">
        <f t="shared" si="0"/>
        <v>Очікую</v>
      </c>
      <c r="AA46" s="47" t="str">
        <f t="shared" si="1"/>
        <v>Очікую</v>
      </c>
      <c r="AB46" s="34"/>
      <c r="AC46" s="40"/>
    </row>
    <row r="47" spans="1:29" s="11" customFormat="1" ht="15" customHeight="1" x14ac:dyDescent="0.25">
      <c r="A47" s="41"/>
      <c r="B47" s="32"/>
      <c r="C47" s="45"/>
      <c r="D47" s="45">
        <v>38</v>
      </c>
      <c r="E47" s="46"/>
      <c r="F47" s="45"/>
      <c r="G47" s="45"/>
      <c r="H47" s="45"/>
      <c r="I47" s="45"/>
      <c r="J47" s="45"/>
      <c r="K47" s="45"/>
      <c r="L47" s="45"/>
      <c r="M47" s="45"/>
      <c r="N47" s="45"/>
      <c r="O47" s="45"/>
      <c r="P47" s="45"/>
      <c r="Q47" s="45"/>
      <c r="R47" s="45"/>
      <c r="S47" s="45"/>
      <c r="T47" s="45"/>
      <c r="U47" s="45"/>
      <c r="V47" s="45"/>
      <c r="W47" s="45"/>
      <c r="X47" s="45"/>
      <c r="Y47" s="45"/>
      <c r="Z47" s="47" t="str">
        <f t="shared" si="0"/>
        <v>Очікую</v>
      </c>
      <c r="AA47" s="47" t="str">
        <f t="shared" si="1"/>
        <v>Очікую</v>
      </c>
      <c r="AB47" s="34"/>
      <c r="AC47" s="40"/>
    </row>
    <row r="48" spans="1:29" s="11" customFormat="1" ht="15" customHeight="1" x14ac:dyDescent="0.25">
      <c r="A48" s="41"/>
      <c r="B48" s="32"/>
      <c r="C48" s="45"/>
      <c r="D48" s="45">
        <v>39</v>
      </c>
      <c r="E48" s="46"/>
      <c r="F48" s="45"/>
      <c r="G48" s="45"/>
      <c r="H48" s="45"/>
      <c r="I48" s="45"/>
      <c r="J48" s="45"/>
      <c r="K48" s="45"/>
      <c r="L48" s="45"/>
      <c r="M48" s="45"/>
      <c r="N48" s="45"/>
      <c r="O48" s="45"/>
      <c r="P48" s="45"/>
      <c r="Q48" s="45"/>
      <c r="R48" s="45"/>
      <c r="S48" s="45"/>
      <c r="T48" s="45"/>
      <c r="U48" s="45"/>
      <c r="V48" s="45"/>
      <c r="W48" s="45"/>
      <c r="X48" s="45"/>
      <c r="Y48" s="45"/>
      <c r="Z48" s="47" t="str">
        <f t="shared" si="0"/>
        <v>Очікую</v>
      </c>
      <c r="AA48" s="47" t="str">
        <f t="shared" si="1"/>
        <v>Очікую</v>
      </c>
      <c r="AB48" s="34"/>
      <c r="AC48" s="40"/>
    </row>
    <row r="49" spans="1:29" s="11" customFormat="1" ht="15" customHeight="1" x14ac:dyDescent="0.25">
      <c r="A49" s="41"/>
      <c r="B49" s="32"/>
      <c r="C49" s="45"/>
      <c r="D49" s="45">
        <v>40</v>
      </c>
      <c r="E49" s="46"/>
      <c r="F49" s="45"/>
      <c r="G49" s="45"/>
      <c r="H49" s="45"/>
      <c r="I49" s="45"/>
      <c r="J49" s="45"/>
      <c r="K49" s="45"/>
      <c r="L49" s="45"/>
      <c r="M49" s="45"/>
      <c r="N49" s="45"/>
      <c r="O49" s="45"/>
      <c r="P49" s="45"/>
      <c r="Q49" s="45"/>
      <c r="R49" s="45"/>
      <c r="S49" s="45"/>
      <c r="T49" s="45"/>
      <c r="U49" s="45"/>
      <c r="V49" s="45"/>
      <c r="W49" s="45"/>
      <c r="X49" s="45"/>
      <c r="Y49" s="45"/>
      <c r="Z49" s="47" t="str">
        <f t="shared" si="0"/>
        <v>Очікую</v>
      </c>
      <c r="AA49" s="47" t="str">
        <f t="shared" si="1"/>
        <v>Очікую</v>
      </c>
      <c r="AB49" s="34"/>
      <c r="AC49" s="40"/>
    </row>
    <row r="50" spans="1:29" s="11" customFormat="1" ht="15" customHeight="1" x14ac:dyDescent="0.25">
      <c r="A50" s="41"/>
      <c r="B50" s="32"/>
      <c r="C50" s="45"/>
      <c r="D50" s="45">
        <v>41</v>
      </c>
      <c r="E50" s="46"/>
      <c r="F50" s="45"/>
      <c r="G50" s="45"/>
      <c r="H50" s="45"/>
      <c r="I50" s="45"/>
      <c r="J50" s="45"/>
      <c r="K50" s="45"/>
      <c r="L50" s="45"/>
      <c r="M50" s="45"/>
      <c r="N50" s="45"/>
      <c r="O50" s="45"/>
      <c r="P50" s="45"/>
      <c r="Q50" s="45"/>
      <c r="R50" s="45"/>
      <c r="S50" s="45"/>
      <c r="T50" s="45"/>
      <c r="U50" s="45"/>
      <c r="V50" s="45"/>
      <c r="W50" s="45"/>
      <c r="X50" s="45"/>
      <c r="Y50" s="45"/>
      <c r="Z50" s="47" t="str">
        <f t="shared" si="0"/>
        <v>Очікую</v>
      </c>
      <c r="AA50" s="47" t="str">
        <f t="shared" si="1"/>
        <v>Очікую</v>
      </c>
      <c r="AB50" s="34"/>
      <c r="AC50" s="40"/>
    </row>
    <row r="51" spans="1:29" s="11" customFormat="1" ht="15" customHeight="1" x14ac:dyDescent="0.25">
      <c r="A51" s="41"/>
      <c r="B51" s="32"/>
      <c r="C51" s="45"/>
      <c r="D51" s="45">
        <v>42</v>
      </c>
      <c r="E51" s="46"/>
      <c r="F51" s="45"/>
      <c r="G51" s="45"/>
      <c r="H51" s="45"/>
      <c r="I51" s="45"/>
      <c r="J51" s="45"/>
      <c r="K51" s="45"/>
      <c r="L51" s="45"/>
      <c r="M51" s="45"/>
      <c r="N51" s="45"/>
      <c r="O51" s="45"/>
      <c r="P51" s="45"/>
      <c r="Q51" s="45"/>
      <c r="R51" s="45"/>
      <c r="S51" s="45"/>
      <c r="T51" s="45"/>
      <c r="U51" s="45"/>
      <c r="V51" s="45"/>
      <c r="W51" s="45"/>
      <c r="X51" s="45"/>
      <c r="Y51" s="45"/>
      <c r="Z51" s="47" t="str">
        <f t="shared" si="0"/>
        <v>Очікую</v>
      </c>
      <c r="AA51" s="47" t="str">
        <f t="shared" si="1"/>
        <v>Очікую</v>
      </c>
      <c r="AB51" s="34"/>
      <c r="AC51" s="40"/>
    </row>
    <row r="52" spans="1:29" s="11" customFormat="1" ht="15" customHeight="1" x14ac:dyDescent="0.25">
      <c r="A52" s="41"/>
      <c r="B52" s="32"/>
      <c r="C52" s="45"/>
      <c r="D52" s="45">
        <v>43</v>
      </c>
      <c r="E52" s="46"/>
      <c r="F52" s="45"/>
      <c r="G52" s="45"/>
      <c r="H52" s="45"/>
      <c r="I52" s="45"/>
      <c r="J52" s="45"/>
      <c r="K52" s="45"/>
      <c r="L52" s="45"/>
      <c r="M52" s="45"/>
      <c r="N52" s="45"/>
      <c r="O52" s="45"/>
      <c r="P52" s="45"/>
      <c r="Q52" s="45"/>
      <c r="R52" s="45"/>
      <c r="S52" s="45"/>
      <c r="T52" s="45"/>
      <c r="U52" s="45"/>
      <c r="V52" s="45"/>
      <c r="W52" s="45"/>
      <c r="X52" s="45"/>
      <c r="Y52" s="45"/>
      <c r="Z52" s="47" t="str">
        <f t="shared" si="0"/>
        <v>Очікую</v>
      </c>
      <c r="AA52" s="47" t="str">
        <f t="shared" si="1"/>
        <v>Очікую</v>
      </c>
      <c r="AB52" s="34"/>
      <c r="AC52" s="40"/>
    </row>
    <row r="53" spans="1:29" s="11" customFormat="1" ht="15" customHeight="1" x14ac:dyDescent="0.25">
      <c r="A53" s="41"/>
      <c r="B53" s="32"/>
      <c r="C53" s="45"/>
      <c r="D53" s="45">
        <v>44</v>
      </c>
      <c r="E53" s="46"/>
      <c r="F53" s="45"/>
      <c r="G53" s="45"/>
      <c r="H53" s="45"/>
      <c r="I53" s="45"/>
      <c r="J53" s="45"/>
      <c r="K53" s="45"/>
      <c r="L53" s="45"/>
      <c r="M53" s="45"/>
      <c r="N53" s="45"/>
      <c r="O53" s="45"/>
      <c r="P53" s="45"/>
      <c r="Q53" s="45"/>
      <c r="R53" s="45"/>
      <c r="S53" s="45"/>
      <c r="T53" s="45"/>
      <c r="U53" s="45"/>
      <c r="V53" s="45"/>
      <c r="W53" s="45"/>
      <c r="X53" s="45"/>
      <c r="Y53" s="45"/>
      <c r="Z53" s="47" t="str">
        <f t="shared" si="0"/>
        <v>Очікую</v>
      </c>
      <c r="AA53" s="47" t="str">
        <f t="shared" si="1"/>
        <v>Очікую</v>
      </c>
      <c r="AB53" s="34"/>
      <c r="AC53" s="40"/>
    </row>
    <row r="54" spans="1:29" s="11" customFormat="1" ht="15" customHeight="1" x14ac:dyDescent="0.25">
      <c r="A54" s="41"/>
      <c r="B54" s="32"/>
      <c r="C54" s="45"/>
      <c r="D54" s="45">
        <v>45</v>
      </c>
      <c r="E54" s="46"/>
      <c r="F54" s="45"/>
      <c r="G54" s="45"/>
      <c r="H54" s="45"/>
      <c r="I54" s="45"/>
      <c r="J54" s="45"/>
      <c r="K54" s="45"/>
      <c r="L54" s="45"/>
      <c r="M54" s="45"/>
      <c r="N54" s="45"/>
      <c r="O54" s="45"/>
      <c r="P54" s="45"/>
      <c r="Q54" s="45"/>
      <c r="R54" s="45"/>
      <c r="S54" s="45"/>
      <c r="T54" s="45"/>
      <c r="U54" s="45"/>
      <c r="V54" s="45"/>
      <c r="W54" s="45"/>
      <c r="X54" s="45"/>
      <c r="Y54" s="45"/>
      <c r="Z54" s="47" t="str">
        <f t="shared" si="0"/>
        <v>Очікую</v>
      </c>
      <c r="AA54" s="47" t="str">
        <f t="shared" si="1"/>
        <v>Очікую</v>
      </c>
      <c r="AB54" s="34"/>
      <c r="AC54" s="40"/>
    </row>
    <row r="55" spans="1:29" s="11" customFormat="1" ht="15" customHeight="1" x14ac:dyDescent="0.25">
      <c r="A55" s="41"/>
      <c r="B55" s="32"/>
      <c r="C55" s="45"/>
      <c r="D55" s="45">
        <v>46</v>
      </c>
      <c r="E55" s="46"/>
      <c r="F55" s="45"/>
      <c r="G55" s="45"/>
      <c r="H55" s="45"/>
      <c r="I55" s="45"/>
      <c r="J55" s="45"/>
      <c r="K55" s="45"/>
      <c r="L55" s="45"/>
      <c r="M55" s="45"/>
      <c r="N55" s="45"/>
      <c r="O55" s="45"/>
      <c r="P55" s="45"/>
      <c r="Q55" s="45"/>
      <c r="R55" s="45"/>
      <c r="S55" s="45"/>
      <c r="T55" s="45"/>
      <c r="U55" s="45"/>
      <c r="V55" s="45"/>
      <c r="W55" s="45"/>
      <c r="X55" s="45"/>
      <c r="Y55" s="45"/>
      <c r="Z55" s="47" t="str">
        <f t="shared" si="0"/>
        <v>Очікую</v>
      </c>
      <c r="AA55" s="47" t="str">
        <f t="shared" si="1"/>
        <v>Очікую</v>
      </c>
      <c r="AB55" s="34"/>
      <c r="AC55" s="40"/>
    </row>
    <row r="56" spans="1:29" s="11" customFormat="1" ht="15" customHeight="1" x14ac:dyDescent="0.25">
      <c r="A56" s="41"/>
      <c r="B56" s="32"/>
      <c r="C56" s="45"/>
      <c r="D56" s="45">
        <v>47</v>
      </c>
      <c r="E56" s="46"/>
      <c r="F56" s="45"/>
      <c r="G56" s="45"/>
      <c r="H56" s="45"/>
      <c r="I56" s="45"/>
      <c r="J56" s="45"/>
      <c r="K56" s="45"/>
      <c r="L56" s="45"/>
      <c r="M56" s="45"/>
      <c r="N56" s="45"/>
      <c r="O56" s="45"/>
      <c r="P56" s="45"/>
      <c r="Q56" s="45"/>
      <c r="R56" s="45"/>
      <c r="S56" s="45"/>
      <c r="T56" s="45"/>
      <c r="U56" s="45"/>
      <c r="V56" s="45"/>
      <c r="W56" s="45"/>
      <c r="X56" s="45"/>
      <c r="Y56" s="45"/>
      <c r="Z56" s="47" t="str">
        <f t="shared" si="0"/>
        <v>Очікую</v>
      </c>
      <c r="AA56" s="47" t="str">
        <f t="shared" si="1"/>
        <v>Очікую</v>
      </c>
      <c r="AB56" s="34"/>
      <c r="AC56" s="40"/>
    </row>
    <row r="57" spans="1:29" s="11" customFormat="1" ht="15" customHeight="1" x14ac:dyDescent="0.25">
      <c r="A57" s="41"/>
      <c r="B57" s="32"/>
      <c r="C57" s="45"/>
      <c r="D57" s="45">
        <v>48</v>
      </c>
      <c r="E57" s="46"/>
      <c r="F57" s="45"/>
      <c r="G57" s="45"/>
      <c r="H57" s="45"/>
      <c r="I57" s="45"/>
      <c r="J57" s="45"/>
      <c r="K57" s="45"/>
      <c r="L57" s="45"/>
      <c r="M57" s="45"/>
      <c r="N57" s="45"/>
      <c r="O57" s="45"/>
      <c r="P57" s="45"/>
      <c r="Q57" s="45"/>
      <c r="R57" s="45"/>
      <c r="S57" s="45"/>
      <c r="T57" s="45"/>
      <c r="U57" s="45"/>
      <c r="V57" s="45"/>
      <c r="W57" s="45"/>
      <c r="X57" s="45"/>
      <c r="Y57" s="45"/>
      <c r="Z57" s="47" t="str">
        <f t="shared" si="0"/>
        <v>Очікую</v>
      </c>
      <c r="AA57" s="47" t="str">
        <f t="shared" si="1"/>
        <v>Очікую</v>
      </c>
      <c r="AB57" s="34"/>
      <c r="AC57" s="40"/>
    </row>
    <row r="58" spans="1:29" s="11" customFormat="1" ht="15" customHeight="1" x14ac:dyDescent="0.25">
      <c r="A58" s="41"/>
      <c r="B58" s="32"/>
      <c r="C58" s="45"/>
      <c r="D58" s="45">
        <v>49</v>
      </c>
      <c r="E58" s="46"/>
      <c r="F58" s="45"/>
      <c r="G58" s="45"/>
      <c r="H58" s="45"/>
      <c r="I58" s="45"/>
      <c r="J58" s="45"/>
      <c r="K58" s="45"/>
      <c r="L58" s="45"/>
      <c r="M58" s="45"/>
      <c r="N58" s="45"/>
      <c r="O58" s="45"/>
      <c r="P58" s="45"/>
      <c r="Q58" s="45"/>
      <c r="R58" s="45"/>
      <c r="S58" s="45"/>
      <c r="T58" s="45"/>
      <c r="U58" s="45"/>
      <c r="V58" s="45"/>
      <c r="W58" s="45"/>
      <c r="X58" s="45"/>
      <c r="Y58" s="45"/>
      <c r="Z58" s="47" t="str">
        <f t="shared" si="0"/>
        <v>Очікую</v>
      </c>
      <c r="AA58" s="47" t="str">
        <f t="shared" si="1"/>
        <v>Очікую</v>
      </c>
      <c r="AB58" s="34"/>
      <c r="AC58" s="40"/>
    </row>
    <row r="59" spans="1:29" s="11" customFormat="1" ht="15" customHeight="1" x14ac:dyDescent="0.25">
      <c r="A59" s="41"/>
      <c r="B59" s="32"/>
      <c r="C59" s="45"/>
      <c r="D59" s="45">
        <v>50</v>
      </c>
      <c r="E59" s="46"/>
      <c r="F59" s="45"/>
      <c r="G59" s="45"/>
      <c r="H59" s="45"/>
      <c r="I59" s="45"/>
      <c r="J59" s="45"/>
      <c r="K59" s="45"/>
      <c r="L59" s="45"/>
      <c r="M59" s="45"/>
      <c r="N59" s="45"/>
      <c r="O59" s="45"/>
      <c r="P59" s="45"/>
      <c r="Q59" s="45"/>
      <c r="R59" s="45"/>
      <c r="S59" s="45"/>
      <c r="T59" s="45"/>
      <c r="U59" s="45"/>
      <c r="V59" s="45"/>
      <c r="W59" s="45"/>
      <c r="X59" s="45"/>
      <c r="Y59" s="45"/>
      <c r="Z59" s="47" t="str">
        <f t="shared" si="0"/>
        <v>Очікую</v>
      </c>
      <c r="AA59" s="47" t="str">
        <f t="shared" si="1"/>
        <v>Очікую</v>
      </c>
      <c r="AB59" s="34"/>
      <c r="AC59" s="40"/>
    </row>
    <row r="60" spans="1:29" s="11" customFormat="1" ht="15" customHeight="1" x14ac:dyDescent="0.25">
      <c r="A60" s="41"/>
      <c r="B60" s="32"/>
      <c r="C60" s="45"/>
      <c r="D60" s="45">
        <v>51</v>
      </c>
      <c r="E60" s="46"/>
      <c r="F60" s="45"/>
      <c r="G60" s="45"/>
      <c r="H60" s="45"/>
      <c r="I60" s="45"/>
      <c r="J60" s="45"/>
      <c r="K60" s="45"/>
      <c r="L60" s="45"/>
      <c r="M60" s="45"/>
      <c r="N60" s="45"/>
      <c r="O60" s="45"/>
      <c r="P60" s="45"/>
      <c r="Q60" s="45"/>
      <c r="R60" s="45"/>
      <c r="S60" s="45"/>
      <c r="T60" s="45"/>
      <c r="U60" s="45"/>
      <c r="V60" s="45"/>
      <c r="W60" s="45"/>
      <c r="X60" s="45"/>
      <c r="Y60" s="45"/>
      <c r="Z60" s="47" t="str">
        <f t="shared" si="0"/>
        <v>Очікую</v>
      </c>
      <c r="AA60" s="47" t="str">
        <f t="shared" si="1"/>
        <v>Очікую</v>
      </c>
      <c r="AB60" s="34"/>
      <c r="AC60" s="40"/>
    </row>
    <row r="61" spans="1:29" s="11" customFormat="1" ht="15" customHeight="1" x14ac:dyDescent="0.25">
      <c r="A61" s="41"/>
      <c r="B61" s="32"/>
      <c r="C61" s="45"/>
      <c r="D61" s="45">
        <v>52</v>
      </c>
      <c r="E61" s="46"/>
      <c r="F61" s="45"/>
      <c r="G61" s="45"/>
      <c r="H61" s="45"/>
      <c r="I61" s="45"/>
      <c r="J61" s="45"/>
      <c r="K61" s="45"/>
      <c r="L61" s="45"/>
      <c r="M61" s="45"/>
      <c r="N61" s="45"/>
      <c r="O61" s="45"/>
      <c r="P61" s="45"/>
      <c r="Q61" s="45"/>
      <c r="R61" s="45"/>
      <c r="S61" s="45"/>
      <c r="T61" s="45"/>
      <c r="U61" s="45"/>
      <c r="V61" s="45"/>
      <c r="W61" s="45"/>
      <c r="X61" s="45"/>
      <c r="Y61" s="45"/>
      <c r="Z61" s="47" t="str">
        <f t="shared" si="0"/>
        <v>Очікую</v>
      </c>
      <c r="AA61" s="47" t="str">
        <f t="shared" si="1"/>
        <v>Очікую</v>
      </c>
      <c r="AB61" s="34"/>
      <c r="AC61" s="40"/>
    </row>
    <row r="62" spans="1:29" s="11" customFormat="1" ht="15" customHeight="1" x14ac:dyDescent="0.25">
      <c r="A62" s="41"/>
      <c r="B62" s="32"/>
      <c r="C62" s="45"/>
      <c r="D62" s="45">
        <v>53</v>
      </c>
      <c r="E62" s="46"/>
      <c r="F62" s="45"/>
      <c r="G62" s="45"/>
      <c r="H62" s="45"/>
      <c r="I62" s="45"/>
      <c r="J62" s="45"/>
      <c r="K62" s="45"/>
      <c r="L62" s="45"/>
      <c r="M62" s="45"/>
      <c r="N62" s="45"/>
      <c r="O62" s="45"/>
      <c r="P62" s="45"/>
      <c r="Q62" s="45"/>
      <c r="R62" s="45"/>
      <c r="S62" s="45"/>
      <c r="T62" s="45"/>
      <c r="U62" s="45"/>
      <c r="V62" s="45"/>
      <c r="W62" s="45"/>
      <c r="X62" s="45"/>
      <c r="Y62" s="45"/>
      <c r="Z62" s="47" t="str">
        <f t="shared" si="0"/>
        <v>Очікую</v>
      </c>
      <c r="AA62" s="47" t="str">
        <f t="shared" si="1"/>
        <v>Очікую</v>
      </c>
      <c r="AB62" s="34"/>
      <c r="AC62" s="40"/>
    </row>
    <row r="63" spans="1:29" s="11" customFormat="1" ht="15" customHeight="1" x14ac:dyDescent="0.25">
      <c r="A63" s="41"/>
      <c r="B63" s="32"/>
      <c r="C63" s="45"/>
      <c r="D63" s="45">
        <v>54</v>
      </c>
      <c r="E63" s="46"/>
      <c r="F63" s="45"/>
      <c r="G63" s="45"/>
      <c r="H63" s="45"/>
      <c r="I63" s="45"/>
      <c r="J63" s="45"/>
      <c r="K63" s="45"/>
      <c r="L63" s="45"/>
      <c r="M63" s="45"/>
      <c r="N63" s="45"/>
      <c r="O63" s="45"/>
      <c r="P63" s="45"/>
      <c r="Q63" s="45"/>
      <c r="R63" s="45"/>
      <c r="S63" s="45"/>
      <c r="T63" s="45"/>
      <c r="U63" s="45"/>
      <c r="V63" s="45"/>
      <c r="W63" s="45"/>
      <c r="X63" s="45"/>
      <c r="Y63" s="45"/>
      <c r="Z63" s="47" t="str">
        <f t="shared" si="0"/>
        <v>Очікую</v>
      </c>
      <c r="AA63" s="47" t="str">
        <f t="shared" si="1"/>
        <v>Очікую</v>
      </c>
      <c r="AB63" s="34"/>
      <c r="AC63" s="40"/>
    </row>
    <row r="64" spans="1:29" s="11" customFormat="1" ht="15" customHeight="1" x14ac:dyDescent="0.25">
      <c r="A64" s="41"/>
      <c r="B64" s="32"/>
      <c r="C64" s="45"/>
      <c r="D64" s="45">
        <v>55</v>
      </c>
      <c r="E64" s="46"/>
      <c r="F64" s="45"/>
      <c r="G64" s="45"/>
      <c r="H64" s="45"/>
      <c r="I64" s="45"/>
      <c r="J64" s="45"/>
      <c r="K64" s="45"/>
      <c r="L64" s="45"/>
      <c r="M64" s="45"/>
      <c r="N64" s="45"/>
      <c r="O64" s="45"/>
      <c r="P64" s="45"/>
      <c r="Q64" s="45"/>
      <c r="R64" s="45"/>
      <c r="S64" s="45"/>
      <c r="T64" s="45"/>
      <c r="U64" s="45"/>
      <c r="V64" s="45"/>
      <c r="W64" s="45"/>
      <c r="X64" s="45"/>
      <c r="Y64" s="45"/>
      <c r="Z64" s="47" t="str">
        <f t="shared" si="0"/>
        <v>Очікую</v>
      </c>
      <c r="AA64" s="47" t="str">
        <f t="shared" si="1"/>
        <v>Очікую</v>
      </c>
      <c r="AB64" s="34"/>
      <c r="AC64" s="40"/>
    </row>
    <row r="65" spans="1:29" s="11" customFormat="1" ht="15" customHeight="1" x14ac:dyDescent="0.25">
      <c r="A65" s="41"/>
      <c r="B65" s="32"/>
      <c r="C65" s="45"/>
      <c r="D65" s="45">
        <v>56</v>
      </c>
      <c r="E65" s="46"/>
      <c r="F65" s="45"/>
      <c r="G65" s="45"/>
      <c r="H65" s="45"/>
      <c r="I65" s="45"/>
      <c r="J65" s="45"/>
      <c r="K65" s="45"/>
      <c r="L65" s="45"/>
      <c r="M65" s="45"/>
      <c r="N65" s="45"/>
      <c r="O65" s="45"/>
      <c r="P65" s="45"/>
      <c r="Q65" s="45"/>
      <c r="R65" s="45"/>
      <c r="S65" s="45"/>
      <c r="T65" s="45"/>
      <c r="U65" s="45"/>
      <c r="V65" s="45"/>
      <c r="W65" s="45"/>
      <c r="X65" s="45"/>
      <c r="Y65" s="45"/>
      <c r="Z65" s="47" t="str">
        <f t="shared" si="0"/>
        <v>Очікую</v>
      </c>
      <c r="AA65" s="47" t="str">
        <f t="shared" si="1"/>
        <v>Очікую</v>
      </c>
      <c r="AB65" s="34"/>
      <c r="AC65" s="40"/>
    </row>
    <row r="66" spans="1:29" s="11" customFormat="1" ht="15" customHeight="1" x14ac:dyDescent="0.25">
      <c r="A66" s="41"/>
      <c r="B66" s="32"/>
      <c r="C66" s="45"/>
      <c r="D66" s="45">
        <v>57</v>
      </c>
      <c r="E66" s="46"/>
      <c r="F66" s="45"/>
      <c r="G66" s="45"/>
      <c r="H66" s="45"/>
      <c r="I66" s="45"/>
      <c r="J66" s="45"/>
      <c r="K66" s="45"/>
      <c r="L66" s="45"/>
      <c r="M66" s="45"/>
      <c r="N66" s="45"/>
      <c r="O66" s="45"/>
      <c r="P66" s="45"/>
      <c r="Q66" s="45"/>
      <c r="R66" s="45"/>
      <c r="S66" s="45"/>
      <c r="T66" s="45"/>
      <c r="U66" s="45"/>
      <c r="V66" s="45"/>
      <c r="W66" s="45"/>
      <c r="X66" s="45"/>
      <c r="Y66" s="45"/>
      <c r="Z66" s="47" t="str">
        <f t="shared" si="0"/>
        <v>Очікую</v>
      </c>
      <c r="AA66" s="47" t="str">
        <f t="shared" si="1"/>
        <v>Очікую</v>
      </c>
      <c r="AB66" s="34"/>
      <c r="AC66" s="40"/>
    </row>
    <row r="67" spans="1:29" s="11" customFormat="1" ht="15" customHeight="1" x14ac:dyDescent="0.25">
      <c r="A67" s="41"/>
      <c r="B67" s="32"/>
      <c r="C67" s="45"/>
      <c r="D67" s="45">
        <v>58</v>
      </c>
      <c r="E67" s="46"/>
      <c r="F67" s="45"/>
      <c r="G67" s="45"/>
      <c r="H67" s="45"/>
      <c r="I67" s="45"/>
      <c r="J67" s="45"/>
      <c r="K67" s="45"/>
      <c r="L67" s="45"/>
      <c r="M67" s="45"/>
      <c r="N67" s="45"/>
      <c r="O67" s="45"/>
      <c r="P67" s="45"/>
      <c r="Q67" s="45"/>
      <c r="R67" s="45"/>
      <c r="S67" s="45"/>
      <c r="T67" s="45"/>
      <c r="U67" s="45"/>
      <c r="V67" s="45"/>
      <c r="W67" s="45"/>
      <c r="X67" s="45"/>
      <c r="Y67" s="45"/>
      <c r="Z67" s="47" t="str">
        <f t="shared" si="0"/>
        <v>Очікую</v>
      </c>
      <c r="AA67" s="47" t="str">
        <f t="shared" si="1"/>
        <v>Очікую</v>
      </c>
      <c r="AB67" s="34"/>
      <c r="AC67" s="40"/>
    </row>
    <row r="68" spans="1:29" s="11" customFormat="1" ht="15" customHeight="1" x14ac:dyDescent="0.25">
      <c r="A68" s="41"/>
      <c r="B68" s="32"/>
      <c r="C68" s="45"/>
      <c r="D68" s="45">
        <v>59</v>
      </c>
      <c r="E68" s="46"/>
      <c r="F68" s="45"/>
      <c r="G68" s="45"/>
      <c r="H68" s="45"/>
      <c r="I68" s="45"/>
      <c r="J68" s="45"/>
      <c r="K68" s="45"/>
      <c r="L68" s="45"/>
      <c r="M68" s="45"/>
      <c r="N68" s="45"/>
      <c r="O68" s="45"/>
      <c r="P68" s="45"/>
      <c r="Q68" s="45"/>
      <c r="R68" s="45"/>
      <c r="S68" s="45"/>
      <c r="T68" s="45"/>
      <c r="U68" s="45"/>
      <c r="V68" s="45"/>
      <c r="W68" s="45"/>
      <c r="X68" s="45"/>
      <c r="Y68" s="45"/>
      <c r="Z68" s="47" t="str">
        <f t="shared" si="0"/>
        <v>Очікую</v>
      </c>
      <c r="AA68" s="47" t="str">
        <f t="shared" si="1"/>
        <v>Очікую</v>
      </c>
      <c r="AB68" s="34"/>
      <c r="AC68" s="40"/>
    </row>
    <row r="69" spans="1:29" s="11" customFormat="1" ht="15" customHeight="1" x14ac:dyDescent="0.25">
      <c r="A69" s="41"/>
      <c r="B69" s="32"/>
      <c r="C69" s="45"/>
      <c r="D69" s="45">
        <v>60</v>
      </c>
      <c r="E69" s="46"/>
      <c r="F69" s="45"/>
      <c r="G69" s="45"/>
      <c r="H69" s="45"/>
      <c r="I69" s="45"/>
      <c r="J69" s="45"/>
      <c r="K69" s="45"/>
      <c r="L69" s="45"/>
      <c r="M69" s="45"/>
      <c r="N69" s="45"/>
      <c r="O69" s="45"/>
      <c r="P69" s="45"/>
      <c r="Q69" s="45"/>
      <c r="R69" s="45"/>
      <c r="S69" s="45"/>
      <c r="T69" s="45"/>
      <c r="U69" s="45"/>
      <c r="V69" s="45"/>
      <c r="W69" s="45"/>
      <c r="X69" s="45"/>
      <c r="Y69" s="45"/>
      <c r="Z69" s="47" t="str">
        <f t="shared" si="0"/>
        <v>Очікую</v>
      </c>
      <c r="AA69" s="47" t="str">
        <f t="shared" si="1"/>
        <v>Очікую</v>
      </c>
      <c r="AB69" s="34"/>
      <c r="AC69" s="40"/>
    </row>
    <row r="70" spans="1:29" s="11" customFormat="1" ht="15" customHeight="1" x14ac:dyDescent="0.25">
      <c r="A70" s="41"/>
      <c r="B70" s="32"/>
      <c r="C70" s="45"/>
      <c r="D70" s="45">
        <v>61</v>
      </c>
      <c r="E70" s="46"/>
      <c r="F70" s="45"/>
      <c r="G70" s="45"/>
      <c r="H70" s="45"/>
      <c r="I70" s="45"/>
      <c r="J70" s="45"/>
      <c r="K70" s="45"/>
      <c r="L70" s="45"/>
      <c r="M70" s="45"/>
      <c r="N70" s="45"/>
      <c r="O70" s="45"/>
      <c r="P70" s="45"/>
      <c r="Q70" s="45"/>
      <c r="R70" s="45"/>
      <c r="S70" s="45"/>
      <c r="T70" s="45"/>
      <c r="U70" s="45"/>
      <c r="V70" s="45"/>
      <c r="W70" s="45"/>
      <c r="X70" s="45"/>
      <c r="Y70" s="45"/>
      <c r="Z70" s="47" t="str">
        <f t="shared" si="0"/>
        <v>Очікую</v>
      </c>
      <c r="AA70" s="47" t="str">
        <f t="shared" si="1"/>
        <v>Очікую</v>
      </c>
      <c r="AB70" s="34"/>
      <c r="AC70" s="40"/>
    </row>
    <row r="71" spans="1:29" s="11" customFormat="1" ht="15" customHeight="1" x14ac:dyDescent="0.25">
      <c r="A71" s="41"/>
      <c r="B71" s="32"/>
      <c r="C71" s="45"/>
      <c r="D71" s="45">
        <v>62</v>
      </c>
      <c r="E71" s="46"/>
      <c r="F71" s="45"/>
      <c r="G71" s="45"/>
      <c r="H71" s="45"/>
      <c r="I71" s="45"/>
      <c r="J71" s="45"/>
      <c r="K71" s="45"/>
      <c r="L71" s="45"/>
      <c r="M71" s="45"/>
      <c r="N71" s="45"/>
      <c r="O71" s="45"/>
      <c r="P71" s="45"/>
      <c r="Q71" s="45"/>
      <c r="R71" s="45"/>
      <c r="S71" s="45"/>
      <c r="T71" s="45"/>
      <c r="U71" s="45"/>
      <c r="V71" s="45"/>
      <c r="W71" s="45"/>
      <c r="X71" s="45"/>
      <c r="Y71" s="45"/>
      <c r="Z71" s="47" t="str">
        <f t="shared" si="0"/>
        <v>Очікую</v>
      </c>
      <c r="AA71" s="47" t="str">
        <f t="shared" si="1"/>
        <v>Очікую</v>
      </c>
      <c r="AB71" s="34"/>
      <c r="AC71" s="40"/>
    </row>
    <row r="72" spans="1:29" s="11" customFormat="1" ht="15" customHeight="1" x14ac:dyDescent="0.25">
      <c r="A72" s="41"/>
      <c r="B72" s="32"/>
      <c r="C72" s="45"/>
      <c r="D72" s="45">
        <v>63</v>
      </c>
      <c r="E72" s="46"/>
      <c r="F72" s="45"/>
      <c r="G72" s="45"/>
      <c r="H72" s="45"/>
      <c r="I72" s="45"/>
      <c r="J72" s="45"/>
      <c r="K72" s="45"/>
      <c r="L72" s="45"/>
      <c r="M72" s="45"/>
      <c r="N72" s="45"/>
      <c r="O72" s="45"/>
      <c r="P72" s="45"/>
      <c r="Q72" s="45"/>
      <c r="R72" s="45"/>
      <c r="S72" s="45"/>
      <c r="T72" s="45"/>
      <c r="U72" s="45"/>
      <c r="V72" s="45"/>
      <c r="W72" s="45"/>
      <c r="X72" s="45"/>
      <c r="Y72" s="45"/>
      <c r="Z72" s="47" t="str">
        <f t="shared" si="0"/>
        <v>Очікую</v>
      </c>
      <c r="AA72" s="47" t="str">
        <f t="shared" si="1"/>
        <v>Очікую</v>
      </c>
      <c r="AB72" s="34"/>
      <c r="AC72" s="40"/>
    </row>
    <row r="73" spans="1:29" s="11" customFormat="1" ht="15" customHeight="1" x14ac:dyDescent="0.25">
      <c r="A73" s="41"/>
      <c r="B73" s="32"/>
      <c r="C73" s="45"/>
      <c r="D73" s="45">
        <v>64</v>
      </c>
      <c r="E73" s="46"/>
      <c r="F73" s="45"/>
      <c r="G73" s="45"/>
      <c r="H73" s="45"/>
      <c r="I73" s="45"/>
      <c r="J73" s="45"/>
      <c r="K73" s="45"/>
      <c r="L73" s="45"/>
      <c r="M73" s="45"/>
      <c r="N73" s="45"/>
      <c r="O73" s="45"/>
      <c r="P73" s="45"/>
      <c r="Q73" s="45"/>
      <c r="R73" s="45"/>
      <c r="S73" s="45"/>
      <c r="T73" s="45"/>
      <c r="U73" s="45"/>
      <c r="V73" s="45"/>
      <c r="W73" s="45"/>
      <c r="X73" s="45"/>
      <c r="Y73" s="45"/>
      <c r="Z73" s="47" t="str">
        <f t="shared" si="0"/>
        <v>Очікую</v>
      </c>
      <c r="AA73" s="47" t="str">
        <f t="shared" si="1"/>
        <v>Очікую</v>
      </c>
      <c r="AB73" s="34"/>
      <c r="AC73" s="40"/>
    </row>
    <row r="74" spans="1:29" s="11" customFormat="1" ht="15" customHeight="1" x14ac:dyDescent="0.25">
      <c r="A74" s="41"/>
      <c r="B74" s="32"/>
      <c r="C74" s="45"/>
      <c r="D74" s="45">
        <v>65</v>
      </c>
      <c r="E74" s="46"/>
      <c r="F74" s="45"/>
      <c r="G74" s="45"/>
      <c r="H74" s="45"/>
      <c r="I74" s="45"/>
      <c r="J74" s="45"/>
      <c r="K74" s="45"/>
      <c r="L74" s="45"/>
      <c r="M74" s="45"/>
      <c r="N74" s="45"/>
      <c r="O74" s="45"/>
      <c r="P74" s="45"/>
      <c r="Q74" s="45"/>
      <c r="R74" s="45"/>
      <c r="S74" s="45"/>
      <c r="T74" s="45"/>
      <c r="U74" s="45"/>
      <c r="V74" s="45"/>
      <c r="W74" s="45"/>
      <c r="X74" s="45"/>
      <c r="Y74" s="45"/>
      <c r="Z74" s="47" t="str">
        <f t="shared" si="0"/>
        <v>Очікую</v>
      </c>
      <c r="AA74" s="47" t="str">
        <f t="shared" si="1"/>
        <v>Очікую</v>
      </c>
      <c r="AB74" s="34"/>
      <c r="AC74" s="40"/>
    </row>
    <row r="75" spans="1:29" s="11" customFormat="1" ht="15" customHeight="1" x14ac:dyDescent="0.25">
      <c r="A75" s="41"/>
      <c r="B75" s="32"/>
      <c r="C75" s="45"/>
      <c r="D75" s="45">
        <v>66</v>
      </c>
      <c r="E75" s="46"/>
      <c r="F75" s="45"/>
      <c r="G75" s="45"/>
      <c r="H75" s="45"/>
      <c r="I75" s="45"/>
      <c r="J75" s="45"/>
      <c r="K75" s="45"/>
      <c r="L75" s="45"/>
      <c r="M75" s="45"/>
      <c r="N75" s="45"/>
      <c r="O75" s="45"/>
      <c r="P75" s="45"/>
      <c r="Q75" s="45"/>
      <c r="R75" s="45"/>
      <c r="S75" s="45"/>
      <c r="T75" s="45"/>
      <c r="U75" s="45"/>
      <c r="V75" s="45"/>
      <c r="W75" s="45"/>
      <c r="X75" s="45"/>
      <c r="Y75" s="45"/>
      <c r="Z75" s="47" t="str">
        <f t="shared" ref="Z75:Z109" si="2">IF(COUNTIF(F75:Y75,"=*")&gt;0,IF($C75="К","-"," - "),IF(COUNTIF(F75:Y75,"&lt;4")&gt;0,IF(C75="К","-"," - "),(IFERROR(AVERAGE(F75:Y75),"Очікую"))))</f>
        <v>Очікую</v>
      </c>
      <c r="AA75" s="47" t="str">
        <f t="shared" ref="AA75:AA109" si="3">IFERROR(Z75/12*90,"Очікую")</f>
        <v>Очікую</v>
      </c>
      <c r="AB75" s="34"/>
      <c r="AC75" s="40"/>
    </row>
    <row r="76" spans="1:29" s="11" customFormat="1" ht="15" customHeight="1" x14ac:dyDescent="0.25">
      <c r="A76" s="41"/>
      <c r="B76" s="32"/>
      <c r="C76" s="45"/>
      <c r="D76" s="45">
        <v>67</v>
      </c>
      <c r="E76" s="46"/>
      <c r="F76" s="45"/>
      <c r="G76" s="45"/>
      <c r="H76" s="45"/>
      <c r="I76" s="45"/>
      <c r="J76" s="45"/>
      <c r="K76" s="45"/>
      <c r="L76" s="45"/>
      <c r="M76" s="45"/>
      <c r="N76" s="45"/>
      <c r="O76" s="45"/>
      <c r="P76" s="45"/>
      <c r="Q76" s="45"/>
      <c r="R76" s="45"/>
      <c r="S76" s="45"/>
      <c r="T76" s="45"/>
      <c r="U76" s="45"/>
      <c r="V76" s="45"/>
      <c r="W76" s="45"/>
      <c r="X76" s="45"/>
      <c r="Y76" s="45"/>
      <c r="Z76" s="47" t="str">
        <f t="shared" si="2"/>
        <v>Очікую</v>
      </c>
      <c r="AA76" s="47" t="str">
        <f t="shared" si="3"/>
        <v>Очікую</v>
      </c>
      <c r="AB76" s="34"/>
      <c r="AC76" s="40"/>
    </row>
    <row r="77" spans="1:29" s="11" customFormat="1" ht="15" customHeight="1" x14ac:dyDescent="0.25">
      <c r="A77" s="41"/>
      <c r="B77" s="32"/>
      <c r="C77" s="45"/>
      <c r="D77" s="45">
        <v>68</v>
      </c>
      <c r="E77" s="46"/>
      <c r="F77" s="45"/>
      <c r="G77" s="45"/>
      <c r="H77" s="45"/>
      <c r="I77" s="45"/>
      <c r="J77" s="45"/>
      <c r="K77" s="45"/>
      <c r="L77" s="45"/>
      <c r="M77" s="45"/>
      <c r="N77" s="45"/>
      <c r="O77" s="45"/>
      <c r="P77" s="45"/>
      <c r="Q77" s="45"/>
      <c r="R77" s="45"/>
      <c r="S77" s="45"/>
      <c r="T77" s="45"/>
      <c r="U77" s="45"/>
      <c r="V77" s="45"/>
      <c r="W77" s="45"/>
      <c r="X77" s="45"/>
      <c r="Y77" s="45"/>
      <c r="Z77" s="47" t="str">
        <f t="shared" si="2"/>
        <v>Очікую</v>
      </c>
      <c r="AA77" s="47" t="str">
        <f t="shared" si="3"/>
        <v>Очікую</v>
      </c>
      <c r="AB77" s="34"/>
      <c r="AC77" s="40"/>
    </row>
    <row r="78" spans="1:29" s="11" customFormat="1" ht="15" customHeight="1" x14ac:dyDescent="0.25">
      <c r="A78" s="41"/>
      <c r="B78" s="32"/>
      <c r="C78" s="45"/>
      <c r="D78" s="45">
        <v>69</v>
      </c>
      <c r="E78" s="46"/>
      <c r="F78" s="45"/>
      <c r="G78" s="45"/>
      <c r="H78" s="45"/>
      <c r="I78" s="45"/>
      <c r="J78" s="45"/>
      <c r="K78" s="45"/>
      <c r="L78" s="45"/>
      <c r="M78" s="45"/>
      <c r="N78" s="45"/>
      <c r="O78" s="45"/>
      <c r="P78" s="45"/>
      <c r="Q78" s="45"/>
      <c r="R78" s="45"/>
      <c r="S78" s="45"/>
      <c r="T78" s="45"/>
      <c r="U78" s="45"/>
      <c r="V78" s="45"/>
      <c r="W78" s="45"/>
      <c r="X78" s="45"/>
      <c r="Y78" s="45"/>
      <c r="Z78" s="47" t="str">
        <f t="shared" si="2"/>
        <v>Очікую</v>
      </c>
      <c r="AA78" s="47" t="str">
        <f t="shared" si="3"/>
        <v>Очікую</v>
      </c>
      <c r="AB78" s="34"/>
      <c r="AC78" s="40"/>
    </row>
    <row r="79" spans="1:29" s="11" customFormat="1" ht="15" customHeight="1" x14ac:dyDescent="0.25">
      <c r="A79" s="41"/>
      <c r="B79" s="32"/>
      <c r="C79" s="45"/>
      <c r="D79" s="45">
        <v>70</v>
      </c>
      <c r="E79" s="46"/>
      <c r="F79" s="45"/>
      <c r="G79" s="45"/>
      <c r="H79" s="45"/>
      <c r="I79" s="45"/>
      <c r="J79" s="45"/>
      <c r="K79" s="45"/>
      <c r="L79" s="45"/>
      <c r="M79" s="45"/>
      <c r="N79" s="45"/>
      <c r="O79" s="45"/>
      <c r="P79" s="45"/>
      <c r="Q79" s="45"/>
      <c r="R79" s="45"/>
      <c r="S79" s="45"/>
      <c r="T79" s="45"/>
      <c r="U79" s="45"/>
      <c r="V79" s="45"/>
      <c r="W79" s="45"/>
      <c r="X79" s="45"/>
      <c r="Y79" s="45"/>
      <c r="Z79" s="47" t="str">
        <f t="shared" si="2"/>
        <v>Очікую</v>
      </c>
      <c r="AA79" s="47" t="str">
        <f t="shared" si="3"/>
        <v>Очікую</v>
      </c>
      <c r="AB79" s="34"/>
      <c r="AC79" s="40"/>
    </row>
    <row r="80" spans="1:29" s="11" customFormat="1" ht="15" customHeight="1" x14ac:dyDescent="0.25">
      <c r="A80" s="41"/>
      <c r="B80" s="32"/>
      <c r="C80" s="45"/>
      <c r="D80" s="45">
        <v>71</v>
      </c>
      <c r="E80" s="46"/>
      <c r="F80" s="45"/>
      <c r="G80" s="45"/>
      <c r="H80" s="45"/>
      <c r="I80" s="45"/>
      <c r="J80" s="45"/>
      <c r="K80" s="45"/>
      <c r="L80" s="45"/>
      <c r="M80" s="45"/>
      <c r="N80" s="45"/>
      <c r="O80" s="45"/>
      <c r="P80" s="45"/>
      <c r="Q80" s="45"/>
      <c r="R80" s="45"/>
      <c r="S80" s="45"/>
      <c r="T80" s="45"/>
      <c r="U80" s="45"/>
      <c r="V80" s="45"/>
      <c r="W80" s="45"/>
      <c r="X80" s="45"/>
      <c r="Y80" s="45"/>
      <c r="Z80" s="47" t="str">
        <f t="shared" si="2"/>
        <v>Очікую</v>
      </c>
      <c r="AA80" s="47" t="str">
        <f t="shared" si="3"/>
        <v>Очікую</v>
      </c>
      <c r="AB80" s="34"/>
      <c r="AC80" s="40"/>
    </row>
    <row r="81" spans="1:29" s="11" customFormat="1" ht="15" customHeight="1" x14ac:dyDescent="0.25">
      <c r="A81" s="41"/>
      <c r="B81" s="32"/>
      <c r="C81" s="45"/>
      <c r="D81" s="45">
        <v>72</v>
      </c>
      <c r="E81" s="46"/>
      <c r="F81" s="45"/>
      <c r="G81" s="45"/>
      <c r="H81" s="45"/>
      <c r="I81" s="45"/>
      <c r="J81" s="45"/>
      <c r="K81" s="45"/>
      <c r="L81" s="45"/>
      <c r="M81" s="45"/>
      <c r="N81" s="45"/>
      <c r="O81" s="45"/>
      <c r="P81" s="45"/>
      <c r="Q81" s="45"/>
      <c r="R81" s="45"/>
      <c r="S81" s="45"/>
      <c r="T81" s="45"/>
      <c r="U81" s="45"/>
      <c r="V81" s="45"/>
      <c r="W81" s="45"/>
      <c r="X81" s="45"/>
      <c r="Y81" s="45"/>
      <c r="Z81" s="47" t="str">
        <f t="shared" si="2"/>
        <v>Очікую</v>
      </c>
      <c r="AA81" s="47" t="str">
        <f t="shared" si="3"/>
        <v>Очікую</v>
      </c>
      <c r="AB81" s="34"/>
      <c r="AC81" s="40"/>
    </row>
    <row r="82" spans="1:29" s="11" customFormat="1" ht="15" customHeight="1" x14ac:dyDescent="0.25">
      <c r="A82" s="41"/>
      <c r="B82" s="32"/>
      <c r="C82" s="45"/>
      <c r="D82" s="45">
        <v>73</v>
      </c>
      <c r="E82" s="46"/>
      <c r="F82" s="45"/>
      <c r="G82" s="45"/>
      <c r="H82" s="45"/>
      <c r="I82" s="45"/>
      <c r="J82" s="45"/>
      <c r="K82" s="45"/>
      <c r="L82" s="45"/>
      <c r="M82" s="45"/>
      <c r="N82" s="45"/>
      <c r="O82" s="45"/>
      <c r="P82" s="45"/>
      <c r="Q82" s="45"/>
      <c r="R82" s="45"/>
      <c r="S82" s="45"/>
      <c r="T82" s="45"/>
      <c r="U82" s="45"/>
      <c r="V82" s="45"/>
      <c r="W82" s="45"/>
      <c r="X82" s="45"/>
      <c r="Y82" s="45"/>
      <c r="Z82" s="47" t="str">
        <f t="shared" si="2"/>
        <v>Очікую</v>
      </c>
      <c r="AA82" s="47" t="str">
        <f t="shared" si="3"/>
        <v>Очікую</v>
      </c>
      <c r="AB82" s="34"/>
      <c r="AC82" s="40"/>
    </row>
    <row r="83" spans="1:29" s="11" customFormat="1" ht="15" customHeight="1" x14ac:dyDescent="0.25">
      <c r="A83" s="41"/>
      <c r="B83" s="32"/>
      <c r="C83" s="45"/>
      <c r="D83" s="45">
        <v>74</v>
      </c>
      <c r="E83" s="46"/>
      <c r="F83" s="45"/>
      <c r="G83" s="45"/>
      <c r="H83" s="45"/>
      <c r="I83" s="45"/>
      <c r="J83" s="45"/>
      <c r="K83" s="45"/>
      <c r="L83" s="45"/>
      <c r="M83" s="45"/>
      <c r="N83" s="45"/>
      <c r="O83" s="45"/>
      <c r="P83" s="45"/>
      <c r="Q83" s="45"/>
      <c r="R83" s="45"/>
      <c r="S83" s="45"/>
      <c r="T83" s="45"/>
      <c r="U83" s="45"/>
      <c r="V83" s="45"/>
      <c r="W83" s="45"/>
      <c r="X83" s="45"/>
      <c r="Y83" s="45"/>
      <c r="Z83" s="47" t="str">
        <f t="shared" si="2"/>
        <v>Очікую</v>
      </c>
      <c r="AA83" s="47" t="str">
        <f t="shared" si="3"/>
        <v>Очікую</v>
      </c>
      <c r="AB83" s="34"/>
      <c r="AC83" s="40"/>
    </row>
    <row r="84" spans="1:29" s="11" customFormat="1" ht="15" customHeight="1" x14ac:dyDescent="0.25">
      <c r="A84" s="41"/>
      <c r="B84" s="32"/>
      <c r="C84" s="45"/>
      <c r="D84" s="45">
        <v>75</v>
      </c>
      <c r="E84" s="46"/>
      <c r="F84" s="45"/>
      <c r="G84" s="45"/>
      <c r="H84" s="45"/>
      <c r="I84" s="45"/>
      <c r="J84" s="45"/>
      <c r="K84" s="45"/>
      <c r="L84" s="45"/>
      <c r="M84" s="45"/>
      <c r="N84" s="45"/>
      <c r="O84" s="45"/>
      <c r="P84" s="45"/>
      <c r="Q84" s="45"/>
      <c r="R84" s="45"/>
      <c r="S84" s="45"/>
      <c r="T84" s="45"/>
      <c r="U84" s="45"/>
      <c r="V84" s="45"/>
      <c r="W84" s="45"/>
      <c r="X84" s="45"/>
      <c r="Y84" s="45"/>
      <c r="Z84" s="47" t="str">
        <f t="shared" si="2"/>
        <v>Очікую</v>
      </c>
      <c r="AA84" s="47" t="str">
        <f t="shared" si="3"/>
        <v>Очікую</v>
      </c>
      <c r="AB84" s="34"/>
      <c r="AC84" s="40"/>
    </row>
    <row r="85" spans="1:29" s="11" customFormat="1" ht="15" customHeight="1" x14ac:dyDescent="0.25">
      <c r="A85" s="41"/>
      <c r="B85" s="32"/>
      <c r="C85" s="45"/>
      <c r="D85" s="45">
        <v>76</v>
      </c>
      <c r="E85" s="46"/>
      <c r="F85" s="45"/>
      <c r="G85" s="45"/>
      <c r="H85" s="45"/>
      <c r="I85" s="45"/>
      <c r="J85" s="45"/>
      <c r="K85" s="45"/>
      <c r="L85" s="45"/>
      <c r="M85" s="45"/>
      <c r="N85" s="45"/>
      <c r="O85" s="45"/>
      <c r="P85" s="45"/>
      <c r="Q85" s="45"/>
      <c r="R85" s="45"/>
      <c r="S85" s="45"/>
      <c r="T85" s="45"/>
      <c r="U85" s="45"/>
      <c r="V85" s="45"/>
      <c r="W85" s="45"/>
      <c r="X85" s="45"/>
      <c r="Y85" s="45"/>
      <c r="Z85" s="47" t="str">
        <f t="shared" si="2"/>
        <v>Очікую</v>
      </c>
      <c r="AA85" s="47" t="str">
        <f t="shared" si="3"/>
        <v>Очікую</v>
      </c>
      <c r="AB85" s="34"/>
      <c r="AC85" s="40"/>
    </row>
    <row r="86" spans="1:29" s="11" customFormat="1" ht="15" customHeight="1" x14ac:dyDescent="0.25">
      <c r="A86" s="41"/>
      <c r="B86" s="32"/>
      <c r="C86" s="45"/>
      <c r="D86" s="45">
        <v>77</v>
      </c>
      <c r="E86" s="46"/>
      <c r="F86" s="45"/>
      <c r="G86" s="45"/>
      <c r="H86" s="45"/>
      <c r="I86" s="45"/>
      <c r="J86" s="45"/>
      <c r="K86" s="45"/>
      <c r="L86" s="45"/>
      <c r="M86" s="45"/>
      <c r="N86" s="45"/>
      <c r="O86" s="45"/>
      <c r="P86" s="45"/>
      <c r="Q86" s="45"/>
      <c r="R86" s="45"/>
      <c r="S86" s="45"/>
      <c r="T86" s="45"/>
      <c r="U86" s="45"/>
      <c r="V86" s="45"/>
      <c r="W86" s="45"/>
      <c r="X86" s="45"/>
      <c r="Y86" s="45"/>
      <c r="Z86" s="47" t="str">
        <f t="shared" si="2"/>
        <v>Очікую</v>
      </c>
      <c r="AA86" s="47" t="str">
        <f t="shared" si="3"/>
        <v>Очікую</v>
      </c>
      <c r="AB86" s="34"/>
      <c r="AC86" s="40"/>
    </row>
    <row r="87" spans="1:29" s="11" customFormat="1" ht="15" customHeight="1" x14ac:dyDescent="0.25">
      <c r="A87" s="41"/>
      <c r="B87" s="32"/>
      <c r="C87" s="45"/>
      <c r="D87" s="45">
        <v>78</v>
      </c>
      <c r="E87" s="46"/>
      <c r="F87" s="45"/>
      <c r="G87" s="45"/>
      <c r="H87" s="45"/>
      <c r="I87" s="45"/>
      <c r="J87" s="45"/>
      <c r="K87" s="45"/>
      <c r="L87" s="45"/>
      <c r="M87" s="45"/>
      <c r="N87" s="45"/>
      <c r="O87" s="45"/>
      <c r="P87" s="45"/>
      <c r="Q87" s="45"/>
      <c r="R87" s="45"/>
      <c r="S87" s="45"/>
      <c r="T87" s="45"/>
      <c r="U87" s="45"/>
      <c r="V87" s="45"/>
      <c r="W87" s="45"/>
      <c r="X87" s="45"/>
      <c r="Y87" s="45"/>
      <c r="Z87" s="47" t="str">
        <f t="shared" si="2"/>
        <v>Очікую</v>
      </c>
      <c r="AA87" s="47" t="str">
        <f t="shared" si="3"/>
        <v>Очікую</v>
      </c>
      <c r="AB87" s="34"/>
      <c r="AC87" s="40"/>
    </row>
    <row r="88" spans="1:29" s="11" customFormat="1" ht="15" customHeight="1" x14ac:dyDescent="0.25">
      <c r="A88" s="41"/>
      <c r="B88" s="32"/>
      <c r="C88" s="45"/>
      <c r="D88" s="45">
        <v>79</v>
      </c>
      <c r="E88" s="46"/>
      <c r="F88" s="45"/>
      <c r="G88" s="45"/>
      <c r="H88" s="45"/>
      <c r="I88" s="45"/>
      <c r="J88" s="45"/>
      <c r="K88" s="45"/>
      <c r="L88" s="45"/>
      <c r="M88" s="45"/>
      <c r="N88" s="45"/>
      <c r="O88" s="45"/>
      <c r="P88" s="45"/>
      <c r="Q88" s="45"/>
      <c r="R88" s="45"/>
      <c r="S88" s="45"/>
      <c r="T88" s="45"/>
      <c r="U88" s="45"/>
      <c r="V88" s="45"/>
      <c r="W88" s="45"/>
      <c r="X88" s="45"/>
      <c r="Y88" s="45"/>
      <c r="Z88" s="47" t="str">
        <f t="shared" si="2"/>
        <v>Очікую</v>
      </c>
      <c r="AA88" s="47" t="str">
        <f t="shared" si="3"/>
        <v>Очікую</v>
      </c>
      <c r="AB88" s="34"/>
      <c r="AC88" s="40"/>
    </row>
    <row r="89" spans="1:29" s="11" customFormat="1" ht="15" customHeight="1" x14ac:dyDescent="0.25">
      <c r="A89" s="41"/>
      <c r="B89" s="32"/>
      <c r="C89" s="45"/>
      <c r="D89" s="45">
        <v>80</v>
      </c>
      <c r="E89" s="46"/>
      <c r="F89" s="45"/>
      <c r="G89" s="45"/>
      <c r="H89" s="45"/>
      <c r="I89" s="45"/>
      <c r="J89" s="45"/>
      <c r="K89" s="45"/>
      <c r="L89" s="45"/>
      <c r="M89" s="45"/>
      <c r="N89" s="45"/>
      <c r="O89" s="45"/>
      <c r="P89" s="45"/>
      <c r="Q89" s="45"/>
      <c r="R89" s="45"/>
      <c r="S89" s="45"/>
      <c r="T89" s="45"/>
      <c r="U89" s="45"/>
      <c r="V89" s="45"/>
      <c r="W89" s="45"/>
      <c r="X89" s="45"/>
      <c r="Y89" s="45"/>
      <c r="Z89" s="47" t="str">
        <f t="shared" si="2"/>
        <v>Очікую</v>
      </c>
      <c r="AA89" s="47" t="str">
        <f t="shared" si="3"/>
        <v>Очікую</v>
      </c>
      <c r="AB89" s="34"/>
      <c r="AC89" s="40"/>
    </row>
    <row r="90" spans="1:29" s="11" customFormat="1" ht="15" customHeight="1" x14ac:dyDescent="0.25">
      <c r="A90" s="41"/>
      <c r="B90" s="32"/>
      <c r="C90" s="45"/>
      <c r="D90" s="45">
        <v>81</v>
      </c>
      <c r="E90" s="46"/>
      <c r="F90" s="45"/>
      <c r="G90" s="45"/>
      <c r="H90" s="45"/>
      <c r="I90" s="45"/>
      <c r="J90" s="45"/>
      <c r="K90" s="45"/>
      <c r="L90" s="45"/>
      <c r="M90" s="45"/>
      <c r="N90" s="45"/>
      <c r="O90" s="45"/>
      <c r="P90" s="45"/>
      <c r="Q90" s="45"/>
      <c r="R90" s="45"/>
      <c r="S90" s="45"/>
      <c r="T90" s="45"/>
      <c r="U90" s="45"/>
      <c r="V90" s="45"/>
      <c r="W90" s="45"/>
      <c r="X90" s="45"/>
      <c r="Y90" s="45"/>
      <c r="Z90" s="47" t="str">
        <f t="shared" si="2"/>
        <v>Очікую</v>
      </c>
      <c r="AA90" s="47" t="str">
        <f t="shared" si="3"/>
        <v>Очікую</v>
      </c>
      <c r="AB90" s="34"/>
      <c r="AC90" s="40"/>
    </row>
    <row r="91" spans="1:29" s="11" customFormat="1" ht="15" customHeight="1" x14ac:dyDescent="0.25">
      <c r="A91" s="41"/>
      <c r="B91" s="32"/>
      <c r="C91" s="45"/>
      <c r="D91" s="45">
        <v>82</v>
      </c>
      <c r="E91" s="46"/>
      <c r="F91" s="45"/>
      <c r="G91" s="45"/>
      <c r="H91" s="45"/>
      <c r="I91" s="45"/>
      <c r="J91" s="45"/>
      <c r="K91" s="45"/>
      <c r="L91" s="45"/>
      <c r="M91" s="45"/>
      <c r="N91" s="45"/>
      <c r="O91" s="45"/>
      <c r="P91" s="45"/>
      <c r="Q91" s="45"/>
      <c r="R91" s="45"/>
      <c r="S91" s="45"/>
      <c r="T91" s="45"/>
      <c r="U91" s="45"/>
      <c r="V91" s="45"/>
      <c r="W91" s="45"/>
      <c r="X91" s="45"/>
      <c r="Y91" s="45"/>
      <c r="Z91" s="47" t="str">
        <f t="shared" si="2"/>
        <v>Очікую</v>
      </c>
      <c r="AA91" s="47" t="str">
        <f t="shared" si="3"/>
        <v>Очікую</v>
      </c>
      <c r="AB91" s="34"/>
      <c r="AC91" s="40"/>
    </row>
    <row r="92" spans="1:29" s="11" customFormat="1" ht="15" customHeight="1" x14ac:dyDescent="0.25">
      <c r="A92" s="41"/>
      <c r="B92" s="32"/>
      <c r="C92" s="45"/>
      <c r="D92" s="45">
        <v>83</v>
      </c>
      <c r="E92" s="46"/>
      <c r="F92" s="45"/>
      <c r="G92" s="45"/>
      <c r="H92" s="45"/>
      <c r="I92" s="45"/>
      <c r="J92" s="45"/>
      <c r="K92" s="45"/>
      <c r="L92" s="45"/>
      <c r="M92" s="45"/>
      <c r="N92" s="45"/>
      <c r="O92" s="45"/>
      <c r="P92" s="45"/>
      <c r="Q92" s="45"/>
      <c r="R92" s="45"/>
      <c r="S92" s="45"/>
      <c r="T92" s="45"/>
      <c r="U92" s="45"/>
      <c r="V92" s="45"/>
      <c r="W92" s="45"/>
      <c r="X92" s="45"/>
      <c r="Y92" s="45"/>
      <c r="Z92" s="47" t="str">
        <f t="shared" si="2"/>
        <v>Очікую</v>
      </c>
      <c r="AA92" s="47" t="str">
        <f t="shared" si="3"/>
        <v>Очікую</v>
      </c>
      <c r="AB92" s="34"/>
      <c r="AC92" s="40"/>
    </row>
    <row r="93" spans="1:29" s="11" customFormat="1" ht="15" customHeight="1" x14ac:dyDescent="0.25">
      <c r="A93" s="41"/>
      <c r="B93" s="32"/>
      <c r="C93" s="45"/>
      <c r="D93" s="45">
        <v>84</v>
      </c>
      <c r="E93" s="46"/>
      <c r="F93" s="45"/>
      <c r="G93" s="45"/>
      <c r="H93" s="45"/>
      <c r="I93" s="45"/>
      <c r="J93" s="45"/>
      <c r="K93" s="45"/>
      <c r="L93" s="45"/>
      <c r="M93" s="45"/>
      <c r="N93" s="45"/>
      <c r="O93" s="45"/>
      <c r="P93" s="45"/>
      <c r="Q93" s="45"/>
      <c r="R93" s="45"/>
      <c r="S93" s="45"/>
      <c r="T93" s="45"/>
      <c r="U93" s="45"/>
      <c r="V93" s="45"/>
      <c r="W93" s="45"/>
      <c r="X93" s="45"/>
      <c r="Y93" s="45"/>
      <c r="Z93" s="47" t="str">
        <f t="shared" si="2"/>
        <v>Очікую</v>
      </c>
      <c r="AA93" s="47" t="str">
        <f t="shared" si="3"/>
        <v>Очікую</v>
      </c>
      <c r="AB93" s="34"/>
      <c r="AC93" s="40"/>
    </row>
    <row r="94" spans="1:29" s="11" customFormat="1" ht="15" customHeight="1" x14ac:dyDescent="0.25">
      <c r="A94" s="41"/>
      <c r="B94" s="32"/>
      <c r="C94" s="45"/>
      <c r="D94" s="45">
        <v>85</v>
      </c>
      <c r="E94" s="46"/>
      <c r="F94" s="45"/>
      <c r="G94" s="45"/>
      <c r="H94" s="45"/>
      <c r="I94" s="45"/>
      <c r="J94" s="45"/>
      <c r="K94" s="45"/>
      <c r="L94" s="45"/>
      <c r="M94" s="45"/>
      <c r="N94" s="45"/>
      <c r="O94" s="45"/>
      <c r="P94" s="45"/>
      <c r="Q94" s="45"/>
      <c r="R94" s="45"/>
      <c r="S94" s="45"/>
      <c r="T94" s="45"/>
      <c r="U94" s="45"/>
      <c r="V94" s="45"/>
      <c r="W94" s="45"/>
      <c r="X94" s="45"/>
      <c r="Y94" s="45"/>
      <c r="Z94" s="47" t="str">
        <f t="shared" si="2"/>
        <v>Очікую</v>
      </c>
      <c r="AA94" s="47" t="str">
        <f t="shared" si="3"/>
        <v>Очікую</v>
      </c>
      <c r="AB94" s="34"/>
      <c r="AC94" s="40"/>
    </row>
    <row r="95" spans="1:29" s="11" customFormat="1" ht="15" customHeight="1" x14ac:dyDescent="0.25">
      <c r="A95" s="41"/>
      <c r="B95" s="32"/>
      <c r="C95" s="45"/>
      <c r="D95" s="45">
        <v>86</v>
      </c>
      <c r="E95" s="46"/>
      <c r="F95" s="45"/>
      <c r="G95" s="45"/>
      <c r="H95" s="45"/>
      <c r="I95" s="45"/>
      <c r="J95" s="45"/>
      <c r="K95" s="45"/>
      <c r="L95" s="45"/>
      <c r="M95" s="45"/>
      <c r="N95" s="45"/>
      <c r="O95" s="45"/>
      <c r="P95" s="45"/>
      <c r="Q95" s="45"/>
      <c r="R95" s="45"/>
      <c r="S95" s="45"/>
      <c r="T95" s="45"/>
      <c r="U95" s="45"/>
      <c r="V95" s="45"/>
      <c r="W95" s="45"/>
      <c r="X95" s="45"/>
      <c r="Y95" s="45"/>
      <c r="Z95" s="47" t="str">
        <f t="shared" si="2"/>
        <v>Очікую</v>
      </c>
      <c r="AA95" s="47" t="str">
        <f t="shared" si="3"/>
        <v>Очікую</v>
      </c>
      <c r="AB95" s="34"/>
      <c r="AC95" s="40"/>
    </row>
    <row r="96" spans="1:29" s="11" customFormat="1" ht="15" customHeight="1" x14ac:dyDescent="0.25">
      <c r="A96" s="41"/>
      <c r="B96" s="32"/>
      <c r="C96" s="45"/>
      <c r="D96" s="45">
        <v>87</v>
      </c>
      <c r="E96" s="46"/>
      <c r="F96" s="45"/>
      <c r="G96" s="45"/>
      <c r="H96" s="45"/>
      <c r="I96" s="45"/>
      <c r="J96" s="45"/>
      <c r="K96" s="45"/>
      <c r="L96" s="45"/>
      <c r="M96" s="45"/>
      <c r="N96" s="45"/>
      <c r="O96" s="45"/>
      <c r="P96" s="45"/>
      <c r="Q96" s="45"/>
      <c r="R96" s="45"/>
      <c r="S96" s="45"/>
      <c r="T96" s="45"/>
      <c r="U96" s="45"/>
      <c r="V96" s="45"/>
      <c r="W96" s="45"/>
      <c r="X96" s="45"/>
      <c r="Y96" s="45"/>
      <c r="Z96" s="47" t="str">
        <f t="shared" si="2"/>
        <v>Очікую</v>
      </c>
      <c r="AA96" s="47" t="str">
        <f t="shared" si="3"/>
        <v>Очікую</v>
      </c>
      <c r="AB96" s="34"/>
      <c r="AC96" s="40"/>
    </row>
    <row r="97" spans="1:29" s="11" customFormat="1" ht="15" customHeight="1" x14ac:dyDescent="0.25">
      <c r="A97" s="41"/>
      <c r="B97" s="32"/>
      <c r="C97" s="45"/>
      <c r="D97" s="45">
        <v>88</v>
      </c>
      <c r="E97" s="46"/>
      <c r="F97" s="45"/>
      <c r="G97" s="45"/>
      <c r="H97" s="45"/>
      <c r="I97" s="45"/>
      <c r="J97" s="45"/>
      <c r="K97" s="45"/>
      <c r="L97" s="45"/>
      <c r="M97" s="45"/>
      <c r="N97" s="45"/>
      <c r="O97" s="45"/>
      <c r="P97" s="45"/>
      <c r="Q97" s="45"/>
      <c r="R97" s="45"/>
      <c r="S97" s="45"/>
      <c r="T97" s="45"/>
      <c r="U97" s="45"/>
      <c r="V97" s="45"/>
      <c r="W97" s="45"/>
      <c r="X97" s="45"/>
      <c r="Y97" s="45"/>
      <c r="Z97" s="47" t="str">
        <f t="shared" si="2"/>
        <v>Очікую</v>
      </c>
      <c r="AA97" s="47" t="str">
        <f t="shared" si="3"/>
        <v>Очікую</v>
      </c>
      <c r="AB97" s="34"/>
      <c r="AC97" s="40"/>
    </row>
    <row r="98" spans="1:29" s="11" customFormat="1" ht="15" customHeight="1" x14ac:dyDescent="0.25">
      <c r="A98" s="41"/>
      <c r="B98" s="32"/>
      <c r="C98" s="45"/>
      <c r="D98" s="45">
        <v>89</v>
      </c>
      <c r="E98" s="46"/>
      <c r="F98" s="45"/>
      <c r="G98" s="45"/>
      <c r="H98" s="45"/>
      <c r="I98" s="45"/>
      <c r="J98" s="45"/>
      <c r="K98" s="45"/>
      <c r="L98" s="45"/>
      <c r="M98" s="45"/>
      <c r="N98" s="45"/>
      <c r="O98" s="45"/>
      <c r="P98" s="45"/>
      <c r="Q98" s="45"/>
      <c r="R98" s="45"/>
      <c r="S98" s="45"/>
      <c r="T98" s="45"/>
      <c r="U98" s="45"/>
      <c r="V98" s="45"/>
      <c r="W98" s="45"/>
      <c r="X98" s="45"/>
      <c r="Y98" s="45"/>
      <c r="Z98" s="47" t="str">
        <f t="shared" si="2"/>
        <v>Очікую</v>
      </c>
      <c r="AA98" s="47" t="str">
        <f t="shared" si="3"/>
        <v>Очікую</v>
      </c>
      <c r="AB98" s="34"/>
      <c r="AC98" s="40"/>
    </row>
    <row r="99" spans="1:29" s="11" customFormat="1" ht="15" customHeight="1" x14ac:dyDescent="0.25">
      <c r="A99" s="41"/>
      <c r="B99" s="32"/>
      <c r="C99" s="45"/>
      <c r="D99" s="45">
        <v>90</v>
      </c>
      <c r="E99" s="46"/>
      <c r="F99" s="45"/>
      <c r="G99" s="45"/>
      <c r="H99" s="45"/>
      <c r="I99" s="45"/>
      <c r="J99" s="45"/>
      <c r="K99" s="45"/>
      <c r="L99" s="45"/>
      <c r="M99" s="45"/>
      <c r="N99" s="45"/>
      <c r="O99" s="45"/>
      <c r="P99" s="45"/>
      <c r="Q99" s="45"/>
      <c r="R99" s="45"/>
      <c r="S99" s="45"/>
      <c r="T99" s="45"/>
      <c r="U99" s="45"/>
      <c r="V99" s="45"/>
      <c r="W99" s="45"/>
      <c r="X99" s="45"/>
      <c r="Y99" s="45"/>
      <c r="Z99" s="47" t="str">
        <f t="shared" si="2"/>
        <v>Очікую</v>
      </c>
      <c r="AA99" s="47" t="str">
        <f t="shared" si="3"/>
        <v>Очікую</v>
      </c>
      <c r="AB99" s="34"/>
      <c r="AC99" s="40"/>
    </row>
    <row r="100" spans="1:29" s="11" customFormat="1" ht="15" customHeight="1" x14ac:dyDescent="0.25">
      <c r="A100" s="41"/>
      <c r="B100" s="32"/>
      <c r="C100" s="45"/>
      <c r="D100" s="45">
        <v>91</v>
      </c>
      <c r="E100" s="46"/>
      <c r="F100" s="45"/>
      <c r="G100" s="45"/>
      <c r="H100" s="45"/>
      <c r="I100" s="45"/>
      <c r="J100" s="45"/>
      <c r="K100" s="45"/>
      <c r="L100" s="45"/>
      <c r="M100" s="45"/>
      <c r="N100" s="45"/>
      <c r="O100" s="45"/>
      <c r="P100" s="45"/>
      <c r="Q100" s="45"/>
      <c r="R100" s="45"/>
      <c r="S100" s="45"/>
      <c r="T100" s="45"/>
      <c r="U100" s="45"/>
      <c r="V100" s="45"/>
      <c r="W100" s="45"/>
      <c r="X100" s="45"/>
      <c r="Y100" s="45"/>
      <c r="Z100" s="47" t="str">
        <f t="shared" si="2"/>
        <v>Очікую</v>
      </c>
      <c r="AA100" s="47" t="str">
        <f t="shared" si="3"/>
        <v>Очікую</v>
      </c>
      <c r="AB100" s="34"/>
      <c r="AC100" s="40"/>
    </row>
    <row r="101" spans="1:29" s="11" customFormat="1" ht="15" customHeight="1" x14ac:dyDescent="0.25">
      <c r="A101" s="41"/>
      <c r="B101" s="32"/>
      <c r="C101" s="45"/>
      <c r="D101" s="45">
        <v>92</v>
      </c>
      <c r="E101" s="46"/>
      <c r="F101" s="45"/>
      <c r="G101" s="45"/>
      <c r="H101" s="45"/>
      <c r="I101" s="45"/>
      <c r="J101" s="45"/>
      <c r="K101" s="45"/>
      <c r="L101" s="45"/>
      <c r="M101" s="45"/>
      <c r="N101" s="45"/>
      <c r="O101" s="45"/>
      <c r="P101" s="45"/>
      <c r="Q101" s="45"/>
      <c r="R101" s="45"/>
      <c r="S101" s="45"/>
      <c r="T101" s="45"/>
      <c r="U101" s="45"/>
      <c r="V101" s="45"/>
      <c r="W101" s="45"/>
      <c r="X101" s="45"/>
      <c r="Y101" s="45"/>
      <c r="Z101" s="47" t="str">
        <f t="shared" si="2"/>
        <v>Очікую</v>
      </c>
      <c r="AA101" s="47" t="str">
        <f t="shared" si="3"/>
        <v>Очікую</v>
      </c>
      <c r="AB101" s="34"/>
      <c r="AC101" s="40"/>
    </row>
    <row r="102" spans="1:29" s="11" customFormat="1" ht="15" customHeight="1" x14ac:dyDescent="0.25">
      <c r="A102" s="41"/>
      <c r="B102" s="32"/>
      <c r="C102" s="45"/>
      <c r="D102" s="45">
        <v>93</v>
      </c>
      <c r="E102" s="46"/>
      <c r="F102" s="45"/>
      <c r="G102" s="45"/>
      <c r="H102" s="45"/>
      <c r="I102" s="45"/>
      <c r="J102" s="45"/>
      <c r="K102" s="45"/>
      <c r="L102" s="45"/>
      <c r="M102" s="45"/>
      <c r="N102" s="45"/>
      <c r="O102" s="45"/>
      <c r="P102" s="45"/>
      <c r="Q102" s="45"/>
      <c r="R102" s="45"/>
      <c r="S102" s="45"/>
      <c r="T102" s="45"/>
      <c r="U102" s="45"/>
      <c r="V102" s="45"/>
      <c r="W102" s="45"/>
      <c r="X102" s="45"/>
      <c r="Y102" s="45"/>
      <c r="Z102" s="47" t="str">
        <f t="shared" si="2"/>
        <v>Очікую</v>
      </c>
      <c r="AA102" s="47" t="str">
        <f t="shared" si="3"/>
        <v>Очікую</v>
      </c>
      <c r="AB102" s="34"/>
      <c r="AC102" s="40"/>
    </row>
    <row r="103" spans="1:29" s="11" customFormat="1" ht="15" customHeight="1" x14ac:dyDescent="0.25">
      <c r="A103" s="41"/>
      <c r="B103" s="32"/>
      <c r="C103" s="45"/>
      <c r="D103" s="45">
        <v>94</v>
      </c>
      <c r="E103" s="46"/>
      <c r="F103" s="45"/>
      <c r="G103" s="45"/>
      <c r="H103" s="45"/>
      <c r="I103" s="45"/>
      <c r="J103" s="45"/>
      <c r="K103" s="45"/>
      <c r="L103" s="45"/>
      <c r="M103" s="45"/>
      <c r="N103" s="45"/>
      <c r="O103" s="45"/>
      <c r="P103" s="45"/>
      <c r="Q103" s="45"/>
      <c r="R103" s="45"/>
      <c r="S103" s="45"/>
      <c r="T103" s="45"/>
      <c r="U103" s="45"/>
      <c r="V103" s="45"/>
      <c r="W103" s="45"/>
      <c r="X103" s="45"/>
      <c r="Y103" s="45"/>
      <c r="Z103" s="47" t="str">
        <f t="shared" si="2"/>
        <v>Очікую</v>
      </c>
      <c r="AA103" s="47" t="str">
        <f t="shared" si="3"/>
        <v>Очікую</v>
      </c>
      <c r="AB103" s="34"/>
      <c r="AC103" s="40"/>
    </row>
    <row r="104" spans="1:29" s="11" customFormat="1" ht="15" customHeight="1" x14ac:dyDescent="0.25">
      <c r="A104" s="41"/>
      <c r="B104" s="32"/>
      <c r="C104" s="45"/>
      <c r="D104" s="45">
        <v>95</v>
      </c>
      <c r="E104" s="46"/>
      <c r="F104" s="45"/>
      <c r="G104" s="45"/>
      <c r="H104" s="45"/>
      <c r="I104" s="45"/>
      <c r="J104" s="45"/>
      <c r="K104" s="45"/>
      <c r="L104" s="45"/>
      <c r="M104" s="45"/>
      <c r="N104" s="45"/>
      <c r="O104" s="45"/>
      <c r="P104" s="45"/>
      <c r="Q104" s="45"/>
      <c r="R104" s="45"/>
      <c r="S104" s="45"/>
      <c r="T104" s="45"/>
      <c r="U104" s="45"/>
      <c r="V104" s="45"/>
      <c r="W104" s="45"/>
      <c r="X104" s="45"/>
      <c r="Y104" s="45"/>
      <c r="Z104" s="47" t="str">
        <f t="shared" si="2"/>
        <v>Очікую</v>
      </c>
      <c r="AA104" s="47" t="str">
        <f t="shared" si="3"/>
        <v>Очікую</v>
      </c>
      <c r="AB104" s="34"/>
      <c r="AC104" s="40"/>
    </row>
    <row r="105" spans="1:29" s="11" customFormat="1" ht="15" customHeight="1" x14ac:dyDescent="0.25">
      <c r="A105" s="41"/>
      <c r="B105" s="32"/>
      <c r="C105" s="45"/>
      <c r="D105" s="45">
        <v>96</v>
      </c>
      <c r="E105" s="46"/>
      <c r="F105" s="45"/>
      <c r="G105" s="45"/>
      <c r="H105" s="45"/>
      <c r="I105" s="45"/>
      <c r="J105" s="45"/>
      <c r="K105" s="45"/>
      <c r="L105" s="45"/>
      <c r="M105" s="45"/>
      <c r="N105" s="45"/>
      <c r="O105" s="45"/>
      <c r="P105" s="45"/>
      <c r="Q105" s="45"/>
      <c r="R105" s="45"/>
      <c r="S105" s="45"/>
      <c r="T105" s="45"/>
      <c r="U105" s="45"/>
      <c r="V105" s="45"/>
      <c r="W105" s="45"/>
      <c r="X105" s="45"/>
      <c r="Y105" s="45"/>
      <c r="Z105" s="47" t="str">
        <f t="shared" si="2"/>
        <v>Очікую</v>
      </c>
      <c r="AA105" s="47" t="str">
        <f t="shared" si="3"/>
        <v>Очікую</v>
      </c>
      <c r="AB105" s="34"/>
      <c r="AC105" s="40"/>
    </row>
    <row r="106" spans="1:29" s="11" customFormat="1" ht="15" customHeight="1" x14ac:dyDescent="0.25">
      <c r="A106" s="41"/>
      <c r="B106" s="32"/>
      <c r="C106" s="45"/>
      <c r="D106" s="45">
        <v>97</v>
      </c>
      <c r="E106" s="46"/>
      <c r="F106" s="45"/>
      <c r="G106" s="45"/>
      <c r="H106" s="45"/>
      <c r="I106" s="45"/>
      <c r="J106" s="45"/>
      <c r="K106" s="45"/>
      <c r="L106" s="45"/>
      <c r="M106" s="45"/>
      <c r="N106" s="45"/>
      <c r="O106" s="45"/>
      <c r="P106" s="45"/>
      <c r="Q106" s="45"/>
      <c r="R106" s="45"/>
      <c r="S106" s="45"/>
      <c r="T106" s="45"/>
      <c r="U106" s="45"/>
      <c r="V106" s="45"/>
      <c r="W106" s="45"/>
      <c r="X106" s="45"/>
      <c r="Y106" s="45"/>
      <c r="Z106" s="47" t="str">
        <f t="shared" si="2"/>
        <v>Очікую</v>
      </c>
      <c r="AA106" s="47" t="str">
        <f t="shared" si="3"/>
        <v>Очікую</v>
      </c>
      <c r="AB106" s="34"/>
      <c r="AC106" s="40"/>
    </row>
    <row r="107" spans="1:29" s="11" customFormat="1" ht="15" customHeight="1" x14ac:dyDescent="0.25">
      <c r="A107" s="41"/>
      <c r="B107" s="32"/>
      <c r="C107" s="45"/>
      <c r="D107" s="45">
        <v>98</v>
      </c>
      <c r="E107" s="46"/>
      <c r="F107" s="45"/>
      <c r="G107" s="45"/>
      <c r="H107" s="45"/>
      <c r="I107" s="45"/>
      <c r="J107" s="45"/>
      <c r="K107" s="45"/>
      <c r="L107" s="45"/>
      <c r="M107" s="45"/>
      <c r="N107" s="45"/>
      <c r="O107" s="45"/>
      <c r="P107" s="45"/>
      <c r="Q107" s="45"/>
      <c r="R107" s="45"/>
      <c r="S107" s="45"/>
      <c r="T107" s="45"/>
      <c r="U107" s="45"/>
      <c r="V107" s="45"/>
      <c r="W107" s="45"/>
      <c r="X107" s="45"/>
      <c r="Y107" s="45"/>
      <c r="Z107" s="47" t="str">
        <f t="shared" si="2"/>
        <v>Очікую</v>
      </c>
      <c r="AA107" s="47" t="str">
        <f t="shared" si="3"/>
        <v>Очікую</v>
      </c>
      <c r="AB107" s="34"/>
      <c r="AC107" s="40"/>
    </row>
    <row r="108" spans="1:29" s="11" customFormat="1" ht="15" customHeight="1" x14ac:dyDescent="0.25">
      <c r="A108" s="41"/>
      <c r="B108" s="32"/>
      <c r="C108" s="45"/>
      <c r="D108" s="45">
        <v>99</v>
      </c>
      <c r="E108" s="46"/>
      <c r="F108" s="45"/>
      <c r="G108" s="45"/>
      <c r="H108" s="45"/>
      <c r="I108" s="45"/>
      <c r="J108" s="45"/>
      <c r="K108" s="45"/>
      <c r="L108" s="45"/>
      <c r="M108" s="45"/>
      <c r="N108" s="45"/>
      <c r="O108" s="45"/>
      <c r="P108" s="45"/>
      <c r="Q108" s="45"/>
      <c r="R108" s="45"/>
      <c r="S108" s="45"/>
      <c r="T108" s="45"/>
      <c r="U108" s="45"/>
      <c r="V108" s="45"/>
      <c r="W108" s="45"/>
      <c r="X108" s="45"/>
      <c r="Y108" s="45"/>
      <c r="Z108" s="47" t="str">
        <f t="shared" si="2"/>
        <v>Очікую</v>
      </c>
      <c r="AA108" s="47" t="str">
        <f t="shared" si="3"/>
        <v>Очікую</v>
      </c>
      <c r="AB108" s="34"/>
      <c r="AC108" s="40"/>
    </row>
    <row r="109" spans="1:29" s="11" customFormat="1" ht="15" customHeight="1" x14ac:dyDescent="0.25">
      <c r="A109" s="41"/>
      <c r="B109" s="32"/>
      <c r="C109" s="45"/>
      <c r="D109" s="45">
        <v>100</v>
      </c>
      <c r="E109" s="46"/>
      <c r="F109" s="45"/>
      <c r="G109" s="45"/>
      <c r="H109" s="45"/>
      <c r="I109" s="45"/>
      <c r="J109" s="45"/>
      <c r="K109" s="45"/>
      <c r="L109" s="45"/>
      <c r="M109" s="45"/>
      <c r="N109" s="45"/>
      <c r="O109" s="45"/>
      <c r="P109" s="45"/>
      <c r="Q109" s="45"/>
      <c r="R109" s="45"/>
      <c r="S109" s="45"/>
      <c r="T109" s="45"/>
      <c r="U109" s="45"/>
      <c r="V109" s="45"/>
      <c r="W109" s="45"/>
      <c r="X109" s="45"/>
      <c r="Y109" s="45"/>
      <c r="Z109" s="47" t="str">
        <f t="shared" si="2"/>
        <v>Очікую</v>
      </c>
      <c r="AA109" s="47" t="str">
        <f t="shared" si="3"/>
        <v>Очікую</v>
      </c>
      <c r="AB109" s="34"/>
      <c r="AC109" s="40"/>
    </row>
    <row r="110" spans="1:29" ht="15" customHeight="1" x14ac:dyDescent="0.25">
      <c r="A110" s="41"/>
      <c r="B110" s="32"/>
      <c r="C110" s="25"/>
      <c r="D110" s="25"/>
      <c r="E110" s="26" t="s">
        <v>9</v>
      </c>
      <c r="F110" s="5" t="str">
        <f>ЛЗ6!F115</f>
        <v>Очікую</v>
      </c>
      <c r="G110" s="6"/>
      <c r="H110" s="6"/>
      <c r="I110" s="6"/>
      <c r="J110" s="6"/>
      <c r="K110" s="6"/>
      <c r="L110" s="25"/>
      <c r="M110" s="27"/>
      <c r="N110" s="25"/>
      <c r="O110" s="25"/>
      <c r="P110" s="25"/>
      <c r="Q110" s="25"/>
      <c r="R110" s="25"/>
      <c r="S110" s="25"/>
      <c r="T110" s="25"/>
      <c r="U110" s="28"/>
      <c r="V110" s="27"/>
      <c r="W110" s="25"/>
      <c r="X110" s="25"/>
      <c r="Y110" s="25"/>
      <c r="Z110" s="25"/>
      <c r="AA110" s="25"/>
      <c r="AB110" s="33"/>
      <c r="AC110" s="40"/>
    </row>
    <row r="111" spans="1:29" ht="15" customHeight="1" x14ac:dyDescent="0.25">
      <c r="A111" s="41"/>
      <c r="B111" s="32"/>
      <c r="C111" s="25"/>
      <c r="D111" s="25"/>
      <c r="E111" s="26" t="s">
        <v>10</v>
      </c>
      <c r="F111" s="5" t="str">
        <f>ЛЗ6!F116</f>
        <v>Очікую</v>
      </c>
      <c r="G111" s="6"/>
      <c r="H111" s="63" t="s">
        <v>11</v>
      </c>
      <c r="I111" s="6"/>
      <c r="J111" s="6"/>
      <c r="K111" s="6"/>
      <c r="L111" s="25"/>
      <c r="M111" s="27"/>
      <c r="N111" s="63"/>
      <c r="O111" s="63"/>
      <c r="P111" s="63"/>
      <c r="Q111" s="63"/>
      <c r="R111" s="6"/>
      <c r="S111" s="6"/>
      <c r="T111" s="6"/>
      <c r="U111" s="64"/>
      <c r="V111" s="64"/>
      <c r="W111" s="64"/>
      <c r="X111" s="64"/>
      <c r="Y111" s="64"/>
      <c r="Z111" s="64"/>
      <c r="AA111" s="25"/>
      <c r="AB111" s="33"/>
      <c r="AC111" s="40"/>
    </row>
    <row r="112" spans="1:29" ht="15" customHeight="1" x14ac:dyDescent="0.25">
      <c r="A112" s="41"/>
      <c r="B112" s="32"/>
      <c r="C112" s="25"/>
      <c r="D112" s="25"/>
      <c r="E112" s="26" t="s">
        <v>12</v>
      </c>
      <c r="F112" s="5">
        <f>ЛЗ6!F117</f>
        <v>0</v>
      </c>
      <c r="G112" s="6"/>
      <c r="H112" s="10"/>
      <c r="I112" s="6"/>
      <c r="J112" s="6"/>
      <c r="K112" s="6"/>
      <c r="L112" s="25"/>
      <c r="M112" s="27"/>
      <c r="N112" s="6"/>
      <c r="O112" s="6"/>
      <c r="P112" s="6"/>
      <c r="Q112" s="6"/>
      <c r="R112" s="6"/>
      <c r="S112" s="6"/>
      <c r="T112" s="6"/>
      <c r="U112" s="10"/>
      <c r="V112" s="10"/>
      <c r="W112" s="6"/>
      <c r="X112" s="6"/>
      <c r="Y112" s="6"/>
      <c r="Z112" s="6"/>
      <c r="AA112" s="25"/>
      <c r="AB112" s="33"/>
      <c r="AC112" s="40"/>
    </row>
    <row r="113" spans="1:29" ht="15" customHeight="1" x14ac:dyDescent="0.25">
      <c r="A113" s="41"/>
      <c r="B113" s="32"/>
      <c r="C113" s="25"/>
      <c r="D113" s="25"/>
      <c r="E113" s="26" t="s">
        <v>13</v>
      </c>
      <c r="F113" s="5" t="str">
        <f>ЛЗ6!F118</f>
        <v>Очікую</v>
      </c>
      <c r="G113" s="6"/>
      <c r="H113" s="64" t="s">
        <v>14</v>
      </c>
      <c r="I113" s="6"/>
      <c r="J113" s="6"/>
      <c r="K113" s="6"/>
      <c r="L113" s="25"/>
      <c r="M113" s="27"/>
      <c r="N113" s="64"/>
      <c r="O113" s="64"/>
      <c r="P113" s="64"/>
      <c r="Q113" s="64"/>
      <c r="R113" s="6"/>
      <c r="S113" s="6"/>
      <c r="T113" s="6"/>
      <c r="U113" s="64"/>
      <c r="V113" s="64"/>
      <c r="W113" s="64"/>
      <c r="X113" s="64"/>
      <c r="Y113" s="64"/>
      <c r="Z113" s="64"/>
      <c r="AA113" s="25"/>
      <c r="AB113" s="33"/>
      <c r="AC113" s="40"/>
    </row>
    <row r="114" spans="1:29" ht="12" customHeight="1" thickBot="1" x14ac:dyDescent="0.3">
      <c r="A114" s="41"/>
      <c r="B114" s="35"/>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c r="AA114" s="36"/>
      <c r="AB114" s="37"/>
      <c r="AC114" s="40"/>
    </row>
    <row r="115" spans="1:29" ht="12" customHeight="1" x14ac:dyDescent="0.25">
      <c r="A115" s="39"/>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40"/>
    </row>
    <row r="116" spans="1:29" ht="0" hidden="1" customHeight="1" x14ac:dyDescent="0.25">
      <c r="A116" s="42"/>
      <c r="AC116" s="42"/>
    </row>
    <row r="117" spans="1:29" ht="0" hidden="1" customHeight="1" x14ac:dyDescent="0.25">
      <c r="A117" s="42"/>
      <c r="AC117" s="42"/>
    </row>
    <row r="118" spans="1:29" ht="0" hidden="1" customHeight="1" x14ac:dyDescent="0.25">
      <c r="A118" s="42"/>
      <c r="AC118" s="42"/>
    </row>
    <row r="119" spans="1:29" ht="0" hidden="1" customHeight="1" x14ac:dyDescent="0.25">
      <c r="A119" s="42"/>
      <c r="AC119" s="42"/>
    </row>
    <row r="120" spans="1:29" ht="0" hidden="1" customHeight="1" x14ac:dyDescent="0.25">
      <c r="A120" s="42"/>
      <c r="B120" s="42"/>
      <c r="C120" s="42"/>
      <c r="D120" s="42"/>
      <c r="E120" s="42"/>
      <c r="F120" s="42"/>
      <c r="G120" s="42"/>
      <c r="H120" s="42"/>
      <c r="I120" s="42"/>
      <c r="J120" s="42"/>
      <c r="K120" s="42"/>
      <c r="L120" s="42"/>
      <c r="M120" s="42"/>
      <c r="N120" s="42"/>
      <c r="O120" s="42"/>
      <c r="P120" s="42"/>
      <c r="Q120" s="42"/>
      <c r="R120" s="42"/>
      <c r="S120" s="42"/>
      <c r="T120" s="42"/>
      <c r="U120" s="42"/>
      <c r="V120" s="42"/>
      <c r="W120" s="42"/>
      <c r="X120" s="42"/>
      <c r="Y120" s="42"/>
      <c r="Z120" s="42"/>
      <c r="AA120" s="42"/>
      <c r="AB120" s="42"/>
      <c r="AC120" s="42"/>
    </row>
  </sheetData>
  <sheetProtection insertRows="0" deleteRows="0"/>
  <mergeCells count="11">
    <mergeCell ref="C8:C9"/>
    <mergeCell ref="D8:D9"/>
    <mergeCell ref="E8:E9"/>
    <mergeCell ref="F8:Y8"/>
    <mergeCell ref="AA8:AA9"/>
    <mergeCell ref="Z8:Z9"/>
    <mergeCell ref="C3:AA3"/>
    <mergeCell ref="C4:AA4"/>
    <mergeCell ref="C5:AA5"/>
    <mergeCell ref="C6:AA6"/>
    <mergeCell ref="C7:AA7"/>
  </mergeCells>
  <printOptions horizontalCentered="1"/>
  <pageMargins left="0.19685039370078741" right="0.19685039370078741" top="0.19685039370078741" bottom="0.19685039370078741" header="0" footer="0"/>
  <pageSetup paperSize="9" scale="32"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E26B0A"/>
    <pageSetUpPr fitToPage="1"/>
  </sheetPr>
  <dimension ref="A1:BO120"/>
  <sheetViews>
    <sheetView zoomScaleNormal="100" workbookViewId="0"/>
  </sheetViews>
  <sheetFormatPr defaultColWidth="0" defaultRowHeight="0" customHeight="1" zeroHeight="1" x14ac:dyDescent="0.25"/>
  <cols>
    <col min="1" max="2" width="2.7109375" style="1" customWidth="1"/>
    <col min="3" max="3" width="4.140625" style="1" customWidth="1"/>
    <col min="4" max="4" width="6.5703125" style="1" customWidth="1"/>
    <col min="5" max="5" width="40.42578125" style="1" customWidth="1"/>
    <col min="6" max="25" width="6.7109375" style="1" customWidth="1"/>
    <col min="26" max="27" width="11.28515625" style="1" customWidth="1"/>
    <col min="28" max="29" width="2.7109375" style="1" customWidth="1"/>
    <col min="30" max="35" width="14.42578125" style="1" hidden="1" customWidth="1"/>
    <col min="36" max="36" width="14.85546875" style="1" hidden="1" customWidth="1"/>
    <col min="37" max="50" width="3.7109375" style="1" hidden="1" customWidth="1"/>
    <col min="51" max="67" width="5.7109375" style="1" hidden="1" customWidth="1"/>
    <col min="68" max="16384" width="14.42578125" style="1" hidden="1"/>
  </cols>
  <sheetData>
    <row r="1" spans="1:29" ht="12" customHeight="1" thickBot="1" x14ac:dyDescent="0.3">
      <c r="A1" s="38" t="s">
        <v>18</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row>
    <row r="2" spans="1:29" ht="12" customHeight="1" x14ac:dyDescent="0.25">
      <c r="A2" s="41"/>
      <c r="B2" s="29"/>
      <c r="C2" s="30"/>
      <c r="D2" s="30"/>
      <c r="E2" s="30"/>
      <c r="F2" s="30"/>
      <c r="G2" s="30"/>
      <c r="H2" s="30"/>
      <c r="I2" s="30"/>
      <c r="J2" s="30"/>
      <c r="K2" s="30"/>
      <c r="L2" s="30"/>
      <c r="M2" s="30"/>
      <c r="N2" s="30"/>
      <c r="O2" s="30"/>
      <c r="P2" s="30"/>
      <c r="Q2" s="30"/>
      <c r="R2" s="30"/>
      <c r="S2" s="30"/>
      <c r="T2" s="30"/>
      <c r="U2" s="30"/>
      <c r="V2" s="30"/>
      <c r="W2" s="30"/>
      <c r="X2" s="30"/>
      <c r="Y2" s="30"/>
      <c r="Z2" s="30"/>
      <c r="AA2" s="30"/>
      <c r="AB2" s="31"/>
      <c r="AC2" s="40"/>
    </row>
    <row r="3" spans="1:29" s="2" customFormat="1" ht="54.95" customHeight="1" x14ac:dyDescent="0.3">
      <c r="A3" s="41"/>
      <c r="B3" s="32"/>
      <c r="C3" s="85" t="s">
        <v>19</v>
      </c>
      <c r="D3" s="85"/>
      <c r="E3" s="85"/>
      <c r="F3" s="85"/>
      <c r="G3" s="85"/>
      <c r="H3" s="85"/>
      <c r="I3" s="85"/>
      <c r="J3" s="85"/>
      <c r="K3" s="85"/>
      <c r="L3" s="85"/>
      <c r="M3" s="85"/>
      <c r="N3" s="85"/>
      <c r="O3" s="85"/>
      <c r="P3" s="85"/>
      <c r="Q3" s="85"/>
      <c r="R3" s="85"/>
      <c r="S3" s="85"/>
      <c r="T3" s="85"/>
      <c r="U3" s="85"/>
      <c r="V3" s="85"/>
      <c r="W3" s="85"/>
      <c r="X3" s="85"/>
      <c r="Y3" s="85"/>
      <c r="Z3" s="85"/>
      <c r="AA3" s="85"/>
      <c r="AB3" s="33"/>
      <c r="AC3" s="40"/>
    </row>
    <row r="4" spans="1:29" s="3" customFormat="1" ht="15" customHeight="1" x14ac:dyDescent="0.25">
      <c r="A4" s="41"/>
      <c r="B4" s="32"/>
      <c r="C4" s="84" t="s">
        <v>23</v>
      </c>
      <c r="D4" s="84"/>
      <c r="E4" s="84"/>
      <c r="F4" s="84"/>
      <c r="G4" s="84"/>
      <c r="H4" s="84"/>
      <c r="I4" s="84"/>
      <c r="J4" s="84"/>
      <c r="K4" s="84"/>
      <c r="L4" s="84"/>
      <c r="M4" s="84"/>
      <c r="N4" s="84"/>
      <c r="O4" s="84"/>
      <c r="P4" s="84"/>
      <c r="Q4" s="84"/>
      <c r="R4" s="84"/>
      <c r="S4" s="84"/>
      <c r="T4" s="84"/>
      <c r="U4" s="84"/>
      <c r="V4" s="84"/>
      <c r="W4" s="84"/>
      <c r="X4" s="84"/>
      <c r="Y4" s="84"/>
      <c r="Z4" s="84"/>
      <c r="AA4" s="84"/>
      <c r="AB4" s="33"/>
      <c r="AC4" s="40"/>
    </row>
    <row r="5" spans="1:29" s="2" customFormat="1" ht="15" customHeight="1" x14ac:dyDescent="0.25">
      <c r="A5" s="41"/>
      <c r="B5" s="32"/>
      <c r="C5" s="86" t="str">
        <f>ЛЗ7!C5</f>
        <v>Успішності студентів спеціальності XXX «XXXXX»</v>
      </c>
      <c r="D5" s="86"/>
      <c r="E5" s="86"/>
      <c r="F5" s="86"/>
      <c r="G5" s="86"/>
      <c r="H5" s="86"/>
      <c r="I5" s="86"/>
      <c r="J5" s="86"/>
      <c r="K5" s="86"/>
      <c r="L5" s="86"/>
      <c r="M5" s="86"/>
      <c r="N5" s="86"/>
      <c r="O5" s="86"/>
      <c r="P5" s="86"/>
      <c r="Q5" s="86"/>
      <c r="R5" s="86"/>
      <c r="S5" s="86"/>
      <c r="T5" s="86"/>
      <c r="U5" s="86"/>
      <c r="V5" s="86"/>
      <c r="W5" s="86"/>
      <c r="X5" s="86"/>
      <c r="Y5" s="86"/>
      <c r="Z5" s="86"/>
      <c r="AA5" s="86"/>
      <c r="AB5" s="33"/>
      <c r="AC5" s="40"/>
    </row>
    <row r="6" spans="1:29" s="2" customFormat="1" ht="15" customHeight="1" x14ac:dyDescent="0.25">
      <c r="A6" s="41"/>
      <c r="B6" s="32"/>
      <c r="C6" s="86" t="str">
        <f>ЛЗ7!C6</f>
        <v>За X семестр XXXX-XXXX н.р.</v>
      </c>
      <c r="D6" s="86"/>
      <c r="E6" s="86"/>
      <c r="F6" s="86"/>
      <c r="G6" s="86"/>
      <c r="H6" s="86"/>
      <c r="I6" s="86"/>
      <c r="J6" s="86"/>
      <c r="K6" s="86"/>
      <c r="L6" s="86"/>
      <c r="M6" s="86"/>
      <c r="N6" s="86"/>
      <c r="O6" s="86"/>
      <c r="P6" s="86"/>
      <c r="Q6" s="86"/>
      <c r="R6" s="86"/>
      <c r="S6" s="86"/>
      <c r="T6" s="86"/>
      <c r="U6" s="86"/>
      <c r="V6" s="86"/>
      <c r="W6" s="86"/>
      <c r="X6" s="86"/>
      <c r="Y6" s="86"/>
      <c r="Z6" s="86"/>
      <c r="AA6" s="86"/>
      <c r="AB6" s="33"/>
      <c r="AC6" s="40"/>
    </row>
    <row r="7" spans="1:29" s="2" customFormat="1" ht="15" customHeight="1" x14ac:dyDescent="0.25">
      <c r="A7" s="41"/>
      <c r="B7" s="32"/>
      <c r="C7" s="87" t="str">
        <f>ЛЗ7!C7</f>
        <v>Група XXXX курс X</v>
      </c>
      <c r="D7" s="87"/>
      <c r="E7" s="87"/>
      <c r="F7" s="87"/>
      <c r="G7" s="87"/>
      <c r="H7" s="87"/>
      <c r="I7" s="87"/>
      <c r="J7" s="87"/>
      <c r="K7" s="87"/>
      <c r="L7" s="87"/>
      <c r="M7" s="87"/>
      <c r="N7" s="87"/>
      <c r="O7" s="87"/>
      <c r="P7" s="87"/>
      <c r="Q7" s="87"/>
      <c r="R7" s="87"/>
      <c r="S7" s="87"/>
      <c r="T7" s="87"/>
      <c r="U7" s="87"/>
      <c r="V7" s="87"/>
      <c r="W7" s="87"/>
      <c r="X7" s="87"/>
      <c r="Y7" s="87"/>
      <c r="Z7" s="87"/>
      <c r="AA7" s="87"/>
      <c r="AB7" s="33"/>
      <c r="AC7" s="40"/>
    </row>
    <row r="8" spans="1:29" ht="15" customHeight="1" x14ac:dyDescent="0.25">
      <c r="A8" s="41"/>
      <c r="B8" s="32"/>
      <c r="C8" s="88" t="s">
        <v>0</v>
      </c>
      <c r="D8" s="90" t="s">
        <v>1</v>
      </c>
      <c r="E8" s="90" t="s">
        <v>2</v>
      </c>
      <c r="F8" s="91" t="s">
        <v>17</v>
      </c>
      <c r="G8" s="92"/>
      <c r="H8" s="92"/>
      <c r="I8" s="92"/>
      <c r="J8" s="92"/>
      <c r="K8" s="92"/>
      <c r="L8" s="92"/>
      <c r="M8" s="92"/>
      <c r="N8" s="92"/>
      <c r="O8" s="92"/>
      <c r="P8" s="92"/>
      <c r="Q8" s="92"/>
      <c r="R8" s="92"/>
      <c r="S8" s="92"/>
      <c r="T8" s="92"/>
      <c r="U8" s="92"/>
      <c r="V8" s="92"/>
      <c r="W8" s="92"/>
      <c r="X8" s="92"/>
      <c r="Y8" s="93"/>
      <c r="Z8" s="94" t="s">
        <v>3</v>
      </c>
      <c r="AA8" s="94" t="s">
        <v>24</v>
      </c>
      <c r="AB8" s="33"/>
      <c r="AC8" s="40"/>
    </row>
    <row r="9" spans="1:29" ht="125.1" customHeight="1" x14ac:dyDescent="0.25">
      <c r="A9" s="41"/>
      <c r="B9" s="32"/>
      <c r="C9" s="89"/>
      <c r="D9" s="89"/>
      <c r="E9" s="89"/>
      <c r="F9" s="24">
        <v>1</v>
      </c>
      <c r="G9" s="24">
        <v>2</v>
      </c>
      <c r="H9" s="24">
        <v>3</v>
      </c>
      <c r="I9" s="24">
        <v>4</v>
      </c>
      <c r="J9" s="24">
        <v>5</v>
      </c>
      <c r="K9" s="24">
        <v>6</v>
      </c>
      <c r="L9" s="24">
        <v>7</v>
      </c>
      <c r="M9" s="24">
        <v>8</v>
      </c>
      <c r="N9" s="24">
        <v>9</v>
      </c>
      <c r="O9" s="24">
        <v>10</v>
      </c>
      <c r="P9" s="24">
        <v>11</v>
      </c>
      <c r="Q9" s="24">
        <v>12</v>
      </c>
      <c r="R9" s="24">
        <v>13</v>
      </c>
      <c r="S9" s="24">
        <v>14</v>
      </c>
      <c r="T9" s="24">
        <v>15</v>
      </c>
      <c r="U9" s="24">
        <v>16</v>
      </c>
      <c r="V9" s="24">
        <v>17</v>
      </c>
      <c r="W9" s="24">
        <v>18</v>
      </c>
      <c r="X9" s="24">
        <v>19</v>
      </c>
      <c r="Y9" s="24">
        <v>20</v>
      </c>
      <c r="Z9" s="95"/>
      <c r="AA9" s="95"/>
      <c r="AB9" s="33"/>
      <c r="AC9" s="40"/>
    </row>
    <row r="10" spans="1:29" s="11" customFormat="1" ht="15" customHeight="1" x14ac:dyDescent="0.25">
      <c r="A10" s="41"/>
      <c r="B10" s="32"/>
      <c r="C10" s="45"/>
      <c r="D10" s="45">
        <v>1</v>
      </c>
      <c r="E10" s="46"/>
      <c r="F10" s="45"/>
      <c r="G10" s="45"/>
      <c r="H10" s="45"/>
      <c r="I10" s="45"/>
      <c r="J10" s="45"/>
      <c r="K10" s="45"/>
      <c r="L10" s="45"/>
      <c r="M10" s="45"/>
      <c r="N10" s="45"/>
      <c r="O10" s="45"/>
      <c r="P10" s="45"/>
      <c r="Q10" s="45"/>
      <c r="R10" s="45"/>
      <c r="S10" s="45"/>
      <c r="T10" s="45"/>
      <c r="U10" s="45"/>
      <c r="V10" s="45"/>
      <c r="W10" s="45"/>
      <c r="X10" s="45"/>
      <c r="Y10" s="45"/>
      <c r="Z10" s="47" t="str">
        <f>IF(COUNTIF(F10:Y10,"=*")&gt;0,IF($C10="К","-"," - "),IF(COUNTIF(F10:Y10,"&lt;4")&gt;0,IF(C10="К","-"," - "),(IFERROR(AVERAGE(F10:Y10),"Очікую"))))</f>
        <v>Очікую</v>
      </c>
      <c r="AA10" s="47" t="str">
        <f>IFERROR(Z10/12*90,"Очікую")</f>
        <v>Очікую</v>
      </c>
      <c r="AB10" s="34"/>
      <c r="AC10" s="40"/>
    </row>
    <row r="11" spans="1:29" s="11" customFormat="1" ht="15" customHeight="1" x14ac:dyDescent="0.25">
      <c r="A11" s="41"/>
      <c r="B11" s="32"/>
      <c r="C11" s="45"/>
      <c r="D11" s="45">
        <v>2</v>
      </c>
      <c r="E11" s="46"/>
      <c r="F11" s="45"/>
      <c r="G11" s="45"/>
      <c r="H11" s="45"/>
      <c r="I11" s="45"/>
      <c r="J11" s="45"/>
      <c r="K11" s="45"/>
      <c r="L11" s="45"/>
      <c r="M11" s="45"/>
      <c r="N11" s="45"/>
      <c r="O11" s="45"/>
      <c r="P11" s="45"/>
      <c r="Q11" s="45"/>
      <c r="R11" s="45"/>
      <c r="S11" s="45"/>
      <c r="T11" s="45"/>
      <c r="U11" s="45"/>
      <c r="V11" s="45"/>
      <c r="W11" s="45"/>
      <c r="X11" s="45"/>
      <c r="Y11" s="45"/>
      <c r="Z11" s="47" t="str">
        <f t="shared" ref="Z11:Z74" si="0">IF(COUNTIF(F11:Y11,"=*")&gt;0,IF($C11="К","-"," - "),IF(COUNTIF(F11:Y11,"&lt;4")&gt;0,IF(C11="К","-"," - "),(IFERROR(AVERAGE(F11:Y11),"Очікую"))))</f>
        <v>Очікую</v>
      </c>
      <c r="AA11" s="47" t="str">
        <f t="shared" ref="AA11:AA74" si="1">IFERROR(Z11/12*90,"Очікую")</f>
        <v>Очікую</v>
      </c>
      <c r="AB11" s="34"/>
      <c r="AC11" s="40"/>
    </row>
    <row r="12" spans="1:29" s="11" customFormat="1" ht="15" customHeight="1" x14ac:dyDescent="0.25">
      <c r="A12" s="41"/>
      <c r="B12" s="32"/>
      <c r="C12" s="45"/>
      <c r="D12" s="45">
        <v>3</v>
      </c>
      <c r="E12" s="46"/>
      <c r="F12" s="45"/>
      <c r="G12" s="45"/>
      <c r="H12" s="45"/>
      <c r="I12" s="45"/>
      <c r="J12" s="45"/>
      <c r="K12" s="45"/>
      <c r="L12" s="45"/>
      <c r="M12" s="45"/>
      <c r="N12" s="45"/>
      <c r="O12" s="45"/>
      <c r="P12" s="45"/>
      <c r="Q12" s="45"/>
      <c r="R12" s="45"/>
      <c r="S12" s="45"/>
      <c r="T12" s="45"/>
      <c r="U12" s="45"/>
      <c r="V12" s="45"/>
      <c r="W12" s="45"/>
      <c r="X12" s="45"/>
      <c r="Y12" s="45"/>
      <c r="Z12" s="47" t="str">
        <f t="shared" si="0"/>
        <v>Очікую</v>
      </c>
      <c r="AA12" s="47" t="str">
        <f t="shared" si="1"/>
        <v>Очікую</v>
      </c>
      <c r="AB12" s="34"/>
      <c r="AC12" s="40"/>
    </row>
    <row r="13" spans="1:29" s="11" customFormat="1" ht="15" customHeight="1" x14ac:dyDescent="0.25">
      <c r="A13" s="41"/>
      <c r="B13" s="32"/>
      <c r="C13" s="45"/>
      <c r="D13" s="45">
        <v>4</v>
      </c>
      <c r="E13" s="46"/>
      <c r="F13" s="45"/>
      <c r="G13" s="45"/>
      <c r="H13" s="45"/>
      <c r="I13" s="45"/>
      <c r="J13" s="45"/>
      <c r="K13" s="45"/>
      <c r="L13" s="45"/>
      <c r="M13" s="45"/>
      <c r="N13" s="45"/>
      <c r="O13" s="45"/>
      <c r="P13" s="45"/>
      <c r="Q13" s="45"/>
      <c r="R13" s="45"/>
      <c r="S13" s="45"/>
      <c r="T13" s="45"/>
      <c r="U13" s="45"/>
      <c r="V13" s="45"/>
      <c r="W13" s="45"/>
      <c r="X13" s="45"/>
      <c r="Y13" s="45"/>
      <c r="Z13" s="47" t="str">
        <f t="shared" si="0"/>
        <v>Очікую</v>
      </c>
      <c r="AA13" s="47" t="str">
        <f t="shared" si="1"/>
        <v>Очікую</v>
      </c>
      <c r="AB13" s="34"/>
      <c r="AC13" s="40"/>
    </row>
    <row r="14" spans="1:29" s="11" customFormat="1" ht="15" customHeight="1" x14ac:dyDescent="0.25">
      <c r="A14" s="41"/>
      <c r="B14" s="32"/>
      <c r="C14" s="45"/>
      <c r="D14" s="45">
        <v>5</v>
      </c>
      <c r="E14" s="46"/>
      <c r="F14" s="45"/>
      <c r="G14" s="45"/>
      <c r="H14" s="45"/>
      <c r="I14" s="45"/>
      <c r="J14" s="45"/>
      <c r="K14" s="45"/>
      <c r="L14" s="45"/>
      <c r="M14" s="45"/>
      <c r="N14" s="45"/>
      <c r="O14" s="45"/>
      <c r="P14" s="45"/>
      <c r="Q14" s="45"/>
      <c r="R14" s="45"/>
      <c r="S14" s="45"/>
      <c r="T14" s="45"/>
      <c r="U14" s="45"/>
      <c r="V14" s="45"/>
      <c r="W14" s="45"/>
      <c r="X14" s="45"/>
      <c r="Y14" s="45"/>
      <c r="Z14" s="47" t="str">
        <f t="shared" si="0"/>
        <v>Очікую</v>
      </c>
      <c r="AA14" s="47" t="str">
        <f t="shared" si="1"/>
        <v>Очікую</v>
      </c>
      <c r="AB14" s="34"/>
      <c r="AC14" s="40"/>
    </row>
    <row r="15" spans="1:29" s="11" customFormat="1" ht="15" customHeight="1" x14ac:dyDescent="0.25">
      <c r="A15" s="41"/>
      <c r="B15" s="32"/>
      <c r="C15" s="45"/>
      <c r="D15" s="45">
        <v>6</v>
      </c>
      <c r="E15" s="46"/>
      <c r="F15" s="45"/>
      <c r="G15" s="45"/>
      <c r="H15" s="45"/>
      <c r="I15" s="45"/>
      <c r="J15" s="45"/>
      <c r="K15" s="45"/>
      <c r="L15" s="45"/>
      <c r="M15" s="45"/>
      <c r="N15" s="45"/>
      <c r="O15" s="45"/>
      <c r="P15" s="45"/>
      <c r="Q15" s="45"/>
      <c r="R15" s="45"/>
      <c r="S15" s="45"/>
      <c r="T15" s="45"/>
      <c r="U15" s="45"/>
      <c r="V15" s="45"/>
      <c r="W15" s="45"/>
      <c r="X15" s="45"/>
      <c r="Y15" s="45"/>
      <c r="Z15" s="47" t="str">
        <f t="shared" si="0"/>
        <v>Очікую</v>
      </c>
      <c r="AA15" s="47" t="str">
        <f t="shared" si="1"/>
        <v>Очікую</v>
      </c>
      <c r="AB15" s="34"/>
      <c r="AC15" s="40"/>
    </row>
    <row r="16" spans="1:29" s="11" customFormat="1" ht="15" customHeight="1" x14ac:dyDescent="0.25">
      <c r="A16" s="41"/>
      <c r="B16" s="32"/>
      <c r="C16" s="45"/>
      <c r="D16" s="45">
        <v>7</v>
      </c>
      <c r="E16" s="46"/>
      <c r="F16" s="45"/>
      <c r="G16" s="45"/>
      <c r="H16" s="45"/>
      <c r="I16" s="45"/>
      <c r="J16" s="45"/>
      <c r="K16" s="45"/>
      <c r="L16" s="45"/>
      <c r="M16" s="45"/>
      <c r="N16" s="45"/>
      <c r="O16" s="45"/>
      <c r="P16" s="45"/>
      <c r="Q16" s="45"/>
      <c r="R16" s="45"/>
      <c r="S16" s="45"/>
      <c r="T16" s="45"/>
      <c r="U16" s="45"/>
      <c r="V16" s="45"/>
      <c r="W16" s="45"/>
      <c r="X16" s="45"/>
      <c r="Y16" s="45"/>
      <c r="Z16" s="47" t="str">
        <f t="shared" si="0"/>
        <v>Очікую</v>
      </c>
      <c r="AA16" s="47" t="str">
        <f t="shared" si="1"/>
        <v>Очікую</v>
      </c>
      <c r="AB16" s="34"/>
      <c r="AC16" s="40"/>
    </row>
    <row r="17" spans="1:29" s="11" customFormat="1" ht="15" customHeight="1" x14ac:dyDescent="0.25">
      <c r="A17" s="41"/>
      <c r="B17" s="32"/>
      <c r="C17" s="45"/>
      <c r="D17" s="45">
        <v>8</v>
      </c>
      <c r="E17" s="46"/>
      <c r="F17" s="45"/>
      <c r="G17" s="45"/>
      <c r="H17" s="45"/>
      <c r="I17" s="45"/>
      <c r="J17" s="45"/>
      <c r="K17" s="45"/>
      <c r="L17" s="45"/>
      <c r="M17" s="45"/>
      <c r="N17" s="45"/>
      <c r="O17" s="45"/>
      <c r="P17" s="45"/>
      <c r="Q17" s="45"/>
      <c r="R17" s="45"/>
      <c r="S17" s="45"/>
      <c r="T17" s="45"/>
      <c r="U17" s="45"/>
      <c r="V17" s="45"/>
      <c r="W17" s="45"/>
      <c r="X17" s="45"/>
      <c r="Y17" s="45"/>
      <c r="Z17" s="47" t="str">
        <f t="shared" si="0"/>
        <v>Очікую</v>
      </c>
      <c r="AA17" s="47" t="str">
        <f t="shared" si="1"/>
        <v>Очікую</v>
      </c>
      <c r="AB17" s="34"/>
      <c r="AC17" s="40"/>
    </row>
    <row r="18" spans="1:29" s="11" customFormat="1" ht="15" customHeight="1" x14ac:dyDescent="0.25">
      <c r="A18" s="41"/>
      <c r="B18" s="32"/>
      <c r="C18" s="45"/>
      <c r="D18" s="45">
        <v>9</v>
      </c>
      <c r="E18" s="46"/>
      <c r="F18" s="45"/>
      <c r="G18" s="45"/>
      <c r="H18" s="45"/>
      <c r="I18" s="45"/>
      <c r="J18" s="45"/>
      <c r="K18" s="45"/>
      <c r="L18" s="45"/>
      <c r="M18" s="45"/>
      <c r="N18" s="45"/>
      <c r="O18" s="45"/>
      <c r="P18" s="45"/>
      <c r="Q18" s="45"/>
      <c r="R18" s="45"/>
      <c r="S18" s="45"/>
      <c r="T18" s="45"/>
      <c r="U18" s="45"/>
      <c r="V18" s="45"/>
      <c r="W18" s="45"/>
      <c r="X18" s="45"/>
      <c r="Y18" s="45"/>
      <c r="Z18" s="47" t="str">
        <f t="shared" si="0"/>
        <v>Очікую</v>
      </c>
      <c r="AA18" s="47" t="str">
        <f t="shared" si="1"/>
        <v>Очікую</v>
      </c>
      <c r="AB18" s="34"/>
      <c r="AC18" s="40"/>
    </row>
    <row r="19" spans="1:29" s="11" customFormat="1" ht="15" customHeight="1" x14ac:dyDescent="0.25">
      <c r="A19" s="41"/>
      <c r="B19" s="32"/>
      <c r="C19" s="45"/>
      <c r="D19" s="45">
        <v>10</v>
      </c>
      <c r="E19" s="46"/>
      <c r="F19" s="45"/>
      <c r="G19" s="45"/>
      <c r="H19" s="45"/>
      <c r="I19" s="45"/>
      <c r="J19" s="45"/>
      <c r="K19" s="45"/>
      <c r="L19" s="45"/>
      <c r="M19" s="45"/>
      <c r="N19" s="45"/>
      <c r="O19" s="45"/>
      <c r="P19" s="45"/>
      <c r="Q19" s="45"/>
      <c r="R19" s="45"/>
      <c r="S19" s="45"/>
      <c r="T19" s="45"/>
      <c r="U19" s="45"/>
      <c r="V19" s="45"/>
      <c r="W19" s="45"/>
      <c r="X19" s="45"/>
      <c r="Y19" s="45"/>
      <c r="Z19" s="47" t="str">
        <f t="shared" si="0"/>
        <v>Очікую</v>
      </c>
      <c r="AA19" s="47" t="str">
        <f t="shared" si="1"/>
        <v>Очікую</v>
      </c>
      <c r="AB19" s="34"/>
      <c r="AC19" s="40"/>
    </row>
    <row r="20" spans="1:29" s="11" customFormat="1" ht="15" customHeight="1" x14ac:dyDescent="0.25">
      <c r="A20" s="41"/>
      <c r="B20" s="32"/>
      <c r="C20" s="45"/>
      <c r="D20" s="45">
        <v>11</v>
      </c>
      <c r="E20" s="46"/>
      <c r="F20" s="45"/>
      <c r="G20" s="45"/>
      <c r="H20" s="45"/>
      <c r="I20" s="45"/>
      <c r="J20" s="45"/>
      <c r="K20" s="45"/>
      <c r="L20" s="45"/>
      <c r="M20" s="45"/>
      <c r="N20" s="45"/>
      <c r="O20" s="45"/>
      <c r="P20" s="45"/>
      <c r="Q20" s="45"/>
      <c r="R20" s="45"/>
      <c r="S20" s="45"/>
      <c r="T20" s="45"/>
      <c r="U20" s="45"/>
      <c r="V20" s="45"/>
      <c r="W20" s="45"/>
      <c r="X20" s="45"/>
      <c r="Y20" s="45"/>
      <c r="Z20" s="47" t="str">
        <f t="shared" si="0"/>
        <v>Очікую</v>
      </c>
      <c r="AA20" s="47" t="str">
        <f t="shared" si="1"/>
        <v>Очікую</v>
      </c>
      <c r="AB20" s="34"/>
      <c r="AC20" s="40"/>
    </row>
    <row r="21" spans="1:29" s="11" customFormat="1" ht="15" customHeight="1" x14ac:dyDescent="0.25">
      <c r="A21" s="41"/>
      <c r="B21" s="32"/>
      <c r="C21" s="45"/>
      <c r="D21" s="45">
        <v>12</v>
      </c>
      <c r="E21" s="46"/>
      <c r="F21" s="45"/>
      <c r="G21" s="45"/>
      <c r="H21" s="45"/>
      <c r="I21" s="45"/>
      <c r="J21" s="45"/>
      <c r="K21" s="45"/>
      <c r="L21" s="45"/>
      <c r="M21" s="45"/>
      <c r="N21" s="45"/>
      <c r="O21" s="45"/>
      <c r="P21" s="45"/>
      <c r="Q21" s="45"/>
      <c r="R21" s="45"/>
      <c r="S21" s="45"/>
      <c r="T21" s="45"/>
      <c r="U21" s="45"/>
      <c r="V21" s="45"/>
      <c r="W21" s="45"/>
      <c r="X21" s="45"/>
      <c r="Y21" s="45"/>
      <c r="Z21" s="47" t="str">
        <f t="shared" si="0"/>
        <v>Очікую</v>
      </c>
      <c r="AA21" s="47" t="str">
        <f t="shared" si="1"/>
        <v>Очікую</v>
      </c>
      <c r="AB21" s="34"/>
      <c r="AC21" s="40"/>
    </row>
    <row r="22" spans="1:29" s="11" customFormat="1" ht="15" customHeight="1" x14ac:dyDescent="0.25">
      <c r="A22" s="41"/>
      <c r="B22" s="32"/>
      <c r="C22" s="45"/>
      <c r="D22" s="45">
        <v>13</v>
      </c>
      <c r="E22" s="46"/>
      <c r="F22" s="45"/>
      <c r="G22" s="45"/>
      <c r="H22" s="45"/>
      <c r="I22" s="45"/>
      <c r="J22" s="45"/>
      <c r="K22" s="45"/>
      <c r="L22" s="45"/>
      <c r="M22" s="45"/>
      <c r="N22" s="45"/>
      <c r="O22" s="45"/>
      <c r="P22" s="45"/>
      <c r="Q22" s="45"/>
      <c r="R22" s="45"/>
      <c r="S22" s="45"/>
      <c r="T22" s="45"/>
      <c r="U22" s="45"/>
      <c r="V22" s="45"/>
      <c r="W22" s="45"/>
      <c r="X22" s="45"/>
      <c r="Y22" s="45"/>
      <c r="Z22" s="47" t="str">
        <f t="shared" si="0"/>
        <v>Очікую</v>
      </c>
      <c r="AA22" s="47" t="str">
        <f t="shared" si="1"/>
        <v>Очікую</v>
      </c>
      <c r="AB22" s="34"/>
      <c r="AC22" s="40"/>
    </row>
    <row r="23" spans="1:29" s="11" customFormat="1" ht="15" customHeight="1" x14ac:dyDescent="0.25">
      <c r="A23" s="41"/>
      <c r="B23" s="32"/>
      <c r="C23" s="45"/>
      <c r="D23" s="45">
        <v>14</v>
      </c>
      <c r="E23" s="46"/>
      <c r="F23" s="45"/>
      <c r="G23" s="45"/>
      <c r="H23" s="45"/>
      <c r="I23" s="45"/>
      <c r="J23" s="45"/>
      <c r="K23" s="45"/>
      <c r="L23" s="45"/>
      <c r="M23" s="45"/>
      <c r="N23" s="45"/>
      <c r="O23" s="45"/>
      <c r="P23" s="45"/>
      <c r="Q23" s="45"/>
      <c r="R23" s="45"/>
      <c r="S23" s="45"/>
      <c r="T23" s="45"/>
      <c r="U23" s="45"/>
      <c r="V23" s="45"/>
      <c r="W23" s="45"/>
      <c r="X23" s="45"/>
      <c r="Y23" s="45"/>
      <c r="Z23" s="47" t="str">
        <f t="shared" si="0"/>
        <v>Очікую</v>
      </c>
      <c r="AA23" s="47" t="str">
        <f t="shared" si="1"/>
        <v>Очікую</v>
      </c>
      <c r="AB23" s="34"/>
      <c r="AC23" s="40"/>
    </row>
    <row r="24" spans="1:29" s="11" customFormat="1" ht="15" customHeight="1" x14ac:dyDescent="0.25">
      <c r="A24" s="41"/>
      <c r="B24" s="32"/>
      <c r="C24" s="45"/>
      <c r="D24" s="45">
        <v>15</v>
      </c>
      <c r="E24" s="46"/>
      <c r="F24" s="45"/>
      <c r="G24" s="45"/>
      <c r="H24" s="45"/>
      <c r="I24" s="45"/>
      <c r="J24" s="45"/>
      <c r="K24" s="45"/>
      <c r="L24" s="45"/>
      <c r="M24" s="45"/>
      <c r="N24" s="45"/>
      <c r="O24" s="45"/>
      <c r="P24" s="45"/>
      <c r="Q24" s="45"/>
      <c r="R24" s="45"/>
      <c r="S24" s="45"/>
      <c r="T24" s="45"/>
      <c r="U24" s="45"/>
      <c r="V24" s="45"/>
      <c r="W24" s="45"/>
      <c r="X24" s="45"/>
      <c r="Y24" s="45"/>
      <c r="Z24" s="47" t="str">
        <f t="shared" si="0"/>
        <v>Очікую</v>
      </c>
      <c r="AA24" s="47" t="str">
        <f t="shared" si="1"/>
        <v>Очікую</v>
      </c>
      <c r="AB24" s="34"/>
      <c r="AC24" s="40"/>
    </row>
    <row r="25" spans="1:29" s="11" customFormat="1" ht="15" customHeight="1" x14ac:dyDescent="0.25">
      <c r="A25" s="41"/>
      <c r="B25" s="32"/>
      <c r="C25" s="45"/>
      <c r="D25" s="45">
        <v>16</v>
      </c>
      <c r="E25" s="46"/>
      <c r="F25" s="45"/>
      <c r="G25" s="45"/>
      <c r="H25" s="45"/>
      <c r="I25" s="45"/>
      <c r="J25" s="45"/>
      <c r="K25" s="45"/>
      <c r="L25" s="45"/>
      <c r="M25" s="45"/>
      <c r="N25" s="45"/>
      <c r="O25" s="45"/>
      <c r="P25" s="45"/>
      <c r="Q25" s="45"/>
      <c r="R25" s="45"/>
      <c r="S25" s="45"/>
      <c r="T25" s="45"/>
      <c r="U25" s="45"/>
      <c r="V25" s="45"/>
      <c r="W25" s="45"/>
      <c r="X25" s="45"/>
      <c r="Y25" s="45"/>
      <c r="Z25" s="47" t="str">
        <f t="shared" si="0"/>
        <v>Очікую</v>
      </c>
      <c r="AA25" s="47" t="str">
        <f t="shared" si="1"/>
        <v>Очікую</v>
      </c>
      <c r="AB25" s="34"/>
      <c r="AC25" s="40"/>
    </row>
    <row r="26" spans="1:29" s="11" customFormat="1" ht="15" customHeight="1" x14ac:dyDescent="0.25">
      <c r="A26" s="41"/>
      <c r="B26" s="32"/>
      <c r="C26" s="45"/>
      <c r="D26" s="45">
        <v>17</v>
      </c>
      <c r="E26" s="46"/>
      <c r="F26" s="45"/>
      <c r="G26" s="45"/>
      <c r="H26" s="45"/>
      <c r="I26" s="45"/>
      <c r="J26" s="45"/>
      <c r="K26" s="45"/>
      <c r="L26" s="45"/>
      <c r="M26" s="45"/>
      <c r="N26" s="45"/>
      <c r="O26" s="45"/>
      <c r="P26" s="45"/>
      <c r="Q26" s="45"/>
      <c r="R26" s="45"/>
      <c r="S26" s="45"/>
      <c r="T26" s="45"/>
      <c r="U26" s="45"/>
      <c r="V26" s="45"/>
      <c r="W26" s="45"/>
      <c r="X26" s="45"/>
      <c r="Y26" s="45"/>
      <c r="Z26" s="47" t="str">
        <f t="shared" si="0"/>
        <v>Очікую</v>
      </c>
      <c r="AA26" s="47" t="str">
        <f t="shared" si="1"/>
        <v>Очікую</v>
      </c>
      <c r="AB26" s="34"/>
      <c r="AC26" s="40"/>
    </row>
    <row r="27" spans="1:29" s="11" customFormat="1" ht="15" customHeight="1" x14ac:dyDescent="0.25">
      <c r="A27" s="41"/>
      <c r="B27" s="32"/>
      <c r="C27" s="45"/>
      <c r="D27" s="45">
        <v>18</v>
      </c>
      <c r="E27" s="46"/>
      <c r="F27" s="45"/>
      <c r="G27" s="45"/>
      <c r="H27" s="45"/>
      <c r="I27" s="45"/>
      <c r="J27" s="45"/>
      <c r="K27" s="45"/>
      <c r="L27" s="45"/>
      <c r="M27" s="45"/>
      <c r="N27" s="45"/>
      <c r="O27" s="45"/>
      <c r="P27" s="45"/>
      <c r="Q27" s="45"/>
      <c r="R27" s="45"/>
      <c r="S27" s="45"/>
      <c r="T27" s="45"/>
      <c r="U27" s="45"/>
      <c r="V27" s="45"/>
      <c r="W27" s="45"/>
      <c r="X27" s="45"/>
      <c r="Y27" s="45"/>
      <c r="Z27" s="47" t="str">
        <f t="shared" si="0"/>
        <v>Очікую</v>
      </c>
      <c r="AA27" s="47" t="str">
        <f t="shared" si="1"/>
        <v>Очікую</v>
      </c>
      <c r="AB27" s="34"/>
      <c r="AC27" s="40"/>
    </row>
    <row r="28" spans="1:29" s="11" customFormat="1" ht="15" customHeight="1" x14ac:dyDescent="0.25">
      <c r="A28" s="41"/>
      <c r="B28" s="32"/>
      <c r="C28" s="45"/>
      <c r="D28" s="45">
        <v>19</v>
      </c>
      <c r="E28" s="46"/>
      <c r="F28" s="45"/>
      <c r="G28" s="45"/>
      <c r="H28" s="45"/>
      <c r="I28" s="45"/>
      <c r="J28" s="45"/>
      <c r="K28" s="45"/>
      <c r="L28" s="45"/>
      <c r="M28" s="45"/>
      <c r="N28" s="45"/>
      <c r="O28" s="45"/>
      <c r="P28" s="45"/>
      <c r="Q28" s="45"/>
      <c r="R28" s="45"/>
      <c r="S28" s="45"/>
      <c r="T28" s="45"/>
      <c r="U28" s="45"/>
      <c r="V28" s="45"/>
      <c r="W28" s="45"/>
      <c r="X28" s="45"/>
      <c r="Y28" s="45"/>
      <c r="Z28" s="47" t="str">
        <f t="shared" si="0"/>
        <v>Очікую</v>
      </c>
      <c r="AA28" s="47" t="str">
        <f t="shared" si="1"/>
        <v>Очікую</v>
      </c>
      <c r="AB28" s="34"/>
      <c r="AC28" s="40"/>
    </row>
    <row r="29" spans="1:29" s="11" customFormat="1" ht="15" customHeight="1" x14ac:dyDescent="0.25">
      <c r="A29" s="41"/>
      <c r="B29" s="32"/>
      <c r="C29" s="45"/>
      <c r="D29" s="45">
        <v>20</v>
      </c>
      <c r="E29" s="46"/>
      <c r="F29" s="45"/>
      <c r="G29" s="45"/>
      <c r="H29" s="45"/>
      <c r="I29" s="45"/>
      <c r="J29" s="45"/>
      <c r="K29" s="45"/>
      <c r="L29" s="45"/>
      <c r="M29" s="45"/>
      <c r="N29" s="45"/>
      <c r="O29" s="45"/>
      <c r="P29" s="45"/>
      <c r="Q29" s="45"/>
      <c r="R29" s="45"/>
      <c r="S29" s="45"/>
      <c r="T29" s="45"/>
      <c r="U29" s="45"/>
      <c r="V29" s="45"/>
      <c r="W29" s="45"/>
      <c r="X29" s="45"/>
      <c r="Y29" s="45"/>
      <c r="Z29" s="47" t="str">
        <f t="shared" si="0"/>
        <v>Очікую</v>
      </c>
      <c r="AA29" s="47" t="str">
        <f t="shared" si="1"/>
        <v>Очікую</v>
      </c>
      <c r="AB29" s="34"/>
      <c r="AC29" s="40"/>
    </row>
    <row r="30" spans="1:29" s="11" customFormat="1" ht="15" customHeight="1" x14ac:dyDescent="0.25">
      <c r="A30" s="41"/>
      <c r="B30" s="32"/>
      <c r="C30" s="45"/>
      <c r="D30" s="45">
        <v>21</v>
      </c>
      <c r="E30" s="46"/>
      <c r="F30" s="45"/>
      <c r="G30" s="45"/>
      <c r="H30" s="45"/>
      <c r="I30" s="45"/>
      <c r="J30" s="45"/>
      <c r="K30" s="45"/>
      <c r="L30" s="45"/>
      <c r="M30" s="45"/>
      <c r="N30" s="45"/>
      <c r="O30" s="45"/>
      <c r="P30" s="45"/>
      <c r="Q30" s="45"/>
      <c r="R30" s="45"/>
      <c r="S30" s="45"/>
      <c r="T30" s="45"/>
      <c r="U30" s="45"/>
      <c r="V30" s="45"/>
      <c r="W30" s="45"/>
      <c r="X30" s="45"/>
      <c r="Y30" s="45"/>
      <c r="Z30" s="47" t="str">
        <f t="shared" si="0"/>
        <v>Очікую</v>
      </c>
      <c r="AA30" s="47" t="str">
        <f t="shared" si="1"/>
        <v>Очікую</v>
      </c>
      <c r="AB30" s="34"/>
      <c r="AC30" s="40"/>
    </row>
    <row r="31" spans="1:29" s="11" customFormat="1" ht="15" customHeight="1" x14ac:dyDescent="0.25">
      <c r="A31" s="41"/>
      <c r="B31" s="32"/>
      <c r="C31" s="45"/>
      <c r="D31" s="45">
        <v>22</v>
      </c>
      <c r="E31" s="46"/>
      <c r="F31" s="45"/>
      <c r="G31" s="45"/>
      <c r="H31" s="45"/>
      <c r="I31" s="45"/>
      <c r="J31" s="45"/>
      <c r="K31" s="45"/>
      <c r="L31" s="45"/>
      <c r="M31" s="45"/>
      <c r="N31" s="45"/>
      <c r="O31" s="45"/>
      <c r="P31" s="45"/>
      <c r="Q31" s="45"/>
      <c r="R31" s="45"/>
      <c r="S31" s="45"/>
      <c r="T31" s="45"/>
      <c r="U31" s="45"/>
      <c r="V31" s="45"/>
      <c r="W31" s="45"/>
      <c r="X31" s="45"/>
      <c r="Y31" s="45"/>
      <c r="Z31" s="47" t="str">
        <f t="shared" si="0"/>
        <v>Очікую</v>
      </c>
      <c r="AA31" s="47" t="str">
        <f t="shared" si="1"/>
        <v>Очікую</v>
      </c>
      <c r="AB31" s="34"/>
      <c r="AC31" s="40"/>
    </row>
    <row r="32" spans="1:29" s="11" customFormat="1" ht="15" customHeight="1" x14ac:dyDescent="0.25">
      <c r="A32" s="41"/>
      <c r="B32" s="32"/>
      <c r="C32" s="45"/>
      <c r="D32" s="45">
        <v>23</v>
      </c>
      <c r="E32" s="46"/>
      <c r="F32" s="45"/>
      <c r="G32" s="45"/>
      <c r="H32" s="45"/>
      <c r="I32" s="45"/>
      <c r="J32" s="45"/>
      <c r="K32" s="45"/>
      <c r="L32" s="45"/>
      <c r="M32" s="45"/>
      <c r="N32" s="45"/>
      <c r="O32" s="45"/>
      <c r="P32" s="45"/>
      <c r="Q32" s="45"/>
      <c r="R32" s="45"/>
      <c r="S32" s="45"/>
      <c r="T32" s="45"/>
      <c r="U32" s="45"/>
      <c r="V32" s="45"/>
      <c r="W32" s="45"/>
      <c r="X32" s="45"/>
      <c r="Y32" s="45"/>
      <c r="Z32" s="47" t="str">
        <f t="shared" si="0"/>
        <v>Очікую</v>
      </c>
      <c r="AA32" s="47" t="str">
        <f t="shared" si="1"/>
        <v>Очікую</v>
      </c>
      <c r="AB32" s="34"/>
      <c r="AC32" s="40"/>
    </row>
    <row r="33" spans="1:29" s="11" customFormat="1" ht="15" customHeight="1" x14ac:dyDescent="0.25">
      <c r="A33" s="41"/>
      <c r="B33" s="32"/>
      <c r="C33" s="45"/>
      <c r="D33" s="45">
        <v>24</v>
      </c>
      <c r="E33" s="46"/>
      <c r="F33" s="45"/>
      <c r="G33" s="45"/>
      <c r="H33" s="45"/>
      <c r="I33" s="45"/>
      <c r="J33" s="45"/>
      <c r="K33" s="45"/>
      <c r="L33" s="45"/>
      <c r="M33" s="45"/>
      <c r="N33" s="45"/>
      <c r="O33" s="45"/>
      <c r="P33" s="45"/>
      <c r="Q33" s="45"/>
      <c r="R33" s="45"/>
      <c r="S33" s="45"/>
      <c r="T33" s="45"/>
      <c r="U33" s="45"/>
      <c r="V33" s="45"/>
      <c r="W33" s="45"/>
      <c r="X33" s="45"/>
      <c r="Y33" s="45"/>
      <c r="Z33" s="47" t="str">
        <f t="shared" si="0"/>
        <v>Очікую</v>
      </c>
      <c r="AA33" s="47" t="str">
        <f t="shared" si="1"/>
        <v>Очікую</v>
      </c>
      <c r="AB33" s="34"/>
      <c r="AC33" s="40"/>
    </row>
    <row r="34" spans="1:29" s="11" customFormat="1" ht="15" customHeight="1" x14ac:dyDescent="0.25">
      <c r="A34" s="41"/>
      <c r="B34" s="32"/>
      <c r="C34" s="45"/>
      <c r="D34" s="45">
        <v>25</v>
      </c>
      <c r="E34" s="46"/>
      <c r="F34" s="45"/>
      <c r="G34" s="45"/>
      <c r="H34" s="45"/>
      <c r="I34" s="45"/>
      <c r="J34" s="45"/>
      <c r="K34" s="45"/>
      <c r="L34" s="45"/>
      <c r="M34" s="45"/>
      <c r="N34" s="45"/>
      <c r="O34" s="45"/>
      <c r="P34" s="45"/>
      <c r="Q34" s="45"/>
      <c r="R34" s="45"/>
      <c r="S34" s="45"/>
      <c r="T34" s="45"/>
      <c r="U34" s="45"/>
      <c r="V34" s="45"/>
      <c r="W34" s="45"/>
      <c r="X34" s="45"/>
      <c r="Y34" s="45"/>
      <c r="Z34" s="47" t="str">
        <f t="shared" si="0"/>
        <v>Очікую</v>
      </c>
      <c r="AA34" s="47" t="str">
        <f t="shared" si="1"/>
        <v>Очікую</v>
      </c>
      <c r="AB34" s="34"/>
      <c r="AC34" s="40"/>
    </row>
    <row r="35" spans="1:29" s="11" customFormat="1" ht="15" customHeight="1" x14ac:dyDescent="0.25">
      <c r="A35" s="41"/>
      <c r="B35" s="32"/>
      <c r="C35" s="45"/>
      <c r="D35" s="45">
        <v>26</v>
      </c>
      <c r="E35" s="46"/>
      <c r="F35" s="45"/>
      <c r="G35" s="45"/>
      <c r="H35" s="45"/>
      <c r="I35" s="45"/>
      <c r="J35" s="45"/>
      <c r="K35" s="45"/>
      <c r="L35" s="45"/>
      <c r="M35" s="45"/>
      <c r="N35" s="45"/>
      <c r="O35" s="45"/>
      <c r="P35" s="45"/>
      <c r="Q35" s="45"/>
      <c r="R35" s="45"/>
      <c r="S35" s="45"/>
      <c r="T35" s="45"/>
      <c r="U35" s="45"/>
      <c r="V35" s="45"/>
      <c r="W35" s="45"/>
      <c r="X35" s="45"/>
      <c r="Y35" s="45"/>
      <c r="Z35" s="47" t="str">
        <f t="shared" si="0"/>
        <v>Очікую</v>
      </c>
      <c r="AA35" s="47" t="str">
        <f t="shared" si="1"/>
        <v>Очікую</v>
      </c>
      <c r="AB35" s="34"/>
      <c r="AC35" s="40"/>
    </row>
    <row r="36" spans="1:29" s="11" customFormat="1" ht="15" customHeight="1" x14ac:dyDescent="0.25">
      <c r="A36" s="41"/>
      <c r="B36" s="32"/>
      <c r="C36" s="45"/>
      <c r="D36" s="45">
        <v>27</v>
      </c>
      <c r="E36" s="46"/>
      <c r="F36" s="45"/>
      <c r="G36" s="45"/>
      <c r="H36" s="45"/>
      <c r="I36" s="45"/>
      <c r="J36" s="45"/>
      <c r="K36" s="45"/>
      <c r="L36" s="45"/>
      <c r="M36" s="45"/>
      <c r="N36" s="45"/>
      <c r="O36" s="45"/>
      <c r="P36" s="45"/>
      <c r="Q36" s="45"/>
      <c r="R36" s="45"/>
      <c r="S36" s="45"/>
      <c r="T36" s="45"/>
      <c r="U36" s="45"/>
      <c r="V36" s="45"/>
      <c r="W36" s="45"/>
      <c r="X36" s="45"/>
      <c r="Y36" s="45"/>
      <c r="Z36" s="47" t="str">
        <f t="shared" si="0"/>
        <v>Очікую</v>
      </c>
      <c r="AA36" s="47" t="str">
        <f t="shared" si="1"/>
        <v>Очікую</v>
      </c>
      <c r="AB36" s="34"/>
      <c r="AC36" s="40"/>
    </row>
    <row r="37" spans="1:29" s="11" customFormat="1" ht="15" customHeight="1" x14ac:dyDescent="0.25">
      <c r="A37" s="41"/>
      <c r="B37" s="32"/>
      <c r="C37" s="45"/>
      <c r="D37" s="45">
        <v>28</v>
      </c>
      <c r="E37" s="46"/>
      <c r="F37" s="45"/>
      <c r="G37" s="45"/>
      <c r="H37" s="45"/>
      <c r="I37" s="45"/>
      <c r="J37" s="45"/>
      <c r="K37" s="45"/>
      <c r="L37" s="45"/>
      <c r="M37" s="45"/>
      <c r="N37" s="45"/>
      <c r="O37" s="45"/>
      <c r="P37" s="45"/>
      <c r="Q37" s="45"/>
      <c r="R37" s="45"/>
      <c r="S37" s="45"/>
      <c r="T37" s="45"/>
      <c r="U37" s="45"/>
      <c r="V37" s="45"/>
      <c r="W37" s="45"/>
      <c r="X37" s="45"/>
      <c r="Y37" s="45"/>
      <c r="Z37" s="47" t="str">
        <f t="shared" si="0"/>
        <v>Очікую</v>
      </c>
      <c r="AA37" s="47" t="str">
        <f t="shared" si="1"/>
        <v>Очікую</v>
      </c>
      <c r="AB37" s="34"/>
      <c r="AC37" s="40"/>
    </row>
    <row r="38" spans="1:29" s="11" customFormat="1" ht="15" customHeight="1" x14ac:dyDescent="0.25">
      <c r="A38" s="41"/>
      <c r="B38" s="32"/>
      <c r="C38" s="45"/>
      <c r="D38" s="45">
        <v>29</v>
      </c>
      <c r="E38" s="46"/>
      <c r="F38" s="45"/>
      <c r="G38" s="45"/>
      <c r="H38" s="45"/>
      <c r="I38" s="45"/>
      <c r="J38" s="45"/>
      <c r="K38" s="45"/>
      <c r="L38" s="45"/>
      <c r="M38" s="45"/>
      <c r="N38" s="45"/>
      <c r="O38" s="45"/>
      <c r="P38" s="45"/>
      <c r="Q38" s="45"/>
      <c r="R38" s="45"/>
      <c r="S38" s="45"/>
      <c r="T38" s="45"/>
      <c r="U38" s="45"/>
      <c r="V38" s="45"/>
      <c r="W38" s="45"/>
      <c r="X38" s="45"/>
      <c r="Y38" s="45"/>
      <c r="Z38" s="47" t="str">
        <f t="shared" si="0"/>
        <v>Очікую</v>
      </c>
      <c r="AA38" s="47" t="str">
        <f t="shared" si="1"/>
        <v>Очікую</v>
      </c>
      <c r="AB38" s="34"/>
      <c r="AC38" s="40"/>
    </row>
    <row r="39" spans="1:29" s="11" customFormat="1" ht="15" customHeight="1" x14ac:dyDescent="0.25">
      <c r="A39" s="41"/>
      <c r="B39" s="32"/>
      <c r="C39" s="45"/>
      <c r="D39" s="45">
        <v>30</v>
      </c>
      <c r="E39" s="46"/>
      <c r="F39" s="45"/>
      <c r="G39" s="45"/>
      <c r="H39" s="45"/>
      <c r="I39" s="45"/>
      <c r="J39" s="45"/>
      <c r="K39" s="45"/>
      <c r="L39" s="45"/>
      <c r="M39" s="45"/>
      <c r="N39" s="45"/>
      <c r="O39" s="45"/>
      <c r="P39" s="45"/>
      <c r="Q39" s="45"/>
      <c r="R39" s="45"/>
      <c r="S39" s="45"/>
      <c r="T39" s="45"/>
      <c r="U39" s="45"/>
      <c r="V39" s="45"/>
      <c r="W39" s="45"/>
      <c r="X39" s="45"/>
      <c r="Y39" s="45"/>
      <c r="Z39" s="47" t="str">
        <f t="shared" si="0"/>
        <v>Очікую</v>
      </c>
      <c r="AA39" s="47" t="str">
        <f t="shared" si="1"/>
        <v>Очікую</v>
      </c>
      <c r="AB39" s="34"/>
      <c r="AC39" s="40"/>
    </row>
    <row r="40" spans="1:29" s="11" customFormat="1" ht="15" customHeight="1" x14ac:dyDescent="0.25">
      <c r="A40" s="41"/>
      <c r="B40" s="32"/>
      <c r="C40" s="45"/>
      <c r="D40" s="45">
        <v>31</v>
      </c>
      <c r="E40" s="46"/>
      <c r="F40" s="45"/>
      <c r="G40" s="45"/>
      <c r="H40" s="45"/>
      <c r="I40" s="45"/>
      <c r="J40" s="45"/>
      <c r="K40" s="45"/>
      <c r="L40" s="45"/>
      <c r="M40" s="45"/>
      <c r="N40" s="45"/>
      <c r="O40" s="45"/>
      <c r="P40" s="45"/>
      <c r="Q40" s="45"/>
      <c r="R40" s="45"/>
      <c r="S40" s="45"/>
      <c r="T40" s="45"/>
      <c r="U40" s="45"/>
      <c r="V40" s="45"/>
      <c r="W40" s="45"/>
      <c r="X40" s="45"/>
      <c r="Y40" s="45"/>
      <c r="Z40" s="47" t="str">
        <f t="shared" si="0"/>
        <v>Очікую</v>
      </c>
      <c r="AA40" s="47" t="str">
        <f t="shared" si="1"/>
        <v>Очікую</v>
      </c>
      <c r="AB40" s="34"/>
      <c r="AC40" s="40"/>
    </row>
    <row r="41" spans="1:29" s="11" customFormat="1" ht="15" customHeight="1" x14ac:dyDescent="0.25">
      <c r="A41" s="41"/>
      <c r="B41" s="32"/>
      <c r="C41" s="45"/>
      <c r="D41" s="45">
        <v>32</v>
      </c>
      <c r="E41" s="46"/>
      <c r="F41" s="45"/>
      <c r="G41" s="45"/>
      <c r="H41" s="45"/>
      <c r="I41" s="45"/>
      <c r="J41" s="45"/>
      <c r="K41" s="45"/>
      <c r="L41" s="45"/>
      <c r="M41" s="45"/>
      <c r="N41" s="45"/>
      <c r="O41" s="45"/>
      <c r="P41" s="45"/>
      <c r="Q41" s="45"/>
      <c r="R41" s="45"/>
      <c r="S41" s="45"/>
      <c r="T41" s="45"/>
      <c r="U41" s="45"/>
      <c r="V41" s="45"/>
      <c r="W41" s="45"/>
      <c r="X41" s="45"/>
      <c r="Y41" s="45"/>
      <c r="Z41" s="47" t="str">
        <f t="shared" si="0"/>
        <v>Очікую</v>
      </c>
      <c r="AA41" s="47" t="str">
        <f t="shared" si="1"/>
        <v>Очікую</v>
      </c>
      <c r="AB41" s="34"/>
      <c r="AC41" s="40"/>
    </row>
    <row r="42" spans="1:29" s="11" customFormat="1" ht="15" customHeight="1" x14ac:dyDescent="0.25">
      <c r="A42" s="41"/>
      <c r="B42" s="32"/>
      <c r="C42" s="45"/>
      <c r="D42" s="45">
        <v>33</v>
      </c>
      <c r="E42" s="46"/>
      <c r="F42" s="45"/>
      <c r="G42" s="45"/>
      <c r="H42" s="45"/>
      <c r="I42" s="45"/>
      <c r="J42" s="45"/>
      <c r="K42" s="45"/>
      <c r="L42" s="45"/>
      <c r="M42" s="45"/>
      <c r="N42" s="45"/>
      <c r="O42" s="45"/>
      <c r="P42" s="45"/>
      <c r="Q42" s="45"/>
      <c r="R42" s="45"/>
      <c r="S42" s="45"/>
      <c r="T42" s="45"/>
      <c r="U42" s="45"/>
      <c r="V42" s="45"/>
      <c r="W42" s="45"/>
      <c r="X42" s="45"/>
      <c r="Y42" s="45"/>
      <c r="Z42" s="47" t="str">
        <f t="shared" si="0"/>
        <v>Очікую</v>
      </c>
      <c r="AA42" s="47" t="str">
        <f t="shared" si="1"/>
        <v>Очікую</v>
      </c>
      <c r="AB42" s="34"/>
      <c r="AC42" s="40"/>
    </row>
    <row r="43" spans="1:29" s="11" customFormat="1" ht="15" customHeight="1" x14ac:dyDescent="0.25">
      <c r="A43" s="41"/>
      <c r="B43" s="32"/>
      <c r="C43" s="45"/>
      <c r="D43" s="45">
        <v>34</v>
      </c>
      <c r="E43" s="46"/>
      <c r="F43" s="45"/>
      <c r="G43" s="45"/>
      <c r="H43" s="45"/>
      <c r="I43" s="45"/>
      <c r="J43" s="45"/>
      <c r="K43" s="45"/>
      <c r="L43" s="45"/>
      <c r="M43" s="45"/>
      <c r="N43" s="45"/>
      <c r="O43" s="45"/>
      <c r="P43" s="45"/>
      <c r="Q43" s="45"/>
      <c r="R43" s="45"/>
      <c r="S43" s="45"/>
      <c r="T43" s="45"/>
      <c r="U43" s="45"/>
      <c r="V43" s="45"/>
      <c r="W43" s="45"/>
      <c r="X43" s="45"/>
      <c r="Y43" s="45"/>
      <c r="Z43" s="47" t="str">
        <f t="shared" si="0"/>
        <v>Очікую</v>
      </c>
      <c r="AA43" s="47" t="str">
        <f t="shared" si="1"/>
        <v>Очікую</v>
      </c>
      <c r="AB43" s="34"/>
      <c r="AC43" s="40"/>
    </row>
    <row r="44" spans="1:29" s="11" customFormat="1" ht="15" customHeight="1" x14ac:dyDescent="0.25">
      <c r="A44" s="41"/>
      <c r="B44" s="32"/>
      <c r="C44" s="45"/>
      <c r="D44" s="45">
        <v>35</v>
      </c>
      <c r="E44" s="46"/>
      <c r="F44" s="45"/>
      <c r="G44" s="45"/>
      <c r="H44" s="45"/>
      <c r="I44" s="45"/>
      <c r="J44" s="45"/>
      <c r="K44" s="45"/>
      <c r="L44" s="45"/>
      <c r="M44" s="45"/>
      <c r="N44" s="45"/>
      <c r="O44" s="45"/>
      <c r="P44" s="45"/>
      <c r="Q44" s="45"/>
      <c r="R44" s="45"/>
      <c r="S44" s="45"/>
      <c r="T44" s="45"/>
      <c r="U44" s="45"/>
      <c r="V44" s="45"/>
      <c r="W44" s="45"/>
      <c r="X44" s="45"/>
      <c r="Y44" s="45"/>
      <c r="Z44" s="47" t="str">
        <f t="shared" si="0"/>
        <v>Очікую</v>
      </c>
      <c r="AA44" s="47" t="str">
        <f t="shared" si="1"/>
        <v>Очікую</v>
      </c>
      <c r="AB44" s="34"/>
      <c r="AC44" s="40"/>
    </row>
    <row r="45" spans="1:29" s="11" customFormat="1" ht="15" customHeight="1" x14ac:dyDescent="0.25">
      <c r="A45" s="41"/>
      <c r="B45" s="32"/>
      <c r="C45" s="45"/>
      <c r="D45" s="45">
        <v>36</v>
      </c>
      <c r="E45" s="46"/>
      <c r="F45" s="45"/>
      <c r="G45" s="45"/>
      <c r="H45" s="45"/>
      <c r="I45" s="45"/>
      <c r="J45" s="45"/>
      <c r="K45" s="45"/>
      <c r="L45" s="45"/>
      <c r="M45" s="45"/>
      <c r="N45" s="45"/>
      <c r="O45" s="45"/>
      <c r="P45" s="45"/>
      <c r="Q45" s="45"/>
      <c r="R45" s="45"/>
      <c r="S45" s="45"/>
      <c r="T45" s="45"/>
      <c r="U45" s="45"/>
      <c r="V45" s="45"/>
      <c r="W45" s="45"/>
      <c r="X45" s="45"/>
      <c r="Y45" s="45"/>
      <c r="Z45" s="47" t="str">
        <f t="shared" si="0"/>
        <v>Очікую</v>
      </c>
      <c r="AA45" s="47" t="str">
        <f t="shared" si="1"/>
        <v>Очікую</v>
      </c>
      <c r="AB45" s="34"/>
      <c r="AC45" s="40"/>
    </row>
    <row r="46" spans="1:29" s="11" customFormat="1" ht="15" customHeight="1" x14ac:dyDescent="0.25">
      <c r="A46" s="41"/>
      <c r="B46" s="32"/>
      <c r="C46" s="45"/>
      <c r="D46" s="45">
        <v>37</v>
      </c>
      <c r="E46" s="46"/>
      <c r="F46" s="45"/>
      <c r="G46" s="45"/>
      <c r="H46" s="45"/>
      <c r="I46" s="45"/>
      <c r="J46" s="45"/>
      <c r="K46" s="45"/>
      <c r="L46" s="45"/>
      <c r="M46" s="45"/>
      <c r="N46" s="45"/>
      <c r="O46" s="45"/>
      <c r="P46" s="45"/>
      <c r="Q46" s="45"/>
      <c r="R46" s="45"/>
      <c r="S46" s="45"/>
      <c r="T46" s="45"/>
      <c r="U46" s="45"/>
      <c r="V46" s="45"/>
      <c r="W46" s="45"/>
      <c r="X46" s="45"/>
      <c r="Y46" s="45"/>
      <c r="Z46" s="47" t="str">
        <f t="shared" si="0"/>
        <v>Очікую</v>
      </c>
      <c r="AA46" s="47" t="str">
        <f t="shared" si="1"/>
        <v>Очікую</v>
      </c>
      <c r="AB46" s="34"/>
      <c r="AC46" s="40"/>
    </row>
    <row r="47" spans="1:29" s="11" customFormat="1" ht="15" customHeight="1" x14ac:dyDescent="0.25">
      <c r="A47" s="41"/>
      <c r="B47" s="32"/>
      <c r="C47" s="45"/>
      <c r="D47" s="45">
        <v>38</v>
      </c>
      <c r="E47" s="46"/>
      <c r="F47" s="45"/>
      <c r="G47" s="45"/>
      <c r="H47" s="45"/>
      <c r="I47" s="45"/>
      <c r="J47" s="45"/>
      <c r="K47" s="45"/>
      <c r="L47" s="45"/>
      <c r="M47" s="45"/>
      <c r="N47" s="45"/>
      <c r="O47" s="45"/>
      <c r="P47" s="45"/>
      <c r="Q47" s="45"/>
      <c r="R47" s="45"/>
      <c r="S47" s="45"/>
      <c r="T47" s="45"/>
      <c r="U47" s="45"/>
      <c r="V47" s="45"/>
      <c r="W47" s="45"/>
      <c r="X47" s="45"/>
      <c r="Y47" s="45"/>
      <c r="Z47" s="47" t="str">
        <f t="shared" si="0"/>
        <v>Очікую</v>
      </c>
      <c r="AA47" s="47" t="str">
        <f t="shared" si="1"/>
        <v>Очікую</v>
      </c>
      <c r="AB47" s="34"/>
      <c r="AC47" s="40"/>
    </row>
    <row r="48" spans="1:29" s="11" customFormat="1" ht="15" customHeight="1" x14ac:dyDescent="0.25">
      <c r="A48" s="41"/>
      <c r="B48" s="32"/>
      <c r="C48" s="45"/>
      <c r="D48" s="45">
        <v>39</v>
      </c>
      <c r="E48" s="46"/>
      <c r="F48" s="45"/>
      <c r="G48" s="45"/>
      <c r="H48" s="45"/>
      <c r="I48" s="45"/>
      <c r="J48" s="45"/>
      <c r="K48" s="45"/>
      <c r="L48" s="45"/>
      <c r="M48" s="45"/>
      <c r="N48" s="45"/>
      <c r="O48" s="45"/>
      <c r="P48" s="45"/>
      <c r="Q48" s="45"/>
      <c r="R48" s="45"/>
      <c r="S48" s="45"/>
      <c r="T48" s="45"/>
      <c r="U48" s="45"/>
      <c r="V48" s="45"/>
      <c r="W48" s="45"/>
      <c r="X48" s="45"/>
      <c r="Y48" s="45"/>
      <c r="Z48" s="47" t="str">
        <f t="shared" si="0"/>
        <v>Очікую</v>
      </c>
      <c r="AA48" s="47" t="str">
        <f t="shared" si="1"/>
        <v>Очікую</v>
      </c>
      <c r="AB48" s="34"/>
      <c r="AC48" s="40"/>
    </row>
    <row r="49" spans="1:29" s="11" customFormat="1" ht="15" customHeight="1" x14ac:dyDescent="0.25">
      <c r="A49" s="41"/>
      <c r="B49" s="32"/>
      <c r="C49" s="45"/>
      <c r="D49" s="45">
        <v>40</v>
      </c>
      <c r="E49" s="46"/>
      <c r="F49" s="45"/>
      <c r="G49" s="45"/>
      <c r="H49" s="45"/>
      <c r="I49" s="45"/>
      <c r="J49" s="45"/>
      <c r="K49" s="45"/>
      <c r="L49" s="45"/>
      <c r="M49" s="45"/>
      <c r="N49" s="45"/>
      <c r="O49" s="45"/>
      <c r="P49" s="45"/>
      <c r="Q49" s="45"/>
      <c r="R49" s="45"/>
      <c r="S49" s="45"/>
      <c r="T49" s="45"/>
      <c r="U49" s="45"/>
      <c r="V49" s="45"/>
      <c r="W49" s="45"/>
      <c r="X49" s="45"/>
      <c r="Y49" s="45"/>
      <c r="Z49" s="47" t="str">
        <f t="shared" si="0"/>
        <v>Очікую</v>
      </c>
      <c r="AA49" s="47" t="str">
        <f t="shared" si="1"/>
        <v>Очікую</v>
      </c>
      <c r="AB49" s="34"/>
      <c r="AC49" s="40"/>
    </row>
    <row r="50" spans="1:29" s="11" customFormat="1" ht="15" customHeight="1" x14ac:dyDescent="0.25">
      <c r="A50" s="41"/>
      <c r="B50" s="32"/>
      <c r="C50" s="45"/>
      <c r="D50" s="45">
        <v>41</v>
      </c>
      <c r="E50" s="46"/>
      <c r="F50" s="45"/>
      <c r="G50" s="45"/>
      <c r="H50" s="45"/>
      <c r="I50" s="45"/>
      <c r="J50" s="45"/>
      <c r="K50" s="45"/>
      <c r="L50" s="45"/>
      <c r="M50" s="45"/>
      <c r="N50" s="45"/>
      <c r="O50" s="45"/>
      <c r="P50" s="45"/>
      <c r="Q50" s="45"/>
      <c r="R50" s="45"/>
      <c r="S50" s="45"/>
      <c r="T50" s="45"/>
      <c r="U50" s="45"/>
      <c r="V50" s="45"/>
      <c r="W50" s="45"/>
      <c r="X50" s="45"/>
      <c r="Y50" s="45"/>
      <c r="Z50" s="47" t="str">
        <f t="shared" si="0"/>
        <v>Очікую</v>
      </c>
      <c r="AA50" s="47" t="str">
        <f t="shared" si="1"/>
        <v>Очікую</v>
      </c>
      <c r="AB50" s="34"/>
      <c r="AC50" s="40"/>
    </row>
    <row r="51" spans="1:29" s="11" customFormat="1" ht="15" customHeight="1" x14ac:dyDescent="0.25">
      <c r="A51" s="41"/>
      <c r="B51" s="32"/>
      <c r="C51" s="45"/>
      <c r="D51" s="45">
        <v>42</v>
      </c>
      <c r="E51" s="46"/>
      <c r="F51" s="45"/>
      <c r="G51" s="45"/>
      <c r="H51" s="45"/>
      <c r="I51" s="45"/>
      <c r="J51" s="45"/>
      <c r="K51" s="45"/>
      <c r="L51" s="45"/>
      <c r="M51" s="45"/>
      <c r="N51" s="45"/>
      <c r="O51" s="45"/>
      <c r="P51" s="45"/>
      <c r="Q51" s="45"/>
      <c r="R51" s="45"/>
      <c r="S51" s="45"/>
      <c r="T51" s="45"/>
      <c r="U51" s="45"/>
      <c r="V51" s="45"/>
      <c r="W51" s="45"/>
      <c r="X51" s="45"/>
      <c r="Y51" s="45"/>
      <c r="Z51" s="47" t="str">
        <f t="shared" si="0"/>
        <v>Очікую</v>
      </c>
      <c r="AA51" s="47" t="str">
        <f t="shared" si="1"/>
        <v>Очікую</v>
      </c>
      <c r="AB51" s="34"/>
      <c r="AC51" s="40"/>
    </row>
    <row r="52" spans="1:29" s="11" customFormat="1" ht="15" customHeight="1" x14ac:dyDescent="0.25">
      <c r="A52" s="41"/>
      <c r="B52" s="32"/>
      <c r="C52" s="45"/>
      <c r="D52" s="45">
        <v>43</v>
      </c>
      <c r="E52" s="46"/>
      <c r="F52" s="45"/>
      <c r="G52" s="45"/>
      <c r="H52" s="45"/>
      <c r="I52" s="45"/>
      <c r="J52" s="45"/>
      <c r="K52" s="45"/>
      <c r="L52" s="45"/>
      <c r="M52" s="45"/>
      <c r="N52" s="45"/>
      <c r="O52" s="45"/>
      <c r="P52" s="45"/>
      <c r="Q52" s="45"/>
      <c r="R52" s="45"/>
      <c r="S52" s="45"/>
      <c r="T52" s="45"/>
      <c r="U52" s="45"/>
      <c r="V52" s="45"/>
      <c r="W52" s="45"/>
      <c r="X52" s="45"/>
      <c r="Y52" s="45"/>
      <c r="Z52" s="47" t="str">
        <f t="shared" si="0"/>
        <v>Очікую</v>
      </c>
      <c r="AA52" s="47" t="str">
        <f t="shared" si="1"/>
        <v>Очікую</v>
      </c>
      <c r="AB52" s="34"/>
      <c r="AC52" s="40"/>
    </row>
    <row r="53" spans="1:29" s="11" customFormat="1" ht="15" customHeight="1" x14ac:dyDescent="0.25">
      <c r="A53" s="41"/>
      <c r="B53" s="32"/>
      <c r="C53" s="45"/>
      <c r="D53" s="45">
        <v>44</v>
      </c>
      <c r="E53" s="46"/>
      <c r="F53" s="45"/>
      <c r="G53" s="45"/>
      <c r="H53" s="45"/>
      <c r="I53" s="45"/>
      <c r="J53" s="45"/>
      <c r="K53" s="45"/>
      <c r="L53" s="45"/>
      <c r="M53" s="45"/>
      <c r="N53" s="45"/>
      <c r="O53" s="45"/>
      <c r="P53" s="45"/>
      <c r="Q53" s="45"/>
      <c r="R53" s="45"/>
      <c r="S53" s="45"/>
      <c r="T53" s="45"/>
      <c r="U53" s="45"/>
      <c r="V53" s="45"/>
      <c r="W53" s="45"/>
      <c r="X53" s="45"/>
      <c r="Y53" s="45"/>
      <c r="Z53" s="47" t="str">
        <f t="shared" si="0"/>
        <v>Очікую</v>
      </c>
      <c r="AA53" s="47" t="str">
        <f t="shared" si="1"/>
        <v>Очікую</v>
      </c>
      <c r="AB53" s="34"/>
      <c r="AC53" s="40"/>
    </row>
    <row r="54" spans="1:29" s="11" customFormat="1" ht="15" customHeight="1" x14ac:dyDescent="0.25">
      <c r="A54" s="41"/>
      <c r="B54" s="32"/>
      <c r="C54" s="45"/>
      <c r="D54" s="45">
        <v>45</v>
      </c>
      <c r="E54" s="46"/>
      <c r="F54" s="45"/>
      <c r="G54" s="45"/>
      <c r="H54" s="45"/>
      <c r="I54" s="45"/>
      <c r="J54" s="45"/>
      <c r="K54" s="45"/>
      <c r="L54" s="45"/>
      <c r="M54" s="45"/>
      <c r="N54" s="45"/>
      <c r="O54" s="45"/>
      <c r="P54" s="45"/>
      <c r="Q54" s="45"/>
      <c r="R54" s="45"/>
      <c r="S54" s="45"/>
      <c r="T54" s="45"/>
      <c r="U54" s="45"/>
      <c r="V54" s="45"/>
      <c r="W54" s="45"/>
      <c r="X54" s="45"/>
      <c r="Y54" s="45"/>
      <c r="Z54" s="47" t="str">
        <f t="shared" si="0"/>
        <v>Очікую</v>
      </c>
      <c r="AA54" s="47" t="str">
        <f t="shared" si="1"/>
        <v>Очікую</v>
      </c>
      <c r="AB54" s="34"/>
      <c r="AC54" s="40"/>
    </row>
    <row r="55" spans="1:29" s="11" customFormat="1" ht="15" customHeight="1" x14ac:dyDescent="0.25">
      <c r="A55" s="41"/>
      <c r="B55" s="32"/>
      <c r="C55" s="45"/>
      <c r="D55" s="45">
        <v>46</v>
      </c>
      <c r="E55" s="46"/>
      <c r="F55" s="45"/>
      <c r="G55" s="45"/>
      <c r="H55" s="45"/>
      <c r="I55" s="45"/>
      <c r="J55" s="45"/>
      <c r="K55" s="45"/>
      <c r="L55" s="45"/>
      <c r="M55" s="45"/>
      <c r="N55" s="45"/>
      <c r="O55" s="45"/>
      <c r="P55" s="45"/>
      <c r="Q55" s="45"/>
      <c r="R55" s="45"/>
      <c r="S55" s="45"/>
      <c r="T55" s="45"/>
      <c r="U55" s="45"/>
      <c r="V55" s="45"/>
      <c r="W55" s="45"/>
      <c r="X55" s="45"/>
      <c r="Y55" s="45"/>
      <c r="Z55" s="47" t="str">
        <f t="shared" si="0"/>
        <v>Очікую</v>
      </c>
      <c r="AA55" s="47" t="str">
        <f t="shared" si="1"/>
        <v>Очікую</v>
      </c>
      <c r="AB55" s="34"/>
      <c r="AC55" s="40"/>
    </row>
    <row r="56" spans="1:29" s="11" customFormat="1" ht="15" customHeight="1" x14ac:dyDescent="0.25">
      <c r="A56" s="41"/>
      <c r="B56" s="32"/>
      <c r="C56" s="45"/>
      <c r="D56" s="45">
        <v>47</v>
      </c>
      <c r="E56" s="46"/>
      <c r="F56" s="45"/>
      <c r="G56" s="45"/>
      <c r="H56" s="45"/>
      <c r="I56" s="45"/>
      <c r="J56" s="45"/>
      <c r="K56" s="45"/>
      <c r="L56" s="45"/>
      <c r="M56" s="45"/>
      <c r="N56" s="45"/>
      <c r="O56" s="45"/>
      <c r="P56" s="45"/>
      <c r="Q56" s="45"/>
      <c r="R56" s="45"/>
      <c r="S56" s="45"/>
      <c r="T56" s="45"/>
      <c r="U56" s="45"/>
      <c r="V56" s="45"/>
      <c r="W56" s="45"/>
      <c r="X56" s="45"/>
      <c r="Y56" s="45"/>
      <c r="Z56" s="47" t="str">
        <f t="shared" si="0"/>
        <v>Очікую</v>
      </c>
      <c r="AA56" s="47" t="str">
        <f t="shared" si="1"/>
        <v>Очікую</v>
      </c>
      <c r="AB56" s="34"/>
      <c r="AC56" s="40"/>
    </row>
    <row r="57" spans="1:29" s="11" customFormat="1" ht="15" customHeight="1" x14ac:dyDescent="0.25">
      <c r="A57" s="41"/>
      <c r="B57" s="32"/>
      <c r="C57" s="45"/>
      <c r="D57" s="45">
        <v>48</v>
      </c>
      <c r="E57" s="46"/>
      <c r="F57" s="45"/>
      <c r="G57" s="45"/>
      <c r="H57" s="45"/>
      <c r="I57" s="45"/>
      <c r="J57" s="45"/>
      <c r="K57" s="45"/>
      <c r="L57" s="45"/>
      <c r="M57" s="45"/>
      <c r="N57" s="45"/>
      <c r="O57" s="45"/>
      <c r="P57" s="45"/>
      <c r="Q57" s="45"/>
      <c r="R57" s="45"/>
      <c r="S57" s="45"/>
      <c r="T57" s="45"/>
      <c r="U57" s="45"/>
      <c r="V57" s="45"/>
      <c r="W57" s="45"/>
      <c r="X57" s="45"/>
      <c r="Y57" s="45"/>
      <c r="Z57" s="47" t="str">
        <f t="shared" si="0"/>
        <v>Очікую</v>
      </c>
      <c r="AA57" s="47" t="str">
        <f t="shared" si="1"/>
        <v>Очікую</v>
      </c>
      <c r="AB57" s="34"/>
      <c r="AC57" s="40"/>
    </row>
    <row r="58" spans="1:29" s="11" customFormat="1" ht="15" customHeight="1" x14ac:dyDescent="0.25">
      <c r="A58" s="41"/>
      <c r="B58" s="32"/>
      <c r="C58" s="45"/>
      <c r="D58" s="45">
        <v>49</v>
      </c>
      <c r="E58" s="46"/>
      <c r="F58" s="45"/>
      <c r="G58" s="45"/>
      <c r="H58" s="45"/>
      <c r="I58" s="45"/>
      <c r="J58" s="45"/>
      <c r="K58" s="45"/>
      <c r="L58" s="45"/>
      <c r="M58" s="45"/>
      <c r="N58" s="45"/>
      <c r="O58" s="45"/>
      <c r="P58" s="45"/>
      <c r="Q58" s="45"/>
      <c r="R58" s="45"/>
      <c r="S58" s="45"/>
      <c r="T58" s="45"/>
      <c r="U58" s="45"/>
      <c r="V58" s="45"/>
      <c r="W58" s="45"/>
      <c r="X58" s="45"/>
      <c r="Y58" s="45"/>
      <c r="Z58" s="47" t="str">
        <f t="shared" si="0"/>
        <v>Очікую</v>
      </c>
      <c r="AA58" s="47" t="str">
        <f t="shared" si="1"/>
        <v>Очікую</v>
      </c>
      <c r="AB58" s="34"/>
      <c r="AC58" s="40"/>
    </row>
    <row r="59" spans="1:29" s="11" customFormat="1" ht="15" customHeight="1" x14ac:dyDescent="0.25">
      <c r="A59" s="41"/>
      <c r="B59" s="32"/>
      <c r="C59" s="45"/>
      <c r="D59" s="45">
        <v>50</v>
      </c>
      <c r="E59" s="46"/>
      <c r="F59" s="45"/>
      <c r="G59" s="45"/>
      <c r="H59" s="45"/>
      <c r="I59" s="45"/>
      <c r="J59" s="45"/>
      <c r="K59" s="45"/>
      <c r="L59" s="45"/>
      <c r="M59" s="45"/>
      <c r="N59" s="45"/>
      <c r="O59" s="45"/>
      <c r="P59" s="45"/>
      <c r="Q59" s="45"/>
      <c r="R59" s="45"/>
      <c r="S59" s="45"/>
      <c r="T59" s="45"/>
      <c r="U59" s="45"/>
      <c r="V59" s="45"/>
      <c r="W59" s="45"/>
      <c r="X59" s="45"/>
      <c r="Y59" s="45"/>
      <c r="Z59" s="47" t="str">
        <f t="shared" si="0"/>
        <v>Очікую</v>
      </c>
      <c r="AA59" s="47" t="str">
        <f t="shared" si="1"/>
        <v>Очікую</v>
      </c>
      <c r="AB59" s="34"/>
      <c r="AC59" s="40"/>
    </row>
    <row r="60" spans="1:29" s="11" customFormat="1" ht="15" customHeight="1" x14ac:dyDescent="0.25">
      <c r="A60" s="41"/>
      <c r="B60" s="32"/>
      <c r="C60" s="45"/>
      <c r="D60" s="45">
        <v>51</v>
      </c>
      <c r="E60" s="46"/>
      <c r="F60" s="45"/>
      <c r="G60" s="45"/>
      <c r="H60" s="45"/>
      <c r="I60" s="45"/>
      <c r="J60" s="45"/>
      <c r="K60" s="45"/>
      <c r="L60" s="45"/>
      <c r="M60" s="45"/>
      <c r="N60" s="45"/>
      <c r="O60" s="45"/>
      <c r="P60" s="45"/>
      <c r="Q60" s="45"/>
      <c r="R60" s="45"/>
      <c r="S60" s="45"/>
      <c r="T60" s="45"/>
      <c r="U60" s="45"/>
      <c r="V60" s="45"/>
      <c r="W60" s="45"/>
      <c r="X60" s="45"/>
      <c r="Y60" s="45"/>
      <c r="Z60" s="47" t="str">
        <f t="shared" si="0"/>
        <v>Очікую</v>
      </c>
      <c r="AA60" s="47" t="str">
        <f t="shared" si="1"/>
        <v>Очікую</v>
      </c>
      <c r="AB60" s="34"/>
      <c r="AC60" s="40"/>
    </row>
    <row r="61" spans="1:29" s="11" customFormat="1" ht="15" customHeight="1" x14ac:dyDescent="0.25">
      <c r="A61" s="41"/>
      <c r="B61" s="32"/>
      <c r="C61" s="45"/>
      <c r="D61" s="45">
        <v>52</v>
      </c>
      <c r="E61" s="46"/>
      <c r="F61" s="45"/>
      <c r="G61" s="45"/>
      <c r="H61" s="45"/>
      <c r="I61" s="45"/>
      <c r="J61" s="45"/>
      <c r="K61" s="45"/>
      <c r="L61" s="45"/>
      <c r="M61" s="45"/>
      <c r="N61" s="45"/>
      <c r="O61" s="45"/>
      <c r="P61" s="45"/>
      <c r="Q61" s="45"/>
      <c r="R61" s="45"/>
      <c r="S61" s="45"/>
      <c r="T61" s="45"/>
      <c r="U61" s="45"/>
      <c r="V61" s="45"/>
      <c r="W61" s="45"/>
      <c r="X61" s="45"/>
      <c r="Y61" s="45"/>
      <c r="Z61" s="47" t="str">
        <f t="shared" si="0"/>
        <v>Очікую</v>
      </c>
      <c r="AA61" s="47" t="str">
        <f t="shared" si="1"/>
        <v>Очікую</v>
      </c>
      <c r="AB61" s="34"/>
      <c r="AC61" s="40"/>
    </row>
    <row r="62" spans="1:29" s="11" customFormat="1" ht="15" customHeight="1" x14ac:dyDescent="0.25">
      <c r="A62" s="41"/>
      <c r="B62" s="32"/>
      <c r="C62" s="45"/>
      <c r="D62" s="45">
        <v>53</v>
      </c>
      <c r="E62" s="46"/>
      <c r="F62" s="45"/>
      <c r="G62" s="45"/>
      <c r="H62" s="45"/>
      <c r="I62" s="45"/>
      <c r="J62" s="45"/>
      <c r="K62" s="45"/>
      <c r="L62" s="45"/>
      <c r="M62" s="45"/>
      <c r="N62" s="45"/>
      <c r="O62" s="45"/>
      <c r="P62" s="45"/>
      <c r="Q62" s="45"/>
      <c r="R62" s="45"/>
      <c r="S62" s="45"/>
      <c r="T62" s="45"/>
      <c r="U62" s="45"/>
      <c r="V62" s="45"/>
      <c r="W62" s="45"/>
      <c r="X62" s="45"/>
      <c r="Y62" s="45"/>
      <c r="Z62" s="47" t="str">
        <f t="shared" si="0"/>
        <v>Очікую</v>
      </c>
      <c r="AA62" s="47" t="str">
        <f t="shared" si="1"/>
        <v>Очікую</v>
      </c>
      <c r="AB62" s="34"/>
      <c r="AC62" s="40"/>
    </row>
    <row r="63" spans="1:29" s="11" customFormat="1" ht="15" customHeight="1" x14ac:dyDescent="0.25">
      <c r="A63" s="41"/>
      <c r="B63" s="32"/>
      <c r="C63" s="45"/>
      <c r="D63" s="45">
        <v>54</v>
      </c>
      <c r="E63" s="46"/>
      <c r="F63" s="45"/>
      <c r="G63" s="45"/>
      <c r="H63" s="45"/>
      <c r="I63" s="45"/>
      <c r="J63" s="45"/>
      <c r="K63" s="45"/>
      <c r="L63" s="45"/>
      <c r="M63" s="45"/>
      <c r="N63" s="45"/>
      <c r="O63" s="45"/>
      <c r="P63" s="45"/>
      <c r="Q63" s="45"/>
      <c r="R63" s="45"/>
      <c r="S63" s="45"/>
      <c r="T63" s="45"/>
      <c r="U63" s="45"/>
      <c r="V63" s="45"/>
      <c r="W63" s="45"/>
      <c r="X63" s="45"/>
      <c r="Y63" s="45"/>
      <c r="Z63" s="47" t="str">
        <f t="shared" si="0"/>
        <v>Очікую</v>
      </c>
      <c r="AA63" s="47" t="str">
        <f t="shared" si="1"/>
        <v>Очікую</v>
      </c>
      <c r="AB63" s="34"/>
      <c r="AC63" s="40"/>
    </row>
    <row r="64" spans="1:29" s="11" customFormat="1" ht="15" customHeight="1" x14ac:dyDescent="0.25">
      <c r="A64" s="41"/>
      <c r="B64" s="32"/>
      <c r="C64" s="45"/>
      <c r="D64" s="45">
        <v>55</v>
      </c>
      <c r="E64" s="46"/>
      <c r="F64" s="45"/>
      <c r="G64" s="45"/>
      <c r="H64" s="45"/>
      <c r="I64" s="45"/>
      <c r="J64" s="45"/>
      <c r="K64" s="45"/>
      <c r="L64" s="45"/>
      <c r="M64" s="45"/>
      <c r="N64" s="45"/>
      <c r="O64" s="45"/>
      <c r="P64" s="45"/>
      <c r="Q64" s="45"/>
      <c r="R64" s="45"/>
      <c r="S64" s="45"/>
      <c r="T64" s="45"/>
      <c r="U64" s="45"/>
      <c r="V64" s="45"/>
      <c r="W64" s="45"/>
      <c r="X64" s="45"/>
      <c r="Y64" s="45"/>
      <c r="Z64" s="47" t="str">
        <f t="shared" si="0"/>
        <v>Очікую</v>
      </c>
      <c r="AA64" s="47" t="str">
        <f t="shared" si="1"/>
        <v>Очікую</v>
      </c>
      <c r="AB64" s="34"/>
      <c r="AC64" s="40"/>
    </row>
    <row r="65" spans="1:29" s="11" customFormat="1" ht="15" customHeight="1" x14ac:dyDescent="0.25">
      <c r="A65" s="41"/>
      <c r="B65" s="32"/>
      <c r="C65" s="45"/>
      <c r="D65" s="45">
        <v>56</v>
      </c>
      <c r="E65" s="46"/>
      <c r="F65" s="45"/>
      <c r="G65" s="45"/>
      <c r="H65" s="45"/>
      <c r="I65" s="45"/>
      <c r="J65" s="45"/>
      <c r="K65" s="45"/>
      <c r="L65" s="45"/>
      <c r="M65" s="45"/>
      <c r="N65" s="45"/>
      <c r="O65" s="45"/>
      <c r="P65" s="45"/>
      <c r="Q65" s="45"/>
      <c r="R65" s="45"/>
      <c r="S65" s="45"/>
      <c r="T65" s="45"/>
      <c r="U65" s="45"/>
      <c r="V65" s="45"/>
      <c r="W65" s="45"/>
      <c r="X65" s="45"/>
      <c r="Y65" s="45"/>
      <c r="Z65" s="47" t="str">
        <f t="shared" si="0"/>
        <v>Очікую</v>
      </c>
      <c r="AA65" s="47" t="str">
        <f t="shared" si="1"/>
        <v>Очікую</v>
      </c>
      <c r="AB65" s="34"/>
      <c r="AC65" s="40"/>
    </row>
    <row r="66" spans="1:29" s="11" customFormat="1" ht="15" customHeight="1" x14ac:dyDescent="0.25">
      <c r="A66" s="41"/>
      <c r="B66" s="32"/>
      <c r="C66" s="45"/>
      <c r="D66" s="45">
        <v>57</v>
      </c>
      <c r="E66" s="46"/>
      <c r="F66" s="45"/>
      <c r="G66" s="45"/>
      <c r="H66" s="45"/>
      <c r="I66" s="45"/>
      <c r="J66" s="45"/>
      <c r="K66" s="45"/>
      <c r="L66" s="45"/>
      <c r="M66" s="45"/>
      <c r="N66" s="45"/>
      <c r="O66" s="45"/>
      <c r="P66" s="45"/>
      <c r="Q66" s="45"/>
      <c r="R66" s="45"/>
      <c r="S66" s="45"/>
      <c r="T66" s="45"/>
      <c r="U66" s="45"/>
      <c r="V66" s="45"/>
      <c r="W66" s="45"/>
      <c r="X66" s="45"/>
      <c r="Y66" s="45"/>
      <c r="Z66" s="47" t="str">
        <f t="shared" si="0"/>
        <v>Очікую</v>
      </c>
      <c r="AA66" s="47" t="str">
        <f t="shared" si="1"/>
        <v>Очікую</v>
      </c>
      <c r="AB66" s="34"/>
      <c r="AC66" s="40"/>
    </row>
    <row r="67" spans="1:29" s="11" customFormat="1" ht="15" customHeight="1" x14ac:dyDescent="0.25">
      <c r="A67" s="41"/>
      <c r="B67" s="32"/>
      <c r="C67" s="45"/>
      <c r="D67" s="45">
        <v>58</v>
      </c>
      <c r="E67" s="46"/>
      <c r="F67" s="45"/>
      <c r="G67" s="45"/>
      <c r="H67" s="45"/>
      <c r="I67" s="45"/>
      <c r="J67" s="45"/>
      <c r="K67" s="45"/>
      <c r="L67" s="45"/>
      <c r="M67" s="45"/>
      <c r="N67" s="45"/>
      <c r="O67" s="45"/>
      <c r="P67" s="45"/>
      <c r="Q67" s="45"/>
      <c r="R67" s="45"/>
      <c r="S67" s="45"/>
      <c r="T67" s="45"/>
      <c r="U67" s="45"/>
      <c r="V67" s="45"/>
      <c r="W67" s="45"/>
      <c r="X67" s="45"/>
      <c r="Y67" s="45"/>
      <c r="Z67" s="47" t="str">
        <f t="shared" si="0"/>
        <v>Очікую</v>
      </c>
      <c r="AA67" s="47" t="str">
        <f t="shared" si="1"/>
        <v>Очікую</v>
      </c>
      <c r="AB67" s="34"/>
      <c r="AC67" s="40"/>
    </row>
    <row r="68" spans="1:29" s="11" customFormat="1" ht="15" customHeight="1" x14ac:dyDescent="0.25">
      <c r="A68" s="41"/>
      <c r="B68" s="32"/>
      <c r="C68" s="45"/>
      <c r="D68" s="45">
        <v>59</v>
      </c>
      <c r="E68" s="46"/>
      <c r="F68" s="45"/>
      <c r="G68" s="45"/>
      <c r="H68" s="45"/>
      <c r="I68" s="45"/>
      <c r="J68" s="45"/>
      <c r="K68" s="45"/>
      <c r="L68" s="45"/>
      <c r="M68" s="45"/>
      <c r="N68" s="45"/>
      <c r="O68" s="45"/>
      <c r="P68" s="45"/>
      <c r="Q68" s="45"/>
      <c r="R68" s="45"/>
      <c r="S68" s="45"/>
      <c r="T68" s="45"/>
      <c r="U68" s="45"/>
      <c r="V68" s="45"/>
      <c r="W68" s="45"/>
      <c r="X68" s="45"/>
      <c r="Y68" s="45"/>
      <c r="Z68" s="47" t="str">
        <f t="shared" si="0"/>
        <v>Очікую</v>
      </c>
      <c r="AA68" s="47" t="str">
        <f t="shared" si="1"/>
        <v>Очікую</v>
      </c>
      <c r="AB68" s="34"/>
      <c r="AC68" s="40"/>
    </row>
    <row r="69" spans="1:29" s="11" customFormat="1" ht="15" customHeight="1" x14ac:dyDescent="0.25">
      <c r="A69" s="41"/>
      <c r="B69" s="32"/>
      <c r="C69" s="45"/>
      <c r="D69" s="45">
        <v>60</v>
      </c>
      <c r="E69" s="46"/>
      <c r="F69" s="45"/>
      <c r="G69" s="45"/>
      <c r="H69" s="45"/>
      <c r="I69" s="45"/>
      <c r="J69" s="45"/>
      <c r="K69" s="45"/>
      <c r="L69" s="45"/>
      <c r="M69" s="45"/>
      <c r="N69" s="45"/>
      <c r="O69" s="45"/>
      <c r="P69" s="45"/>
      <c r="Q69" s="45"/>
      <c r="R69" s="45"/>
      <c r="S69" s="45"/>
      <c r="T69" s="45"/>
      <c r="U69" s="45"/>
      <c r="V69" s="45"/>
      <c r="W69" s="45"/>
      <c r="X69" s="45"/>
      <c r="Y69" s="45"/>
      <c r="Z69" s="47" t="str">
        <f t="shared" si="0"/>
        <v>Очікую</v>
      </c>
      <c r="AA69" s="47" t="str">
        <f t="shared" si="1"/>
        <v>Очікую</v>
      </c>
      <c r="AB69" s="34"/>
      <c r="AC69" s="40"/>
    </row>
    <row r="70" spans="1:29" s="11" customFormat="1" ht="15" customHeight="1" x14ac:dyDescent="0.25">
      <c r="A70" s="41"/>
      <c r="B70" s="32"/>
      <c r="C70" s="45"/>
      <c r="D70" s="45">
        <v>61</v>
      </c>
      <c r="E70" s="46"/>
      <c r="F70" s="45"/>
      <c r="G70" s="45"/>
      <c r="H70" s="45"/>
      <c r="I70" s="45"/>
      <c r="J70" s="45"/>
      <c r="K70" s="45"/>
      <c r="L70" s="45"/>
      <c r="M70" s="45"/>
      <c r="N70" s="45"/>
      <c r="O70" s="45"/>
      <c r="P70" s="45"/>
      <c r="Q70" s="45"/>
      <c r="R70" s="45"/>
      <c r="S70" s="45"/>
      <c r="T70" s="45"/>
      <c r="U70" s="45"/>
      <c r="V70" s="45"/>
      <c r="W70" s="45"/>
      <c r="X70" s="45"/>
      <c r="Y70" s="45"/>
      <c r="Z70" s="47" t="str">
        <f t="shared" si="0"/>
        <v>Очікую</v>
      </c>
      <c r="AA70" s="47" t="str">
        <f t="shared" si="1"/>
        <v>Очікую</v>
      </c>
      <c r="AB70" s="34"/>
      <c r="AC70" s="40"/>
    </row>
    <row r="71" spans="1:29" s="11" customFormat="1" ht="15" customHeight="1" x14ac:dyDescent="0.25">
      <c r="A71" s="41"/>
      <c r="B71" s="32"/>
      <c r="C71" s="45"/>
      <c r="D71" s="45">
        <v>62</v>
      </c>
      <c r="E71" s="46"/>
      <c r="F71" s="45"/>
      <c r="G71" s="45"/>
      <c r="H71" s="45"/>
      <c r="I71" s="45"/>
      <c r="J71" s="45"/>
      <c r="K71" s="45"/>
      <c r="L71" s="45"/>
      <c r="M71" s="45"/>
      <c r="N71" s="45"/>
      <c r="O71" s="45"/>
      <c r="P71" s="45"/>
      <c r="Q71" s="45"/>
      <c r="R71" s="45"/>
      <c r="S71" s="45"/>
      <c r="T71" s="45"/>
      <c r="U71" s="45"/>
      <c r="V71" s="45"/>
      <c r="W71" s="45"/>
      <c r="X71" s="45"/>
      <c r="Y71" s="45"/>
      <c r="Z71" s="47" t="str">
        <f t="shared" si="0"/>
        <v>Очікую</v>
      </c>
      <c r="AA71" s="47" t="str">
        <f t="shared" si="1"/>
        <v>Очікую</v>
      </c>
      <c r="AB71" s="34"/>
      <c r="AC71" s="40"/>
    </row>
    <row r="72" spans="1:29" s="11" customFormat="1" ht="15" customHeight="1" x14ac:dyDescent="0.25">
      <c r="A72" s="41"/>
      <c r="B72" s="32"/>
      <c r="C72" s="45"/>
      <c r="D72" s="45">
        <v>63</v>
      </c>
      <c r="E72" s="46"/>
      <c r="F72" s="45"/>
      <c r="G72" s="45"/>
      <c r="H72" s="45"/>
      <c r="I72" s="45"/>
      <c r="J72" s="45"/>
      <c r="K72" s="45"/>
      <c r="L72" s="45"/>
      <c r="M72" s="45"/>
      <c r="N72" s="45"/>
      <c r="O72" s="45"/>
      <c r="P72" s="45"/>
      <c r="Q72" s="45"/>
      <c r="R72" s="45"/>
      <c r="S72" s="45"/>
      <c r="T72" s="45"/>
      <c r="U72" s="45"/>
      <c r="V72" s="45"/>
      <c r="W72" s="45"/>
      <c r="X72" s="45"/>
      <c r="Y72" s="45"/>
      <c r="Z72" s="47" t="str">
        <f t="shared" si="0"/>
        <v>Очікую</v>
      </c>
      <c r="AA72" s="47" t="str">
        <f t="shared" si="1"/>
        <v>Очікую</v>
      </c>
      <c r="AB72" s="34"/>
      <c r="AC72" s="40"/>
    </row>
    <row r="73" spans="1:29" s="11" customFormat="1" ht="15" customHeight="1" x14ac:dyDescent="0.25">
      <c r="A73" s="41"/>
      <c r="B73" s="32"/>
      <c r="C73" s="45"/>
      <c r="D73" s="45">
        <v>64</v>
      </c>
      <c r="E73" s="46"/>
      <c r="F73" s="45"/>
      <c r="G73" s="45"/>
      <c r="H73" s="45"/>
      <c r="I73" s="45"/>
      <c r="J73" s="45"/>
      <c r="K73" s="45"/>
      <c r="L73" s="45"/>
      <c r="M73" s="45"/>
      <c r="N73" s="45"/>
      <c r="O73" s="45"/>
      <c r="P73" s="45"/>
      <c r="Q73" s="45"/>
      <c r="R73" s="45"/>
      <c r="S73" s="45"/>
      <c r="T73" s="45"/>
      <c r="U73" s="45"/>
      <c r="V73" s="45"/>
      <c r="W73" s="45"/>
      <c r="X73" s="45"/>
      <c r="Y73" s="45"/>
      <c r="Z73" s="47" t="str">
        <f t="shared" si="0"/>
        <v>Очікую</v>
      </c>
      <c r="AA73" s="47" t="str">
        <f t="shared" si="1"/>
        <v>Очікую</v>
      </c>
      <c r="AB73" s="34"/>
      <c r="AC73" s="40"/>
    </row>
    <row r="74" spans="1:29" s="11" customFormat="1" ht="15" customHeight="1" x14ac:dyDescent="0.25">
      <c r="A74" s="41"/>
      <c r="B74" s="32"/>
      <c r="C74" s="45"/>
      <c r="D74" s="45">
        <v>65</v>
      </c>
      <c r="E74" s="46"/>
      <c r="F74" s="45"/>
      <c r="G74" s="45"/>
      <c r="H74" s="45"/>
      <c r="I74" s="45"/>
      <c r="J74" s="45"/>
      <c r="K74" s="45"/>
      <c r="L74" s="45"/>
      <c r="M74" s="45"/>
      <c r="N74" s="45"/>
      <c r="O74" s="45"/>
      <c r="P74" s="45"/>
      <c r="Q74" s="45"/>
      <c r="R74" s="45"/>
      <c r="S74" s="45"/>
      <c r="T74" s="45"/>
      <c r="U74" s="45"/>
      <c r="V74" s="45"/>
      <c r="W74" s="45"/>
      <c r="X74" s="45"/>
      <c r="Y74" s="45"/>
      <c r="Z74" s="47" t="str">
        <f t="shared" si="0"/>
        <v>Очікую</v>
      </c>
      <c r="AA74" s="47" t="str">
        <f t="shared" si="1"/>
        <v>Очікую</v>
      </c>
      <c r="AB74" s="34"/>
      <c r="AC74" s="40"/>
    </row>
    <row r="75" spans="1:29" s="11" customFormat="1" ht="15" customHeight="1" x14ac:dyDescent="0.25">
      <c r="A75" s="41"/>
      <c r="B75" s="32"/>
      <c r="C75" s="45"/>
      <c r="D75" s="45">
        <v>66</v>
      </c>
      <c r="E75" s="46"/>
      <c r="F75" s="45"/>
      <c r="G75" s="45"/>
      <c r="H75" s="45"/>
      <c r="I75" s="45"/>
      <c r="J75" s="45"/>
      <c r="K75" s="45"/>
      <c r="L75" s="45"/>
      <c r="M75" s="45"/>
      <c r="N75" s="45"/>
      <c r="O75" s="45"/>
      <c r="P75" s="45"/>
      <c r="Q75" s="45"/>
      <c r="R75" s="45"/>
      <c r="S75" s="45"/>
      <c r="T75" s="45"/>
      <c r="U75" s="45"/>
      <c r="V75" s="45"/>
      <c r="W75" s="45"/>
      <c r="X75" s="45"/>
      <c r="Y75" s="45"/>
      <c r="Z75" s="47" t="str">
        <f t="shared" ref="Z75:Z109" si="2">IF(COUNTIF(F75:Y75,"=*")&gt;0,IF($C75="К","-"," - "),IF(COUNTIF(F75:Y75,"&lt;4")&gt;0,IF(C75="К","-"," - "),(IFERROR(AVERAGE(F75:Y75),"Очікую"))))</f>
        <v>Очікую</v>
      </c>
      <c r="AA75" s="47" t="str">
        <f t="shared" ref="AA75:AA109" si="3">IFERROR(Z75/12*90,"Очікую")</f>
        <v>Очікую</v>
      </c>
      <c r="AB75" s="34"/>
      <c r="AC75" s="40"/>
    </row>
    <row r="76" spans="1:29" s="11" customFormat="1" ht="15" customHeight="1" x14ac:dyDescent="0.25">
      <c r="A76" s="41"/>
      <c r="B76" s="32"/>
      <c r="C76" s="45"/>
      <c r="D76" s="45">
        <v>67</v>
      </c>
      <c r="E76" s="46"/>
      <c r="F76" s="45"/>
      <c r="G76" s="45"/>
      <c r="H76" s="45"/>
      <c r="I76" s="45"/>
      <c r="J76" s="45"/>
      <c r="K76" s="45"/>
      <c r="L76" s="45"/>
      <c r="M76" s="45"/>
      <c r="N76" s="45"/>
      <c r="O76" s="45"/>
      <c r="P76" s="45"/>
      <c r="Q76" s="45"/>
      <c r="R76" s="45"/>
      <c r="S76" s="45"/>
      <c r="T76" s="45"/>
      <c r="U76" s="45"/>
      <c r="V76" s="45"/>
      <c r="W76" s="45"/>
      <c r="X76" s="45"/>
      <c r="Y76" s="45"/>
      <c r="Z76" s="47" t="str">
        <f t="shared" si="2"/>
        <v>Очікую</v>
      </c>
      <c r="AA76" s="47" t="str">
        <f t="shared" si="3"/>
        <v>Очікую</v>
      </c>
      <c r="AB76" s="34"/>
      <c r="AC76" s="40"/>
    </row>
    <row r="77" spans="1:29" s="11" customFormat="1" ht="15" customHeight="1" x14ac:dyDescent="0.25">
      <c r="A77" s="41"/>
      <c r="B77" s="32"/>
      <c r="C77" s="45"/>
      <c r="D77" s="45">
        <v>68</v>
      </c>
      <c r="E77" s="46"/>
      <c r="F77" s="45"/>
      <c r="G77" s="45"/>
      <c r="H77" s="45"/>
      <c r="I77" s="45"/>
      <c r="J77" s="45"/>
      <c r="K77" s="45"/>
      <c r="L77" s="45"/>
      <c r="M77" s="45"/>
      <c r="N77" s="45"/>
      <c r="O77" s="45"/>
      <c r="P77" s="45"/>
      <c r="Q77" s="45"/>
      <c r="R77" s="45"/>
      <c r="S77" s="45"/>
      <c r="T77" s="45"/>
      <c r="U77" s="45"/>
      <c r="V77" s="45"/>
      <c r="W77" s="45"/>
      <c r="X77" s="45"/>
      <c r="Y77" s="45"/>
      <c r="Z77" s="47" t="str">
        <f t="shared" si="2"/>
        <v>Очікую</v>
      </c>
      <c r="AA77" s="47" t="str">
        <f t="shared" si="3"/>
        <v>Очікую</v>
      </c>
      <c r="AB77" s="34"/>
      <c r="AC77" s="40"/>
    </row>
    <row r="78" spans="1:29" s="11" customFormat="1" ht="15" customHeight="1" x14ac:dyDescent="0.25">
      <c r="A78" s="41"/>
      <c r="B78" s="32"/>
      <c r="C78" s="45"/>
      <c r="D78" s="45">
        <v>69</v>
      </c>
      <c r="E78" s="46"/>
      <c r="F78" s="45"/>
      <c r="G78" s="45"/>
      <c r="H78" s="45"/>
      <c r="I78" s="45"/>
      <c r="J78" s="45"/>
      <c r="K78" s="45"/>
      <c r="L78" s="45"/>
      <c r="M78" s="45"/>
      <c r="N78" s="45"/>
      <c r="O78" s="45"/>
      <c r="P78" s="45"/>
      <c r="Q78" s="45"/>
      <c r="R78" s="45"/>
      <c r="S78" s="45"/>
      <c r="T78" s="45"/>
      <c r="U78" s="45"/>
      <c r="V78" s="45"/>
      <c r="W78" s="45"/>
      <c r="X78" s="45"/>
      <c r="Y78" s="45"/>
      <c r="Z78" s="47" t="str">
        <f t="shared" si="2"/>
        <v>Очікую</v>
      </c>
      <c r="AA78" s="47" t="str">
        <f t="shared" si="3"/>
        <v>Очікую</v>
      </c>
      <c r="AB78" s="34"/>
      <c r="AC78" s="40"/>
    </row>
    <row r="79" spans="1:29" s="11" customFormat="1" ht="15" customHeight="1" x14ac:dyDescent="0.25">
      <c r="A79" s="41"/>
      <c r="B79" s="32"/>
      <c r="C79" s="45"/>
      <c r="D79" s="45">
        <v>70</v>
      </c>
      <c r="E79" s="46"/>
      <c r="F79" s="45"/>
      <c r="G79" s="45"/>
      <c r="H79" s="45"/>
      <c r="I79" s="45"/>
      <c r="J79" s="45"/>
      <c r="K79" s="45"/>
      <c r="L79" s="45"/>
      <c r="M79" s="45"/>
      <c r="N79" s="45"/>
      <c r="O79" s="45"/>
      <c r="P79" s="45"/>
      <c r="Q79" s="45"/>
      <c r="R79" s="45"/>
      <c r="S79" s="45"/>
      <c r="T79" s="45"/>
      <c r="U79" s="45"/>
      <c r="V79" s="45"/>
      <c r="W79" s="45"/>
      <c r="X79" s="45"/>
      <c r="Y79" s="45"/>
      <c r="Z79" s="47" t="str">
        <f t="shared" si="2"/>
        <v>Очікую</v>
      </c>
      <c r="AA79" s="47" t="str">
        <f t="shared" si="3"/>
        <v>Очікую</v>
      </c>
      <c r="AB79" s="34"/>
      <c r="AC79" s="40"/>
    </row>
    <row r="80" spans="1:29" s="11" customFormat="1" ht="15" customHeight="1" x14ac:dyDescent="0.25">
      <c r="A80" s="41"/>
      <c r="B80" s="32"/>
      <c r="C80" s="45"/>
      <c r="D80" s="45">
        <v>71</v>
      </c>
      <c r="E80" s="46"/>
      <c r="F80" s="45"/>
      <c r="G80" s="45"/>
      <c r="H80" s="45"/>
      <c r="I80" s="45"/>
      <c r="J80" s="45"/>
      <c r="K80" s="45"/>
      <c r="L80" s="45"/>
      <c r="M80" s="45"/>
      <c r="N80" s="45"/>
      <c r="O80" s="45"/>
      <c r="P80" s="45"/>
      <c r="Q80" s="45"/>
      <c r="R80" s="45"/>
      <c r="S80" s="45"/>
      <c r="T80" s="45"/>
      <c r="U80" s="45"/>
      <c r="V80" s="45"/>
      <c r="W80" s="45"/>
      <c r="X80" s="45"/>
      <c r="Y80" s="45"/>
      <c r="Z80" s="47" t="str">
        <f t="shared" si="2"/>
        <v>Очікую</v>
      </c>
      <c r="AA80" s="47" t="str">
        <f t="shared" si="3"/>
        <v>Очікую</v>
      </c>
      <c r="AB80" s="34"/>
      <c r="AC80" s="40"/>
    </row>
    <row r="81" spans="1:29" s="11" customFormat="1" ht="15" customHeight="1" x14ac:dyDescent="0.25">
      <c r="A81" s="41"/>
      <c r="B81" s="32"/>
      <c r="C81" s="45"/>
      <c r="D81" s="45">
        <v>72</v>
      </c>
      <c r="E81" s="46"/>
      <c r="F81" s="45"/>
      <c r="G81" s="45"/>
      <c r="H81" s="45"/>
      <c r="I81" s="45"/>
      <c r="J81" s="45"/>
      <c r="K81" s="45"/>
      <c r="L81" s="45"/>
      <c r="M81" s="45"/>
      <c r="N81" s="45"/>
      <c r="O81" s="45"/>
      <c r="P81" s="45"/>
      <c r="Q81" s="45"/>
      <c r="R81" s="45"/>
      <c r="S81" s="45"/>
      <c r="T81" s="45"/>
      <c r="U81" s="45"/>
      <c r="V81" s="45"/>
      <c r="W81" s="45"/>
      <c r="X81" s="45"/>
      <c r="Y81" s="45"/>
      <c r="Z81" s="47" t="str">
        <f t="shared" si="2"/>
        <v>Очікую</v>
      </c>
      <c r="AA81" s="47" t="str">
        <f t="shared" si="3"/>
        <v>Очікую</v>
      </c>
      <c r="AB81" s="34"/>
      <c r="AC81" s="40"/>
    </row>
    <row r="82" spans="1:29" s="11" customFormat="1" ht="15" customHeight="1" x14ac:dyDescent="0.25">
      <c r="A82" s="41"/>
      <c r="B82" s="32"/>
      <c r="C82" s="45"/>
      <c r="D82" s="45">
        <v>73</v>
      </c>
      <c r="E82" s="46"/>
      <c r="F82" s="45"/>
      <c r="G82" s="45"/>
      <c r="H82" s="45"/>
      <c r="I82" s="45"/>
      <c r="J82" s="45"/>
      <c r="K82" s="45"/>
      <c r="L82" s="45"/>
      <c r="M82" s="45"/>
      <c r="N82" s="45"/>
      <c r="O82" s="45"/>
      <c r="P82" s="45"/>
      <c r="Q82" s="45"/>
      <c r="R82" s="45"/>
      <c r="S82" s="45"/>
      <c r="T82" s="45"/>
      <c r="U82" s="45"/>
      <c r="V82" s="45"/>
      <c r="W82" s="45"/>
      <c r="X82" s="45"/>
      <c r="Y82" s="45"/>
      <c r="Z82" s="47" t="str">
        <f t="shared" si="2"/>
        <v>Очікую</v>
      </c>
      <c r="AA82" s="47" t="str">
        <f t="shared" si="3"/>
        <v>Очікую</v>
      </c>
      <c r="AB82" s="34"/>
      <c r="AC82" s="40"/>
    </row>
    <row r="83" spans="1:29" s="11" customFormat="1" ht="15" customHeight="1" x14ac:dyDescent="0.25">
      <c r="A83" s="41"/>
      <c r="B83" s="32"/>
      <c r="C83" s="45"/>
      <c r="D83" s="45">
        <v>74</v>
      </c>
      <c r="E83" s="46"/>
      <c r="F83" s="45"/>
      <c r="G83" s="45"/>
      <c r="H83" s="45"/>
      <c r="I83" s="45"/>
      <c r="J83" s="45"/>
      <c r="K83" s="45"/>
      <c r="L83" s="45"/>
      <c r="M83" s="45"/>
      <c r="N83" s="45"/>
      <c r="O83" s="45"/>
      <c r="P83" s="45"/>
      <c r="Q83" s="45"/>
      <c r="R83" s="45"/>
      <c r="S83" s="45"/>
      <c r="T83" s="45"/>
      <c r="U83" s="45"/>
      <c r="V83" s="45"/>
      <c r="W83" s="45"/>
      <c r="X83" s="45"/>
      <c r="Y83" s="45"/>
      <c r="Z83" s="47" t="str">
        <f t="shared" si="2"/>
        <v>Очікую</v>
      </c>
      <c r="AA83" s="47" t="str">
        <f t="shared" si="3"/>
        <v>Очікую</v>
      </c>
      <c r="AB83" s="34"/>
      <c r="AC83" s="40"/>
    </row>
    <row r="84" spans="1:29" s="11" customFormat="1" ht="15" customHeight="1" x14ac:dyDescent="0.25">
      <c r="A84" s="41"/>
      <c r="B84" s="32"/>
      <c r="C84" s="45"/>
      <c r="D84" s="45">
        <v>75</v>
      </c>
      <c r="E84" s="46"/>
      <c r="F84" s="45"/>
      <c r="G84" s="45"/>
      <c r="H84" s="45"/>
      <c r="I84" s="45"/>
      <c r="J84" s="45"/>
      <c r="K84" s="45"/>
      <c r="L84" s="45"/>
      <c r="M84" s="45"/>
      <c r="N84" s="45"/>
      <c r="O84" s="45"/>
      <c r="P84" s="45"/>
      <c r="Q84" s="45"/>
      <c r="R84" s="45"/>
      <c r="S84" s="45"/>
      <c r="T84" s="45"/>
      <c r="U84" s="45"/>
      <c r="V84" s="45"/>
      <c r="W84" s="45"/>
      <c r="X84" s="45"/>
      <c r="Y84" s="45"/>
      <c r="Z84" s="47" t="str">
        <f t="shared" si="2"/>
        <v>Очікую</v>
      </c>
      <c r="AA84" s="47" t="str">
        <f t="shared" si="3"/>
        <v>Очікую</v>
      </c>
      <c r="AB84" s="34"/>
      <c r="AC84" s="40"/>
    </row>
    <row r="85" spans="1:29" s="11" customFormat="1" ht="15" customHeight="1" x14ac:dyDescent="0.25">
      <c r="A85" s="41"/>
      <c r="B85" s="32"/>
      <c r="C85" s="45"/>
      <c r="D85" s="45">
        <v>76</v>
      </c>
      <c r="E85" s="46"/>
      <c r="F85" s="45"/>
      <c r="G85" s="45"/>
      <c r="H85" s="45"/>
      <c r="I85" s="45"/>
      <c r="J85" s="45"/>
      <c r="K85" s="45"/>
      <c r="L85" s="45"/>
      <c r="M85" s="45"/>
      <c r="N85" s="45"/>
      <c r="O85" s="45"/>
      <c r="P85" s="45"/>
      <c r="Q85" s="45"/>
      <c r="R85" s="45"/>
      <c r="S85" s="45"/>
      <c r="T85" s="45"/>
      <c r="U85" s="45"/>
      <c r="V85" s="45"/>
      <c r="W85" s="45"/>
      <c r="X85" s="45"/>
      <c r="Y85" s="45"/>
      <c r="Z85" s="47" t="str">
        <f t="shared" si="2"/>
        <v>Очікую</v>
      </c>
      <c r="AA85" s="47" t="str">
        <f t="shared" si="3"/>
        <v>Очікую</v>
      </c>
      <c r="AB85" s="34"/>
      <c r="AC85" s="40"/>
    </row>
    <row r="86" spans="1:29" s="11" customFormat="1" ht="15" customHeight="1" x14ac:dyDescent="0.25">
      <c r="A86" s="41"/>
      <c r="B86" s="32"/>
      <c r="C86" s="45"/>
      <c r="D86" s="45">
        <v>77</v>
      </c>
      <c r="E86" s="46"/>
      <c r="F86" s="45"/>
      <c r="G86" s="45"/>
      <c r="H86" s="45"/>
      <c r="I86" s="45"/>
      <c r="J86" s="45"/>
      <c r="K86" s="45"/>
      <c r="L86" s="45"/>
      <c r="M86" s="45"/>
      <c r="N86" s="45"/>
      <c r="O86" s="45"/>
      <c r="P86" s="45"/>
      <c r="Q86" s="45"/>
      <c r="R86" s="45"/>
      <c r="S86" s="45"/>
      <c r="T86" s="45"/>
      <c r="U86" s="45"/>
      <c r="V86" s="45"/>
      <c r="W86" s="45"/>
      <c r="X86" s="45"/>
      <c r="Y86" s="45"/>
      <c r="Z86" s="47" t="str">
        <f t="shared" si="2"/>
        <v>Очікую</v>
      </c>
      <c r="AA86" s="47" t="str">
        <f t="shared" si="3"/>
        <v>Очікую</v>
      </c>
      <c r="AB86" s="34"/>
      <c r="AC86" s="40"/>
    </row>
    <row r="87" spans="1:29" s="11" customFormat="1" ht="15" customHeight="1" x14ac:dyDescent="0.25">
      <c r="A87" s="41"/>
      <c r="B87" s="32"/>
      <c r="C87" s="45"/>
      <c r="D87" s="45">
        <v>78</v>
      </c>
      <c r="E87" s="46"/>
      <c r="F87" s="45"/>
      <c r="G87" s="45"/>
      <c r="H87" s="45"/>
      <c r="I87" s="45"/>
      <c r="J87" s="45"/>
      <c r="K87" s="45"/>
      <c r="L87" s="45"/>
      <c r="M87" s="45"/>
      <c r="N87" s="45"/>
      <c r="O87" s="45"/>
      <c r="P87" s="45"/>
      <c r="Q87" s="45"/>
      <c r="R87" s="45"/>
      <c r="S87" s="45"/>
      <c r="T87" s="45"/>
      <c r="U87" s="45"/>
      <c r="V87" s="45"/>
      <c r="W87" s="45"/>
      <c r="X87" s="45"/>
      <c r="Y87" s="45"/>
      <c r="Z87" s="47" t="str">
        <f t="shared" si="2"/>
        <v>Очікую</v>
      </c>
      <c r="AA87" s="47" t="str">
        <f t="shared" si="3"/>
        <v>Очікую</v>
      </c>
      <c r="AB87" s="34"/>
      <c r="AC87" s="40"/>
    </row>
    <row r="88" spans="1:29" s="11" customFormat="1" ht="15" customHeight="1" x14ac:dyDescent="0.25">
      <c r="A88" s="41"/>
      <c r="B88" s="32"/>
      <c r="C88" s="45"/>
      <c r="D88" s="45">
        <v>79</v>
      </c>
      <c r="E88" s="46"/>
      <c r="F88" s="45"/>
      <c r="G88" s="45"/>
      <c r="H88" s="45"/>
      <c r="I88" s="45"/>
      <c r="J88" s="45"/>
      <c r="K88" s="45"/>
      <c r="L88" s="45"/>
      <c r="M88" s="45"/>
      <c r="N88" s="45"/>
      <c r="O88" s="45"/>
      <c r="P88" s="45"/>
      <c r="Q88" s="45"/>
      <c r="R88" s="45"/>
      <c r="S88" s="45"/>
      <c r="T88" s="45"/>
      <c r="U88" s="45"/>
      <c r="V88" s="45"/>
      <c r="W88" s="45"/>
      <c r="X88" s="45"/>
      <c r="Y88" s="45"/>
      <c r="Z88" s="47" t="str">
        <f t="shared" si="2"/>
        <v>Очікую</v>
      </c>
      <c r="AA88" s="47" t="str">
        <f t="shared" si="3"/>
        <v>Очікую</v>
      </c>
      <c r="AB88" s="34"/>
      <c r="AC88" s="40"/>
    </row>
    <row r="89" spans="1:29" s="11" customFormat="1" ht="15" customHeight="1" x14ac:dyDescent="0.25">
      <c r="A89" s="41"/>
      <c r="B89" s="32"/>
      <c r="C89" s="45"/>
      <c r="D89" s="45">
        <v>80</v>
      </c>
      <c r="E89" s="46"/>
      <c r="F89" s="45"/>
      <c r="G89" s="45"/>
      <c r="H89" s="45"/>
      <c r="I89" s="45"/>
      <c r="J89" s="45"/>
      <c r="K89" s="45"/>
      <c r="L89" s="45"/>
      <c r="M89" s="45"/>
      <c r="N89" s="45"/>
      <c r="O89" s="45"/>
      <c r="P89" s="45"/>
      <c r="Q89" s="45"/>
      <c r="R89" s="45"/>
      <c r="S89" s="45"/>
      <c r="T89" s="45"/>
      <c r="U89" s="45"/>
      <c r="V89" s="45"/>
      <c r="W89" s="45"/>
      <c r="X89" s="45"/>
      <c r="Y89" s="45"/>
      <c r="Z89" s="47" t="str">
        <f t="shared" si="2"/>
        <v>Очікую</v>
      </c>
      <c r="AA89" s="47" t="str">
        <f t="shared" si="3"/>
        <v>Очікую</v>
      </c>
      <c r="AB89" s="34"/>
      <c r="AC89" s="40"/>
    </row>
    <row r="90" spans="1:29" s="11" customFormat="1" ht="15" customHeight="1" x14ac:dyDescent="0.25">
      <c r="A90" s="41"/>
      <c r="B90" s="32"/>
      <c r="C90" s="45"/>
      <c r="D90" s="45">
        <v>81</v>
      </c>
      <c r="E90" s="46"/>
      <c r="F90" s="45"/>
      <c r="G90" s="45"/>
      <c r="H90" s="45"/>
      <c r="I90" s="45"/>
      <c r="J90" s="45"/>
      <c r="K90" s="45"/>
      <c r="L90" s="45"/>
      <c r="M90" s="45"/>
      <c r="N90" s="45"/>
      <c r="O90" s="45"/>
      <c r="P90" s="45"/>
      <c r="Q90" s="45"/>
      <c r="R90" s="45"/>
      <c r="S90" s="45"/>
      <c r="T90" s="45"/>
      <c r="U90" s="45"/>
      <c r="V90" s="45"/>
      <c r="W90" s="45"/>
      <c r="X90" s="45"/>
      <c r="Y90" s="45"/>
      <c r="Z90" s="47" t="str">
        <f t="shared" si="2"/>
        <v>Очікую</v>
      </c>
      <c r="AA90" s="47" t="str">
        <f t="shared" si="3"/>
        <v>Очікую</v>
      </c>
      <c r="AB90" s="34"/>
      <c r="AC90" s="40"/>
    </row>
    <row r="91" spans="1:29" s="11" customFormat="1" ht="15" customHeight="1" x14ac:dyDescent="0.25">
      <c r="A91" s="41"/>
      <c r="B91" s="32"/>
      <c r="C91" s="45"/>
      <c r="D91" s="45">
        <v>82</v>
      </c>
      <c r="E91" s="46"/>
      <c r="F91" s="45"/>
      <c r="G91" s="45"/>
      <c r="H91" s="45"/>
      <c r="I91" s="45"/>
      <c r="J91" s="45"/>
      <c r="K91" s="45"/>
      <c r="L91" s="45"/>
      <c r="M91" s="45"/>
      <c r="N91" s="45"/>
      <c r="O91" s="45"/>
      <c r="P91" s="45"/>
      <c r="Q91" s="45"/>
      <c r="R91" s="45"/>
      <c r="S91" s="45"/>
      <c r="T91" s="45"/>
      <c r="U91" s="45"/>
      <c r="V91" s="45"/>
      <c r="W91" s="45"/>
      <c r="X91" s="45"/>
      <c r="Y91" s="45"/>
      <c r="Z91" s="47" t="str">
        <f t="shared" si="2"/>
        <v>Очікую</v>
      </c>
      <c r="AA91" s="47" t="str">
        <f t="shared" si="3"/>
        <v>Очікую</v>
      </c>
      <c r="AB91" s="34"/>
      <c r="AC91" s="40"/>
    </row>
    <row r="92" spans="1:29" s="11" customFormat="1" ht="15" customHeight="1" x14ac:dyDescent="0.25">
      <c r="A92" s="41"/>
      <c r="B92" s="32"/>
      <c r="C92" s="45"/>
      <c r="D92" s="45">
        <v>83</v>
      </c>
      <c r="E92" s="46"/>
      <c r="F92" s="45"/>
      <c r="G92" s="45"/>
      <c r="H92" s="45"/>
      <c r="I92" s="45"/>
      <c r="J92" s="45"/>
      <c r="K92" s="45"/>
      <c r="L92" s="45"/>
      <c r="M92" s="45"/>
      <c r="N92" s="45"/>
      <c r="O92" s="45"/>
      <c r="P92" s="45"/>
      <c r="Q92" s="45"/>
      <c r="R92" s="45"/>
      <c r="S92" s="45"/>
      <c r="T92" s="45"/>
      <c r="U92" s="45"/>
      <c r="V92" s="45"/>
      <c r="W92" s="45"/>
      <c r="X92" s="45"/>
      <c r="Y92" s="45"/>
      <c r="Z92" s="47" t="str">
        <f t="shared" si="2"/>
        <v>Очікую</v>
      </c>
      <c r="AA92" s="47" t="str">
        <f t="shared" si="3"/>
        <v>Очікую</v>
      </c>
      <c r="AB92" s="34"/>
      <c r="AC92" s="40"/>
    </row>
    <row r="93" spans="1:29" s="11" customFormat="1" ht="15" customHeight="1" x14ac:dyDescent="0.25">
      <c r="A93" s="41"/>
      <c r="B93" s="32"/>
      <c r="C93" s="45"/>
      <c r="D93" s="45">
        <v>84</v>
      </c>
      <c r="E93" s="46"/>
      <c r="F93" s="45"/>
      <c r="G93" s="45"/>
      <c r="H93" s="45"/>
      <c r="I93" s="45"/>
      <c r="J93" s="45"/>
      <c r="K93" s="45"/>
      <c r="L93" s="45"/>
      <c r="M93" s="45"/>
      <c r="N93" s="45"/>
      <c r="O93" s="45"/>
      <c r="P93" s="45"/>
      <c r="Q93" s="45"/>
      <c r="R93" s="45"/>
      <c r="S93" s="45"/>
      <c r="T93" s="45"/>
      <c r="U93" s="45"/>
      <c r="V93" s="45"/>
      <c r="W93" s="45"/>
      <c r="X93" s="45"/>
      <c r="Y93" s="45"/>
      <c r="Z93" s="47" t="str">
        <f t="shared" si="2"/>
        <v>Очікую</v>
      </c>
      <c r="AA93" s="47" t="str">
        <f t="shared" si="3"/>
        <v>Очікую</v>
      </c>
      <c r="AB93" s="34"/>
      <c r="AC93" s="40"/>
    </row>
    <row r="94" spans="1:29" s="11" customFormat="1" ht="15" customHeight="1" x14ac:dyDescent="0.25">
      <c r="A94" s="41"/>
      <c r="B94" s="32"/>
      <c r="C94" s="45"/>
      <c r="D94" s="45">
        <v>85</v>
      </c>
      <c r="E94" s="46"/>
      <c r="F94" s="45"/>
      <c r="G94" s="45"/>
      <c r="H94" s="45"/>
      <c r="I94" s="45"/>
      <c r="J94" s="45"/>
      <c r="K94" s="45"/>
      <c r="L94" s="45"/>
      <c r="M94" s="45"/>
      <c r="N94" s="45"/>
      <c r="O94" s="45"/>
      <c r="P94" s="45"/>
      <c r="Q94" s="45"/>
      <c r="R94" s="45"/>
      <c r="S94" s="45"/>
      <c r="T94" s="45"/>
      <c r="U94" s="45"/>
      <c r="V94" s="45"/>
      <c r="W94" s="45"/>
      <c r="X94" s="45"/>
      <c r="Y94" s="45"/>
      <c r="Z94" s="47" t="str">
        <f t="shared" si="2"/>
        <v>Очікую</v>
      </c>
      <c r="AA94" s="47" t="str">
        <f t="shared" si="3"/>
        <v>Очікую</v>
      </c>
      <c r="AB94" s="34"/>
      <c r="AC94" s="40"/>
    </row>
    <row r="95" spans="1:29" s="11" customFormat="1" ht="15" customHeight="1" x14ac:dyDescent="0.25">
      <c r="A95" s="41"/>
      <c r="B95" s="32"/>
      <c r="C95" s="45"/>
      <c r="D95" s="45">
        <v>86</v>
      </c>
      <c r="E95" s="46"/>
      <c r="F95" s="45"/>
      <c r="G95" s="45"/>
      <c r="H95" s="45"/>
      <c r="I95" s="45"/>
      <c r="J95" s="45"/>
      <c r="K95" s="45"/>
      <c r="L95" s="45"/>
      <c r="M95" s="45"/>
      <c r="N95" s="45"/>
      <c r="O95" s="45"/>
      <c r="P95" s="45"/>
      <c r="Q95" s="45"/>
      <c r="R95" s="45"/>
      <c r="S95" s="45"/>
      <c r="T95" s="45"/>
      <c r="U95" s="45"/>
      <c r="V95" s="45"/>
      <c r="W95" s="45"/>
      <c r="X95" s="45"/>
      <c r="Y95" s="45"/>
      <c r="Z95" s="47" t="str">
        <f t="shared" si="2"/>
        <v>Очікую</v>
      </c>
      <c r="AA95" s="47" t="str">
        <f t="shared" si="3"/>
        <v>Очікую</v>
      </c>
      <c r="AB95" s="34"/>
      <c r="AC95" s="40"/>
    </row>
    <row r="96" spans="1:29" s="11" customFormat="1" ht="15" customHeight="1" x14ac:dyDescent="0.25">
      <c r="A96" s="41"/>
      <c r="B96" s="32"/>
      <c r="C96" s="45"/>
      <c r="D96" s="45">
        <v>87</v>
      </c>
      <c r="E96" s="46"/>
      <c r="F96" s="45"/>
      <c r="G96" s="45"/>
      <c r="H96" s="45"/>
      <c r="I96" s="45"/>
      <c r="J96" s="45"/>
      <c r="K96" s="45"/>
      <c r="L96" s="45"/>
      <c r="M96" s="45"/>
      <c r="N96" s="45"/>
      <c r="O96" s="45"/>
      <c r="P96" s="45"/>
      <c r="Q96" s="45"/>
      <c r="R96" s="45"/>
      <c r="S96" s="45"/>
      <c r="T96" s="45"/>
      <c r="U96" s="45"/>
      <c r="V96" s="45"/>
      <c r="W96" s="45"/>
      <c r="X96" s="45"/>
      <c r="Y96" s="45"/>
      <c r="Z96" s="47" t="str">
        <f t="shared" si="2"/>
        <v>Очікую</v>
      </c>
      <c r="AA96" s="47" t="str">
        <f t="shared" si="3"/>
        <v>Очікую</v>
      </c>
      <c r="AB96" s="34"/>
      <c r="AC96" s="40"/>
    </row>
    <row r="97" spans="1:29" s="11" customFormat="1" ht="15" customHeight="1" x14ac:dyDescent="0.25">
      <c r="A97" s="41"/>
      <c r="B97" s="32"/>
      <c r="C97" s="45"/>
      <c r="D97" s="45">
        <v>88</v>
      </c>
      <c r="E97" s="46"/>
      <c r="F97" s="45"/>
      <c r="G97" s="45"/>
      <c r="H97" s="45"/>
      <c r="I97" s="45"/>
      <c r="J97" s="45"/>
      <c r="K97" s="45"/>
      <c r="L97" s="45"/>
      <c r="M97" s="45"/>
      <c r="N97" s="45"/>
      <c r="O97" s="45"/>
      <c r="P97" s="45"/>
      <c r="Q97" s="45"/>
      <c r="R97" s="45"/>
      <c r="S97" s="45"/>
      <c r="T97" s="45"/>
      <c r="U97" s="45"/>
      <c r="V97" s="45"/>
      <c r="W97" s="45"/>
      <c r="X97" s="45"/>
      <c r="Y97" s="45"/>
      <c r="Z97" s="47" t="str">
        <f t="shared" si="2"/>
        <v>Очікую</v>
      </c>
      <c r="AA97" s="47" t="str">
        <f t="shared" si="3"/>
        <v>Очікую</v>
      </c>
      <c r="AB97" s="34"/>
      <c r="AC97" s="40"/>
    </row>
    <row r="98" spans="1:29" s="11" customFormat="1" ht="15" customHeight="1" x14ac:dyDescent="0.25">
      <c r="A98" s="41"/>
      <c r="B98" s="32"/>
      <c r="C98" s="45"/>
      <c r="D98" s="45">
        <v>89</v>
      </c>
      <c r="E98" s="46"/>
      <c r="F98" s="45"/>
      <c r="G98" s="45"/>
      <c r="H98" s="45"/>
      <c r="I98" s="45"/>
      <c r="J98" s="45"/>
      <c r="K98" s="45"/>
      <c r="L98" s="45"/>
      <c r="M98" s="45"/>
      <c r="N98" s="45"/>
      <c r="O98" s="45"/>
      <c r="P98" s="45"/>
      <c r="Q98" s="45"/>
      <c r="R98" s="45"/>
      <c r="S98" s="45"/>
      <c r="T98" s="45"/>
      <c r="U98" s="45"/>
      <c r="V98" s="45"/>
      <c r="W98" s="45"/>
      <c r="X98" s="45"/>
      <c r="Y98" s="45"/>
      <c r="Z98" s="47" t="str">
        <f t="shared" si="2"/>
        <v>Очікую</v>
      </c>
      <c r="AA98" s="47" t="str">
        <f t="shared" si="3"/>
        <v>Очікую</v>
      </c>
      <c r="AB98" s="34"/>
      <c r="AC98" s="40"/>
    </row>
    <row r="99" spans="1:29" s="11" customFormat="1" ht="15" customHeight="1" x14ac:dyDescent="0.25">
      <c r="A99" s="41"/>
      <c r="B99" s="32"/>
      <c r="C99" s="45"/>
      <c r="D99" s="45">
        <v>90</v>
      </c>
      <c r="E99" s="46"/>
      <c r="F99" s="45"/>
      <c r="G99" s="45"/>
      <c r="H99" s="45"/>
      <c r="I99" s="45"/>
      <c r="J99" s="45"/>
      <c r="K99" s="45"/>
      <c r="L99" s="45"/>
      <c r="M99" s="45"/>
      <c r="N99" s="45"/>
      <c r="O99" s="45"/>
      <c r="P99" s="45"/>
      <c r="Q99" s="45"/>
      <c r="R99" s="45"/>
      <c r="S99" s="45"/>
      <c r="T99" s="45"/>
      <c r="U99" s="45"/>
      <c r="V99" s="45"/>
      <c r="W99" s="45"/>
      <c r="X99" s="45"/>
      <c r="Y99" s="45"/>
      <c r="Z99" s="47" t="str">
        <f t="shared" si="2"/>
        <v>Очікую</v>
      </c>
      <c r="AA99" s="47" t="str">
        <f t="shared" si="3"/>
        <v>Очікую</v>
      </c>
      <c r="AB99" s="34"/>
      <c r="AC99" s="40"/>
    </row>
    <row r="100" spans="1:29" s="11" customFormat="1" ht="15" customHeight="1" x14ac:dyDescent="0.25">
      <c r="A100" s="41"/>
      <c r="B100" s="32"/>
      <c r="C100" s="45"/>
      <c r="D100" s="45">
        <v>91</v>
      </c>
      <c r="E100" s="46"/>
      <c r="F100" s="45"/>
      <c r="G100" s="45"/>
      <c r="H100" s="45"/>
      <c r="I100" s="45"/>
      <c r="J100" s="45"/>
      <c r="K100" s="45"/>
      <c r="L100" s="45"/>
      <c r="M100" s="45"/>
      <c r="N100" s="45"/>
      <c r="O100" s="45"/>
      <c r="P100" s="45"/>
      <c r="Q100" s="45"/>
      <c r="R100" s="45"/>
      <c r="S100" s="45"/>
      <c r="T100" s="45"/>
      <c r="U100" s="45"/>
      <c r="V100" s="45"/>
      <c r="W100" s="45"/>
      <c r="X100" s="45"/>
      <c r="Y100" s="45"/>
      <c r="Z100" s="47" t="str">
        <f t="shared" si="2"/>
        <v>Очікую</v>
      </c>
      <c r="AA100" s="47" t="str">
        <f t="shared" si="3"/>
        <v>Очікую</v>
      </c>
      <c r="AB100" s="34"/>
      <c r="AC100" s="40"/>
    </row>
    <row r="101" spans="1:29" s="11" customFormat="1" ht="15" customHeight="1" x14ac:dyDescent="0.25">
      <c r="A101" s="41"/>
      <c r="B101" s="32"/>
      <c r="C101" s="45"/>
      <c r="D101" s="45">
        <v>92</v>
      </c>
      <c r="E101" s="46"/>
      <c r="F101" s="45"/>
      <c r="G101" s="45"/>
      <c r="H101" s="45"/>
      <c r="I101" s="45"/>
      <c r="J101" s="45"/>
      <c r="K101" s="45"/>
      <c r="L101" s="45"/>
      <c r="M101" s="45"/>
      <c r="N101" s="45"/>
      <c r="O101" s="45"/>
      <c r="P101" s="45"/>
      <c r="Q101" s="45"/>
      <c r="R101" s="45"/>
      <c r="S101" s="45"/>
      <c r="T101" s="45"/>
      <c r="U101" s="45"/>
      <c r="V101" s="45"/>
      <c r="W101" s="45"/>
      <c r="X101" s="45"/>
      <c r="Y101" s="45"/>
      <c r="Z101" s="47" t="str">
        <f t="shared" si="2"/>
        <v>Очікую</v>
      </c>
      <c r="AA101" s="47" t="str">
        <f t="shared" si="3"/>
        <v>Очікую</v>
      </c>
      <c r="AB101" s="34"/>
      <c r="AC101" s="40"/>
    </row>
    <row r="102" spans="1:29" s="11" customFormat="1" ht="15" customHeight="1" x14ac:dyDescent="0.25">
      <c r="A102" s="41"/>
      <c r="B102" s="32"/>
      <c r="C102" s="45"/>
      <c r="D102" s="45">
        <v>93</v>
      </c>
      <c r="E102" s="46"/>
      <c r="F102" s="45"/>
      <c r="G102" s="45"/>
      <c r="H102" s="45"/>
      <c r="I102" s="45"/>
      <c r="J102" s="45"/>
      <c r="K102" s="45"/>
      <c r="L102" s="45"/>
      <c r="M102" s="45"/>
      <c r="N102" s="45"/>
      <c r="O102" s="45"/>
      <c r="P102" s="45"/>
      <c r="Q102" s="45"/>
      <c r="R102" s="45"/>
      <c r="S102" s="45"/>
      <c r="T102" s="45"/>
      <c r="U102" s="45"/>
      <c r="V102" s="45"/>
      <c r="W102" s="45"/>
      <c r="X102" s="45"/>
      <c r="Y102" s="45"/>
      <c r="Z102" s="47" t="str">
        <f t="shared" si="2"/>
        <v>Очікую</v>
      </c>
      <c r="AA102" s="47" t="str">
        <f t="shared" si="3"/>
        <v>Очікую</v>
      </c>
      <c r="AB102" s="34"/>
      <c r="AC102" s="40"/>
    </row>
    <row r="103" spans="1:29" s="11" customFormat="1" ht="15" customHeight="1" x14ac:dyDescent="0.25">
      <c r="A103" s="41"/>
      <c r="B103" s="32"/>
      <c r="C103" s="45"/>
      <c r="D103" s="45">
        <v>94</v>
      </c>
      <c r="E103" s="46"/>
      <c r="F103" s="45"/>
      <c r="G103" s="45"/>
      <c r="H103" s="45"/>
      <c r="I103" s="45"/>
      <c r="J103" s="45"/>
      <c r="K103" s="45"/>
      <c r="L103" s="45"/>
      <c r="M103" s="45"/>
      <c r="N103" s="45"/>
      <c r="O103" s="45"/>
      <c r="P103" s="45"/>
      <c r="Q103" s="45"/>
      <c r="R103" s="45"/>
      <c r="S103" s="45"/>
      <c r="T103" s="45"/>
      <c r="U103" s="45"/>
      <c r="V103" s="45"/>
      <c r="W103" s="45"/>
      <c r="X103" s="45"/>
      <c r="Y103" s="45"/>
      <c r="Z103" s="47" t="str">
        <f t="shared" si="2"/>
        <v>Очікую</v>
      </c>
      <c r="AA103" s="47" t="str">
        <f t="shared" si="3"/>
        <v>Очікую</v>
      </c>
      <c r="AB103" s="34"/>
      <c r="AC103" s="40"/>
    </row>
    <row r="104" spans="1:29" s="11" customFormat="1" ht="15" customHeight="1" x14ac:dyDescent="0.25">
      <c r="A104" s="41"/>
      <c r="B104" s="32"/>
      <c r="C104" s="45"/>
      <c r="D104" s="45">
        <v>95</v>
      </c>
      <c r="E104" s="46"/>
      <c r="F104" s="45"/>
      <c r="G104" s="45"/>
      <c r="H104" s="45"/>
      <c r="I104" s="45"/>
      <c r="J104" s="45"/>
      <c r="K104" s="45"/>
      <c r="L104" s="45"/>
      <c r="M104" s="45"/>
      <c r="N104" s="45"/>
      <c r="O104" s="45"/>
      <c r="P104" s="45"/>
      <c r="Q104" s="45"/>
      <c r="R104" s="45"/>
      <c r="S104" s="45"/>
      <c r="T104" s="45"/>
      <c r="U104" s="45"/>
      <c r="V104" s="45"/>
      <c r="W104" s="45"/>
      <c r="X104" s="45"/>
      <c r="Y104" s="45"/>
      <c r="Z104" s="47" t="str">
        <f t="shared" si="2"/>
        <v>Очікую</v>
      </c>
      <c r="AA104" s="47" t="str">
        <f t="shared" si="3"/>
        <v>Очікую</v>
      </c>
      <c r="AB104" s="34"/>
      <c r="AC104" s="40"/>
    </row>
    <row r="105" spans="1:29" s="11" customFormat="1" ht="15" customHeight="1" x14ac:dyDescent="0.25">
      <c r="A105" s="41"/>
      <c r="B105" s="32"/>
      <c r="C105" s="45"/>
      <c r="D105" s="45">
        <v>96</v>
      </c>
      <c r="E105" s="46"/>
      <c r="F105" s="45"/>
      <c r="G105" s="45"/>
      <c r="H105" s="45"/>
      <c r="I105" s="45"/>
      <c r="J105" s="45"/>
      <c r="K105" s="45"/>
      <c r="L105" s="45"/>
      <c r="M105" s="45"/>
      <c r="N105" s="45"/>
      <c r="O105" s="45"/>
      <c r="P105" s="45"/>
      <c r="Q105" s="45"/>
      <c r="R105" s="45"/>
      <c r="S105" s="45"/>
      <c r="T105" s="45"/>
      <c r="U105" s="45"/>
      <c r="V105" s="45"/>
      <c r="W105" s="45"/>
      <c r="X105" s="45"/>
      <c r="Y105" s="45"/>
      <c r="Z105" s="47" t="str">
        <f t="shared" si="2"/>
        <v>Очікую</v>
      </c>
      <c r="AA105" s="47" t="str">
        <f t="shared" si="3"/>
        <v>Очікую</v>
      </c>
      <c r="AB105" s="34"/>
      <c r="AC105" s="40"/>
    </row>
    <row r="106" spans="1:29" s="11" customFormat="1" ht="15" customHeight="1" x14ac:dyDescent="0.25">
      <c r="A106" s="41"/>
      <c r="B106" s="32"/>
      <c r="C106" s="45"/>
      <c r="D106" s="45">
        <v>97</v>
      </c>
      <c r="E106" s="46"/>
      <c r="F106" s="45"/>
      <c r="G106" s="45"/>
      <c r="H106" s="45"/>
      <c r="I106" s="45"/>
      <c r="J106" s="45"/>
      <c r="K106" s="45"/>
      <c r="L106" s="45"/>
      <c r="M106" s="45"/>
      <c r="N106" s="45"/>
      <c r="O106" s="45"/>
      <c r="P106" s="45"/>
      <c r="Q106" s="45"/>
      <c r="R106" s="45"/>
      <c r="S106" s="45"/>
      <c r="T106" s="45"/>
      <c r="U106" s="45"/>
      <c r="V106" s="45"/>
      <c r="W106" s="45"/>
      <c r="X106" s="45"/>
      <c r="Y106" s="45"/>
      <c r="Z106" s="47" t="str">
        <f t="shared" si="2"/>
        <v>Очікую</v>
      </c>
      <c r="AA106" s="47" t="str">
        <f t="shared" si="3"/>
        <v>Очікую</v>
      </c>
      <c r="AB106" s="34"/>
      <c r="AC106" s="40"/>
    </row>
    <row r="107" spans="1:29" s="11" customFormat="1" ht="15" customHeight="1" x14ac:dyDescent="0.25">
      <c r="A107" s="41"/>
      <c r="B107" s="32"/>
      <c r="C107" s="45"/>
      <c r="D107" s="45">
        <v>98</v>
      </c>
      <c r="E107" s="46"/>
      <c r="F107" s="45"/>
      <c r="G107" s="45"/>
      <c r="H107" s="45"/>
      <c r="I107" s="45"/>
      <c r="J107" s="45"/>
      <c r="K107" s="45"/>
      <c r="L107" s="45"/>
      <c r="M107" s="45"/>
      <c r="N107" s="45"/>
      <c r="O107" s="45"/>
      <c r="P107" s="45"/>
      <c r="Q107" s="45"/>
      <c r="R107" s="45"/>
      <c r="S107" s="45"/>
      <c r="T107" s="45"/>
      <c r="U107" s="45"/>
      <c r="V107" s="45"/>
      <c r="W107" s="45"/>
      <c r="X107" s="45"/>
      <c r="Y107" s="45"/>
      <c r="Z107" s="47" t="str">
        <f t="shared" si="2"/>
        <v>Очікую</v>
      </c>
      <c r="AA107" s="47" t="str">
        <f t="shared" si="3"/>
        <v>Очікую</v>
      </c>
      <c r="AB107" s="34"/>
      <c r="AC107" s="40"/>
    </row>
    <row r="108" spans="1:29" s="11" customFormat="1" ht="15" customHeight="1" x14ac:dyDescent="0.25">
      <c r="A108" s="41"/>
      <c r="B108" s="32"/>
      <c r="C108" s="45"/>
      <c r="D108" s="45">
        <v>99</v>
      </c>
      <c r="E108" s="46"/>
      <c r="F108" s="45"/>
      <c r="G108" s="45"/>
      <c r="H108" s="45"/>
      <c r="I108" s="45"/>
      <c r="J108" s="45"/>
      <c r="K108" s="45"/>
      <c r="L108" s="45"/>
      <c r="M108" s="45"/>
      <c r="N108" s="45"/>
      <c r="O108" s="45"/>
      <c r="P108" s="45"/>
      <c r="Q108" s="45"/>
      <c r="R108" s="45"/>
      <c r="S108" s="45"/>
      <c r="T108" s="45"/>
      <c r="U108" s="45"/>
      <c r="V108" s="45"/>
      <c r="W108" s="45"/>
      <c r="X108" s="45"/>
      <c r="Y108" s="45"/>
      <c r="Z108" s="47" t="str">
        <f t="shared" si="2"/>
        <v>Очікую</v>
      </c>
      <c r="AA108" s="47" t="str">
        <f t="shared" si="3"/>
        <v>Очікую</v>
      </c>
      <c r="AB108" s="34"/>
      <c r="AC108" s="40"/>
    </row>
    <row r="109" spans="1:29" s="11" customFormat="1" ht="15" customHeight="1" x14ac:dyDescent="0.25">
      <c r="A109" s="41"/>
      <c r="B109" s="32"/>
      <c r="C109" s="45"/>
      <c r="D109" s="45">
        <v>100</v>
      </c>
      <c r="E109" s="46"/>
      <c r="F109" s="45"/>
      <c r="G109" s="45"/>
      <c r="H109" s="45"/>
      <c r="I109" s="45"/>
      <c r="J109" s="45"/>
      <c r="K109" s="45"/>
      <c r="L109" s="45"/>
      <c r="M109" s="45"/>
      <c r="N109" s="45"/>
      <c r="O109" s="45"/>
      <c r="P109" s="45"/>
      <c r="Q109" s="45"/>
      <c r="R109" s="45"/>
      <c r="S109" s="45"/>
      <c r="T109" s="45"/>
      <c r="U109" s="45"/>
      <c r="V109" s="45"/>
      <c r="W109" s="45"/>
      <c r="X109" s="45"/>
      <c r="Y109" s="45"/>
      <c r="Z109" s="47" t="str">
        <f t="shared" si="2"/>
        <v>Очікую</v>
      </c>
      <c r="AA109" s="47" t="str">
        <f t="shared" si="3"/>
        <v>Очікую</v>
      </c>
      <c r="AB109" s="34"/>
      <c r="AC109" s="40"/>
    </row>
    <row r="110" spans="1:29" ht="15" customHeight="1" x14ac:dyDescent="0.25">
      <c r="A110" s="41"/>
      <c r="B110" s="32"/>
      <c r="C110" s="25"/>
      <c r="D110" s="25"/>
      <c r="E110" s="26" t="s">
        <v>9</v>
      </c>
      <c r="F110" s="5" t="str">
        <f>ЛЗ7!F115</f>
        <v>Очікую</v>
      </c>
      <c r="G110" s="6"/>
      <c r="H110" s="6"/>
      <c r="I110" s="6"/>
      <c r="J110" s="6"/>
      <c r="K110" s="6"/>
      <c r="L110" s="25"/>
      <c r="M110" s="27"/>
      <c r="N110" s="25"/>
      <c r="O110" s="25"/>
      <c r="P110" s="25"/>
      <c r="Q110" s="25"/>
      <c r="R110" s="25"/>
      <c r="S110" s="25"/>
      <c r="T110" s="25"/>
      <c r="U110" s="28"/>
      <c r="V110" s="27"/>
      <c r="W110" s="25"/>
      <c r="X110" s="25"/>
      <c r="Y110" s="25"/>
      <c r="Z110" s="25"/>
      <c r="AA110" s="25"/>
      <c r="AB110" s="33"/>
      <c r="AC110" s="40"/>
    </row>
    <row r="111" spans="1:29" ht="15" customHeight="1" x14ac:dyDescent="0.25">
      <c r="A111" s="41"/>
      <c r="B111" s="32"/>
      <c r="C111" s="25"/>
      <c r="D111" s="25"/>
      <c r="E111" s="26" t="s">
        <v>10</v>
      </c>
      <c r="F111" s="5" t="str">
        <f>ЛЗ7!F116</f>
        <v>Очікую</v>
      </c>
      <c r="G111" s="6"/>
      <c r="H111" s="63" t="s">
        <v>11</v>
      </c>
      <c r="I111" s="6"/>
      <c r="J111" s="6"/>
      <c r="K111" s="6"/>
      <c r="L111" s="25"/>
      <c r="M111" s="27"/>
      <c r="N111" s="63"/>
      <c r="O111" s="63"/>
      <c r="P111" s="63"/>
      <c r="Q111" s="63"/>
      <c r="R111" s="6"/>
      <c r="S111" s="6"/>
      <c r="T111" s="6"/>
      <c r="U111" s="64"/>
      <c r="V111" s="64"/>
      <c r="W111" s="64"/>
      <c r="X111" s="64"/>
      <c r="Y111" s="64"/>
      <c r="Z111" s="64"/>
      <c r="AA111" s="25"/>
      <c r="AB111" s="33"/>
      <c r="AC111" s="40"/>
    </row>
    <row r="112" spans="1:29" ht="15" customHeight="1" x14ac:dyDescent="0.25">
      <c r="A112" s="41"/>
      <c r="B112" s="32"/>
      <c r="C112" s="25"/>
      <c r="D112" s="25"/>
      <c r="E112" s="26" t="s">
        <v>12</v>
      </c>
      <c r="F112" s="5">
        <f>ЛЗ7!F117</f>
        <v>0</v>
      </c>
      <c r="G112" s="6"/>
      <c r="H112" s="10"/>
      <c r="I112" s="6"/>
      <c r="J112" s="6"/>
      <c r="K112" s="6"/>
      <c r="L112" s="25"/>
      <c r="M112" s="27"/>
      <c r="N112" s="6"/>
      <c r="O112" s="6"/>
      <c r="P112" s="6"/>
      <c r="Q112" s="6"/>
      <c r="R112" s="6"/>
      <c r="S112" s="6"/>
      <c r="T112" s="6"/>
      <c r="U112" s="10"/>
      <c r="V112" s="10"/>
      <c r="W112" s="6"/>
      <c r="X112" s="6"/>
      <c r="Y112" s="6"/>
      <c r="Z112" s="6"/>
      <c r="AA112" s="25"/>
      <c r="AB112" s="33"/>
      <c r="AC112" s="40"/>
    </row>
    <row r="113" spans="1:29" ht="15" customHeight="1" x14ac:dyDescent="0.25">
      <c r="A113" s="41"/>
      <c r="B113" s="32"/>
      <c r="C113" s="25"/>
      <c r="D113" s="25"/>
      <c r="E113" s="26" t="s">
        <v>13</v>
      </c>
      <c r="F113" s="5" t="str">
        <f>ЛЗ7!F118</f>
        <v>Очікую</v>
      </c>
      <c r="G113" s="6"/>
      <c r="H113" s="64" t="s">
        <v>14</v>
      </c>
      <c r="I113" s="6"/>
      <c r="J113" s="6"/>
      <c r="K113" s="6"/>
      <c r="L113" s="25"/>
      <c r="M113" s="27"/>
      <c r="N113" s="64"/>
      <c r="O113" s="64"/>
      <c r="P113" s="64"/>
      <c r="Q113" s="64"/>
      <c r="R113" s="6"/>
      <c r="S113" s="6"/>
      <c r="T113" s="6"/>
      <c r="U113" s="64"/>
      <c r="V113" s="64"/>
      <c r="W113" s="64"/>
      <c r="X113" s="64"/>
      <c r="Y113" s="64"/>
      <c r="Z113" s="64"/>
      <c r="AA113" s="25"/>
      <c r="AB113" s="33"/>
      <c r="AC113" s="40"/>
    </row>
    <row r="114" spans="1:29" ht="12" customHeight="1" thickBot="1" x14ac:dyDescent="0.3">
      <c r="A114" s="41"/>
      <c r="B114" s="35"/>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c r="AA114" s="36"/>
      <c r="AB114" s="37"/>
      <c r="AC114" s="40"/>
    </row>
    <row r="115" spans="1:29" ht="12" customHeight="1" x14ac:dyDescent="0.25">
      <c r="A115" s="39"/>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40"/>
    </row>
    <row r="116" spans="1:29" ht="0" hidden="1" customHeight="1" x14ac:dyDescent="0.25">
      <c r="A116" s="42"/>
      <c r="AC116" s="42"/>
    </row>
    <row r="117" spans="1:29" ht="0" hidden="1" customHeight="1" x14ac:dyDescent="0.25">
      <c r="A117" s="42"/>
      <c r="AC117" s="42"/>
    </row>
    <row r="118" spans="1:29" ht="0" hidden="1" customHeight="1" x14ac:dyDescent="0.25">
      <c r="A118" s="42"/>
      <c r="AC118" s="42"/>
    </row>
    <row r="119" spans="1:29" ht="0" hidden="1" customHeight="1" x14ac:dyDescent="0.25">
      <c r="A119" s="42"/>
      <c r="AC119" s="42"/>
    </row>
    <row r="120" spans="1:29" ht="0" hidden="1" customHeight="1" x14ac:dyDescent="0.25">
      <c r="A120" s="42"/>
      <c r="B120" s="42"/>
      <c r="C120" s="42"/>
      <c r="D120" s="42"/>
      <c r="E120" s="42"/>
      <c r="F120" s="42"/>
      <c r="G120" s="42"/>
      <c r="H120" s="42"/>
      <c r="I120" s="42"/>
      <c r="J120" s="42"/>
      <c r="K120" s="42"/>
      <c r="L120" s="42"/>
      <c r="M120" s="42"/>
      <c r="N120" s="42"/>
      <c r="O120" s="42"/>
      <c r="P120" s="42"/>
      <c r="Q120" s="42"/>
      <c r="R120" s="42"/>
      <c r="S120" s="42"/>
      <c r="T120" s="42"/>
      <c r="U120" s="42"/>
      <c r="V120" s="42"/>
      <c r="W120" s="42"/>
      <c r="X120" s="42"/>
      <c r="Y120" s="42"/>
      <c r="Z120" s="42"/>
      <c r="AA120" s="42"/>
      <c r="AB120" s="42"/>
      <c r="AC120" s="42"/>
    </row>
  </sheetData>
  <sheetProtection insertRows="0" deleteRows="0"/>
  <mergeCells count="11">
    <mergeCell ref="C8:C9"/>
    <mergeCell ref="D8:D9"/>
    <mergeCell ref="E8:E9"/>
    <mergeCell ref="F8:Y8"/>
    <mergeCell ref="AA8:AA9"/>
    <mergeCell ref="Z8:Z9"/>
    <mergeCell ref="C3:AA3"/>
    <mergeCell ref="C4:AA4"/>
    <mergeCell ref="C5:AA5"/>
    <mergeCell ref="C6:AA6"/>
    <mergeCell ref="C7:AA7"/>
  </mergeCells>
  <printOptions horizontalCentered="1"/>
  <pageMargins left="0.19685039370078741" right="0.19685039370078741" top="0.19685039370078741" bottom="0.19685039370078741" header="0" footer="0"/>
  <pageSetup paperSize="9" scale="32"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E26B0A"/>
    <pageSetUpPr fitToPage="1"/>
  </sheetPr>
  <dimension ref="A1:BO120"/>
  <sheetViews>
    <sheetView zoomScaleNormal="100" workbookViewId="0"/>
  </sheetViews>
  <sheetFormatPr defaultColWidth="0" defaultRowHeight="0" customHeight="1" zeroHeight="1" x14ac:dyDescent="0.25"/>
  <cols>
    <col min="1" max="2" width="2.7109375" style="1" customWidth="1"/>
    <col min="3" max="3" width="4.140625" style="1" customWidth="1"/>
    <col min="4" max="4" width="6.5703125" style="1" customWidth="1"/>
    <col min="5" max="5" width="40.42578125" style="1" customWidth="1"/>
    <col min="6" max="25" width="6.7109375" style="1" customWidth="1"/>
    <col min="26" max="27" width="11.28515625" style="1" customWidth="1"/>
    <col min="28" max="29" width="2.7109375" style="1" customWidth="1"/>
    <col min="30" max="35" width="14.42578125" style="1" hidden="1" customWidth="1"/>
    <col min="36" max="36" width="14.85546875" style="1" hidden="1" customWidth="1"/>
    <col min="37" max="50" width="3.7109375" style="1" hidden="1" customWidth="1"/>
    <col min="51" max="67" width="5.7109375" style="1" hidden="1" customWidth="1"/>
    <col min="68" max="16384" width="14.42578125" style="1" hidden="1"/>
  </cols>
  <sheetData>
    <row r="1" spans="1:29" ht="12" customHeight="1" thickBot="1" x14ac:dyDescent="0.3">
      <c r="A1" s="38" t="s">
        <v>18</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row>
    <row r="2" spans="1:29" ht="12" customHeight="1" x14ac:dyDescent="0.25">
      <c r="A2" s="41"/>
      <c r="B2" s="29"/>
      <c r="C2" s="30"/>
      <c r="D2" s="30"/>
      <c r="E2" s="30"/>
      <c r="F2" s="30"/>
      <c r="G2" s="30"/>
      <c r="H2" s="30"/>
      <c r="I2" s="30"/>
      <c r="J2" s="30"/>
      <c r="K2" s="30"/>
      <c r="L2" s="30"/>
      <c r="M2" s="30"/>
      <c r="N2" s="30"/>
      <c r="O2" s="30"/>
      <c r="P2" s="30"/>
      <c r="Q2" s="30"/>
      <c r="R2" s="30"/>
      <c r="S2" s="30"/>
      <c r="T2" s="30"/>
      <c r="U2" s="30"/>
      <c r="V2" s="30"/>
      <c r="W2" s="30"/>
      <c r="X2" s="30"/>
      <c r="Y2" s="30"/>
      <c r="Z2" s="30"/>
      <c r="AA2" s="30"/>
      <c r="AB2" s="31"/>
      <c r="AC2" s="40"/>
    </row>
    <row r="3" spans="1:29" s="2" customFormat="1" ht="54.95" customHeight="1" x14ac:dyDescent="0.3">
      <c r="A3" s="41"/>
      <c r="B3" s="32"/>
      <c r="C3" s="85" t="s">
        <v>19</v>
      </c>
      <c r="D3" s="85"/>
      <c r="E3" s="85"/>
      <c r="F3" s="85"/>
      <c r="G3" s="85"/>
      <c r="H3" s="85"/>
      <c r="I3" s="85"/>
      <c r="J3" s="85"/>
      <c r="K3" s="85"/>
      <c r="L3" s="85"/>
      <c r="M3" s="85"/>
      <c r="N3" s="85"/>
      <c r="O3" s="85"/>
      <c r="P3" s="85"/>
      <c r="Q3" s="85"/>
      <c r="R3" s="85"/>
      <c r="S3" s="85"/>
      <c r="T3" s="85"/>
      <c r="U3" s="85"/>
      <c r="V3" s="85"/>
      <c r="W3" s="85"/>
      <c r="X3" s="85"/>
      <c r="Y3" s="85"/>
      <c r="Z3" s="85"/>
      <c r="AA3" s="85"/>
      <c r="AB3" s="33"/>
      <c r="AC3" s="40"/>
    </row>
    <row r="4" spans="1:29" s="3" customFormat="1" ht="15" customHeight="1" x14ac:dyDescent="0.25">
      <c r="A4" s="41"/>
      <c r="B4" s="32"/>
      <c r="C4" s="84" t="s">
        <v>23</v>
      </c>
      <c r="D4" s="84"/>
      <c r="E4" s="84"/>
      <c r="F4" s="84"/>
      <c r="G4" s="84"/>
      <c r="H4" s="84"/>
      <c r="I4" s="84"/>
      <c r="J4" s="84"/>
      <c r="K4" s="84"/>
      <c r="L4" s="84"/>
      <c r="M4" s="84"/>
      <c r="N4" s="84"/>
      <c r="O4" s="84"/>
      <c r="P4" s="84"/>
      <c r="Q4" s="84"/>
      <c r="R4" s="84"/>
      <c r="S4" s="84"/>
      <c r="T4" s="84"/>
      <c r="U4" s="84"/>
      <c r="V4" s="84"/>
      <c r="W4" s="84"/>
      <c r="X4" s="84"/>
      <c r="Y4" s="84"/>
      <c r="Z4" s="84"/>
      <c r="AA4" s="84"/>
      <c r="AB4" s="33"/>
      <c r="AC4" s="40"/>
    </row>
    <row r="5" spans="1:29" s="2" customFormat="1" ht="15" customHeight="1" x14ac:dyDescent="0.25">
      <c r="A5" s="41"/>
      <c r="B5" s="32"/>
      <c r="C5" s="86" t="str">
        <f>ЛЗ8!C5</f>
        <v>Успішності студентів спеціальності XXX «XXXXX»</v>
      </c>
      <c r="D5" s="86"/>
      <c r="E5" s="86"/>
      <c r="F5" s="86"/>
      <c r="G5" s="86"/>
      <c r="H5" s="86"/>
      <c r="I5" s="86"/>
      <c r="J5" s="86"/>
      <c r="K5" s="86"/>
      <c r="L5" s="86"/>
      <c r="M5" s="86"/>
      <c r="N5" s="86"/>
      <c r="O5" s="86"/>
      <c r="P5" s="86"/>
      <c r="Q5" s="86"/>
      <c r="R5" s="86"/>
      <c r="S5" s="86"/>
      <c r="T5" s="86"/>
      <c r="U5" s="86"/>
      <c r="V5" s="86"/>
      <c r="W5" s="86"/>
      <c r="X5" s="86"/>
      <c r="Y5" s="86"/>
      <c r="Z5" s="86"/>
      <c r="AA5" s="86"/>
      <c r="AB5" s="33"/>
      <c r="AC5" s="40"/>
    </row>
    <row r="6" spans="1:29" s="2" customFormat="1" ht="15" customHeight="1" x14ac:dyDescent="0.25">
      <c r="A6" s="41"/>
      <c r="B6" s="32"/>
      <c r="C6" s="86" t="str">
        <f>ЛЗ8!C6</f>
        <v>За X семестр XXXX-XXXX н.р.</v>
      </c>
      <c r="D6" s="86"/>
      <c r="E6" s="86"/>
      <c r="F6" s="86"/>
      <c r="G6" s="86"/>
      <c r="H6" s="86"/>
      <c r="I6" s="86"/>
      <c r="J6" s="86"/>
      <c r="K6" s="86"/>
      <c r="L6" s="86"/>
      <c r="M6" s="86"/>
      <c r="N6" s="86"/>
      <c r="O6" s="86"/>
      <c r="P6" s="86"/>
      <c r="Q6" s="86"/>
      <c r="R6" s="86"/>
      <c r="S6" s="86"/>
      <c r="T6" s="86"/>
      <c r="U6" s="86"/>
      <c r="V6" s="86"/>
      <c r="W6" s="86"/>
      <c r="X6" s="86"/>
      <c r="Y6" s="86"/>
      <c r="Z6" s="86"/>
      <c r="AA6" s="86"/>
      <c r="AB6" s="33"/>
      <c r="AC6" s="40"/>
    </row>
    <row r="7" spans="1:29" s="2" customFormat="1" ht="15" customHeight="1" x14ac:dyDescent="0.25">
      <c r="A7" s="41"/>
      <c r="B7" s="32"/>
      <c r="C7" s="87" t="str">
        <f>ЛЗ8!C7</f>
        <v>Група XXXX курс X</v>
      </c>
      <c r="D7" s="87"/>
      <c r="E7" s="87"/>
      <c r="F7" s="87"/>
      <c r="G7" s="87"/>
      <c r="H7" s="87"/>
      <c r="I7" s="87"/>
      <c r="J7" s="87"/>
      <c r="K7" s="87"/>
      <c r="L7" s="87"/>
      <c r="M7" s="87"/>
      <c r="N7" s="87"/>
      <c r="O7" s="87"/>
      <c r="P7" s="87"/>
      <c r="Q7" s="87"/>
      <c r="R7" s="87"/>
      <c r="S7" s="87"/>
      <c r="T7" s="87"/>
      <c r="U7" s="87"/>
      <c r="V7" s="87"/>
      <c r="W7" s="87"/>
      <c r="X7" s="87"/>
      <c r="Y7" s="87"/>
      <c r="Z7" s="87"/>
      <c r="AA7" s="87"/>
      <c r="AB7" s="33"/>
      <c r="AC7" s="40"/>
    </row>
    <row r="8" spans="1:29" ht="15" customHeight="1" x14ac:dyDescent="0.25">
      <c r="A8" s="41"/>
      <c r="B8" s="32"/>
      <c r="C8" s="88" t="s">
        <v>0</v>
      </c>
      <c r="D8" s="90" t="s">
        <v>1</v>
      </c>
      <c r="E8" s="90" t="s">
        <v>2</v>
      </c>
      <c r="F8" s="91" t="s">
        <v>17</v>
      </c>
      <c r="G8" s="92"/>
      <c r="H8" s="92"/>
      <c r="I8" s="92"/>
      <c r="J8" s="92"/>
      <c r="K8" s="92"/>
      <c r="L8" s="92"/>
      <c r="M8" s="92"/>
      <c r="N8" s="92"/>
      <c r="O8" s="92"/>
      <c r="P8" s="92"/>
      <c r="Q8" s="92"/>
      <c r="R8" s="92"/>
      <c r="S8" s="92"/>
      <c r="T8" s="92"/>
      <c r="U8" s="92"/>
      <c r="V8" s="92"/>
      <c r="W8" s="92"/>
      <c r="X8" s="92"/>
      <c r="Y8" s="93"/>
      <c r="Z8" s="94" t="s">
        <v>3</v>
      </c>
      <c r="AA8" s="94" t="s">
        <v>24</v>
      </c>
      <c r="AB8" s="33"/>
      <c r="AC8" s="40"/>
    </row>
    <row r="9" spans="1:29" ht="125.1" customHeight="1" x14ac:dyDescent="0.25">
      <c r="A9" s="41"/>
      <c r="B9" s="32"/>
      <c r="C9" s="89"/>
      <c r="D9" s="89"/>
      <c r="E9" s="89"/>
      <c r="F9" s="24">
        <v>1</v>
      </c>
      <c r="G9" s="24">
        <v>2</v>
      </c>
      <c r="H9" s="24">
        <v>3</v>
      </c>
      <c r="I9" s="24">
        <v>4</v>
      </c>
      <c r="J9" s="24">
        <v>5</v>
      </c>
      <c r="K9" s="24">
        <v>6</v>
      </c>
      <c r="L9" s="24">
        <v>7</v>
      </c>
      <c r="M9" s="24">
        <v>8</v>
      </c>
      <c r="N9" s="24">
        <v>9</v>
      </c>
      <c r="O9" s="24">
        <v>10</v>
      </c>
      <c r="P9" s="24">
        <v>11</v>
      </c>
      <c r="Q9" s="24">
        <v>12</v>
      </c>
      <c r="R9" s="24">
        <v>13</v>
      </c>
      <c r="S9" s="24">
        <v>14</v>
      </c>
      <c r="T9" s="24">
        <v>15</v>
      </c>
      <c r="U9" s="24">
        <v>16</v>
      </c>
      <c r="V9" s="24">
        <v>17</v>
      </c>
      <c r="W9" s="24">
        <v>18</v>
      </c>
      <c r="X9" s="24">
        <v>19</v>
      </c>
      <c r="Y9" s="24">
        <v>20</v>
      </c>
      <c r="Z9" s="95"/>
      <c r="AA9" s="95"/>
      <c r="AB9" s="33"/>
      <c r="AC9" s="40"/>
    </row>
    <row r="10" spans="1:29" s="11" customFormat="1" ht="15" customHeight="1" x14ac:dyDescent="0.25">
      <c r="A10" s="41"/>
      <c r="B10" s="32"/>
      <c r="C10" s="45"/>
      <c r="D10" s="45">
        <v>1</v>
      </c>
      <c r="E10" s="46"/>
      <c r="F10" s="45"/>
      <c r="G10" s="45"/>
      <c r="H10" s="45"/>
      <c r="I10" s="45"/>
      <c r="J10" s="45"/>
      <c r="K10" s="45"/>
      <c r="L10" s="45"/>
      <c r="M10" s="45"/>
      <c r="N10" s="45"/>
      <c r="O10" s="45"/>
      <c r="P10" s="45"/>
      <c r="Q10" s="45"/>
      <c r="R10" s="45"/>
      <c r="S10" s="45"/>
      <c r="T10" s="45"/>
      <c r="U10" s="45"/>
      <c r="V10" s="45"/>
      <c r="W10" s="45"/>
      <c r="X10" s="45"/>
      <c r="Y10" s="45"/>
      <c r="Z10" s="47" t="str">
        <f>IF(COUNTIF(F10:Y10,"=*")&gt;0,IF($C10="К","-"," - "),IF(COUNTIF(F10:Y10,"&lt;4")&gt;0,IF(C10="К","-"," - "),(IFERROR(AVERAGE(F10:Y10),"Очікую"))))</f>
        <v>Очікую</v>
      </c>
      <c r="AA10" s="47" t="str">
        <f>IFERROR(Z10/12*90,"Очікую")</f>
        <v>Очікую</v>
      </c>
      <c r="AB10" s="34"/>
      <c r="AC10" s="40"/>
    </row>
    <row r="11" spans="1:29" s="11" customFormat="1" ht="15" customHeight="1" x14ac:dyDescent="0.25">
      <c r="A11" s="41"/>
      <c r="B11" s="32"/>
      <c r="C11" s="45"/>
      <c r="D11" s="45">
        <v>2</v>
      </c>
      <c r="E11" s="46"/>
      <c r="F11" s="45"/>
      <c r="G11" s="45"/>
      <c r="H11" s="45"/>
      <c r="I11" s="45"/>
      <c r="J11" s="45"/>
      <c r="K11" s="45"/>
      <c r="L11" s="45"/>
      <c r="M11" s="45"/>
      <c r="N11" s="45"/>
      <c r="O11" s="45"/>
      <c r="P11" s="45"/>
      <c r="Q11" s="45"/>
      <c r="R11" s="45"/>
      <c r="S11" s="45"/>
      <c r="T11" s="45"/>
      <c r="U11" s="45"/>
      <c r="V11" s="45"/>
      <c r="W11" s="45"/>
      <c r="X11" s="45"/>
      <c r="Y11" s="45"/>
      <c r="Z11" s="47" t="str">
        <f t="shared" ref="Z11:Z74" si="0">IF(COUNTIF(F11:Y11,"=*")&gt;0,IF($C11="К","-"," - "),IF(COUNTIF(F11:Y11,"&lt;4")&gt;0,IF(C11="К","-"," - "),(IFERROR(AVERAGE(F11:Y11),"Очікую"))))</f>
        <v>Очікую</v>
      </c>
      <c r="AA11" s="47" t="str">
        <f t="shared" ref="AA11:AA74" si="1">IFERROR(Z11/12*90,"Очікую")</f>
        <v>Очікую</v>
      </c>
      <c r="AB11" s="34"/>
      <c r="AC11" s="40"/>
    </row>
    <row r="12" spans="1:29" s="11" customFormat="1" ht="15" customHeight="1" x14ac:dyDescent="0.25">
      <c r="A12" s="41"/>
      <c r="B12" s="32"/>
      <c r="C12" s="45"/>
      <c r="D12" s="45">
        <v>3</v>
      </c>
      <c r="E12" s="46"/>
      <c r="F12" s="45"/>
      <c r="G12" s="45"/>
      <c r="H12" s="45"/>
      <c r="I12" s="45"/>
      <c r="J12" s="45"/>
      <c r="K12" s="45"/>
      <c r="L12" s="45"/>
      <c r="M12" s="45"/>
      <c r="N12" s="45"/>
      <c r="O12" s="45"/>
      <c r="P12" s="45"/>
      <c r="Q12" s="45"/>
      <c r="R12" s="45"/>
      <c r="S12" s="45"/>
      <c r="T12" s="45"/>
      <c r="U12" s="45"/>
      <c r="V12" s="45"/>
      <c r="W12" s="45"/>
      <c r="X12" s="45"/>
      <c r="Y12" s="45"/>
      <c r="Z12" s="47" t="str">
        <f t="shared" si="0"/>
        <v>Очікую</v>
      </c>
      <c r="AA12" s="47" t="str">
        <f t="shared" si="1"/>
        <v>Очікую</v>
      </c>
      <c r="AB12" s="34"/>
      <c r="AC12" s="40"/>
    </row>
    <row r="13" spans="1:29" s="11" customFormat="1" ht="15" customHeight="1" x14ac:dyDescent="0.25">
      <c r="A13" s="41"/>
      <c r="B13" s="32"/>
      <c r="C13" s="45"/>
      <c r="D13" s="45">
        <v>4</v>
      </c>
      <c r="E13" s="46"/>
      <c r="F13" s="45"/>
      <c r="G13" s="45"/>
      <c r="H13" s="45"/>
      <c r="I13" s="45"/>
      <c r="J13" s="45"/>
      <c r="K13" s="45"/>
      <c r="L13" s="45"/>
      <c r="M13" s="45"/>
      <c r="N13" s="45"/>
      <c r="O13" s="45"/>
      <c r="P13" s="45"/>
      <c r="Q13" s="45"/>
      <c r="R13" s="45"/>
      <c r="S13" s="45"/>
      <c r="T13" s="45"/>
      <c r="U13" s="45"/>
      <c r="V13" s="45"/>
      <c r="W13" s="45"/>
      <c r="X13" s="45"/>
      <c r="Y13" s="45"/>
      <c r="Z13" s="47" t="str">
        <f t="shared" si="0"/>
        <v>Очікую</v>
      </c>
      <c r="AA13" s="47" t="str">
        <f t="shared" si="1"/>
        <v>Очікую</v>
      </c>
      <c r="AB13" s="34"/>
      <c r="AC13" s="40"/>
    </row>
    <row r="14" spans="1:29" s="11" customFormat="1" ht="15" customHeight="1" x14ac:dyDescent="0.25">
      <c r="A14" s="41"/>
      <c r="B14" s="32"/>
      <c r="C14" s="45"/>
      <c r="D14" s="45">
        <v>5</v>
      </c>
      <c r="E14" s="46"/>
      <c r="F14" s="45"/>
      <c r="G14" s="45"/>
      <c r="H14" s="45"/>
      <c r="I14" s="45"/>
      <c r="J14" s="45"/>
      <c r="K14" s="45"/>
      <c r="L14" s="45"/>
      <c r="M14" s="45"/>
      <c r="N14" s="45"/>
      <c r="O14" s="45"/>
      <c r="P14" s="45"/>
      <c r="Q14" s="45"/>
      <c r="R14" s="45"/>
      <c r="S14" s="45"/>
      <c r="T14" s="45"/>
      <c r="U14" s="45"/>
      <c r="V14" s="45"/>
      <c r="W14" s="45"/>
      <c r="X14" s="45"/>
      <c r="Y14" s="45"/>
      <c r="Z14" s="47" t="str">
        <f t="shared" si="0"/>
        <v>Очікую</v>
      </c>
      <c r="AA14" s="47" t="str">
        <f t="shared" si="1"/>
        <v>Очікую</v>
      </c>
      <c r="AB14" s="34"/>
      <c r="AC14" s="40"/>
    </row>
    <row r="15" spans="1:29" s="11" customFormat="1" ht="15" customHeight="1" x14ac:dyDescent="0.25">
      <c r="A15" s="41"/>
      <c r="B15" s="32"/>
      <c r="C15" s="45"/>
      <c r="D15" s="45">
        <v>6</v>
      </c>
      <c r="E15" s="46"/>
      <c r="F15" s="45"/>
      <c r="G15" s="45"/>
      <c r="H15" s="45"/>
      <c r="I15" s="45"/>
      <c r="J15" s="45"/>
      <c r="K15" s="45"/>
      <c r="L15" s="45"/>
      <c r="M15" s="45"/>
      <c r="N15" s="45"/>
      <c r="O15" s="45"/>
      <c r="P15" s="45"/>
      <c r="Q15" s="45"/>
      <c r="R15" s="45"/>
      <c r="S15" s="45"/>
      <c r="T15" s="45"/>
      <c r="U15" s="45"/>
      <c r="V15" s="45"/>
      <c r="W15" s="45"/>
      <c r="X15" s="45"/>
      <c r="Y15" s="45"/>
      <c r="Z15" s="47" t="str">
        <f t="shared" si="0"/>
        <v>Очікую</v>
      </c>
      <c r="AA15" s="47" t="str">
        <f t="shared" si="1"/>
        <v>Очікую</v>
      </c>
      <c r="AB15" s="34"/>
      <c r="AC15" s="40"/>
    </row>
    <row r="16" spans="1:29" s="11" customFormat="1" ht="15" customHeight="1" x14ac:dyDescent="0.25">
      <c r="A16" s="41"/>
      <c r="B16" s="32"/>
      <c r="C16" s="45"/>
      <c r="D16" s="45">
        <v>7</v>
      </c>
      <c r="E16" s="46"/>
      <c r="F16" s="45"/>
      <c r="G16" s="45"/>
      <c r="H16" s="45"/>
      <c r="I16" s="45"/>
      <c r="J16" s="45"/>
      <c r="K16" s="45"/>
      <c r="L16" s="45"/>
      <c r="M16" s="45"/>
      <c r="N16" s="45"/>
      <c r="O16" s="45"/>
      <c r="P16" s="45"/>
      <c r="Q16" s="45"/>
      <c r="R16" s="45"/>
      <c r="S16" s="45"/>
      <c r="T16" s="45"/>
      <c r="U16" s="45"/>
      <c r="V16" s="45"/>
      <c r="W16" s="45"/>
      <c r="X16" s="45"/>
      <c r="Y16" s="45"/>
      <c r="Z16" s="47" t="str">
        <f t="shared" si="0"/>
        <v>Очікую</v>
      </c>
      <c r="AA16" s="47" t="str">
        <f t="shared" si="1"/>
        <v>Очікую</v>
      </c>
      <c r="AB16" s="34"/>
      <c r="AC16" s="40"/>
    </row>
    <row r="17" spans="1:29" s="11" customFormat="1" ht="15" customHeight="1" x14ac:dyDescent="0.25">
      <c r="A17" s="41"/>
      <c r="B17" s="32"/>
      <c r="C17" s="45"/>
      <c r="D17" s="45">
        <v>8</v>
      </c>
      <c r="E17" s="46"/>
      <c r="F17" s="45"/>
      <c r="G17" s="45"/>
      <c r="H17" s="45"/>
      <c r="I17" s="45"/>
      <c r="J17" s="45"/>
      <c r="K17" s="45"/>
      <c r="L17" s="45"/>
      <c r="M17" s="45"/>
      <c r="N17" s="45"/>
      <c r="O17" s="45"/>
      <c r="P17" s="45"/>
      <c r="Q17" s="45"/>
      <c r="R17" s="45"/>
      <c r="S17" s="45"/>
      <c r="T17" s="45"/>
      <c r="U17" s="45"/>
      <c r="V17" s="45"/>
      <c r="W17" s="45"/>
      <c r="X17" s="45"/>
      <c r="Y17" s="45"/>
      <c r="Z17" s="47" t="str">
        <f t="shared" si="0"/>
        <v>Очікую</v>
      </c>
      <c r="AA17" s="47" t="str">
        <f t="shared" si="1"/>
        <v>Очікую</v>
      </c>
      <c r="AB17" s="34"/>
      <c r="AC17" s="40"/>
    </row>
    <row r="18" spans="1:29" s="11" customFormat="1" ht="15" customHeight="1" x14ac:dyDescent="0.25">
      <c r="A18" s="41"/>
      <c r="B18" s="32"/>
      <c r="C18" s="45"/>
      <c r="D18" s="45">
        <v>9</v>
      </c>
      <c r="E18" s="46"/>
      <c r="F18" s="45"/>
      <c r="G18" s="45"/>
      <c r="H18" s="45"/>
      <c r="I18" s="45"/>
      <c r="J18" s="45"/>
      <c r="K18" s="45"/>
      <c r="L18" s="45"/>
      <c r="M18" s="45"/>
      <c r="N18" s="45"/>
      <c r="O18" s="45"/>
      <c r="P18" s="45"/>
      <c r="Q18" s="45"/>
      <c r="R18" s="45"/>
      <c r="S18" s="45"/>
      <c r="T18" s="45"/>
      <c r="U18" s="45"/>
      <c r="V18" s="45"/>
      <c r="W18" s="45"/>
      <c r="X18" s="45"/>
      <c r="Y18" s="45"/>
      <c r="Z18" s="47" t="str">
        <f t="shared" si="0"/>
        <v>Очікую</v>
      </c>
      <c r="AA18" s="47" t="str">
        <f t="shared" si="1"/>
        <v>Очікую</v>
      </c>
      <c r="AB18" s="34"/>
      <c r="AC18" s="40"/>
    </row>
    <row r="19" spans="1:29" s="11" customFormat="1" ht="15" customHeight="1" x14ac:dyDescent="0.25">
      <c r="A19" s="41"/>
      <c r="B19" s="32"/>
      <c r="C19" s="45"/>
      <c r="D19" s="45">
        <v>10</v>
      </c>
      <c r="E19" s="46"/>
      <c r="F19" s="45"/>
      <c r="G19" s="45"/>
      <c r="H19" s="45"/>
      <c r="I19" s="45"/>
      <c r="J19" s="45"/>
      <c r="K19" s="45"/>
      <c r="L19" s="45"/>
      <c r="M19" s="45"/>
      <c r="N19" s="45"/>
      <c r="O19" s="45"/>
      <c r="P19" s="45"/>
      <c r="Q19" s="45"/>
      <c r="R19" s="45"/>
      <c r="S19" s="45"/>
      <c r="T19" s="45"/>
      <c r="U19" s="45"/>
      <c r="V19" s="45"/>
      <c r="W19" s="45"/>
      <c r="X19" s="45"/>
      <c r="Y19" s="45"/>
      <c r="Z19" s="47" t="str">
        <f t="shared" si="0"/>
        <v>Очікую</v>
      </c>
      <c r="AA19" s="47" t="str">
        <f t="shared" si="1"/>
        <v>Очікую</v>
      </c>
      <c r="AB19" s="34"/>
      <c r="AC19" s="40"/>
    </row>
    <row r="20" spans="1:29" s="11" customFormat="1" ht="15" customHeight="1" x14ac:dyDescent="0.25">
      <c r="A20" s="41"/>
      <c r="B20" s="32"/>
      <c r="C20" s="45"/>
      <c r="D20" s="45">
        <v>11</v>
      </c>
      <c r="E20" s="46"/>
      <c r="F20" s="45"/>
      <c r="G20" s="45"/>
      <c r="H20" s="45"/>
      <c r="I20" s="45"/>
      <c r="J20" s="45"/>
      <c r="K20" s="45"/>
      <c r="L20" s="45"/>
      <c r="M20" s="45"/>
      <c r="N20" s="45"/>
      <c r="O20" s="45"/>
      <c r="P20" s="45"/>
      <c r="Q20" s="45"/>
      <c r="R20" s="45"/>
      <c r="S20" s="45"/>
      <c r="T20" s="45"/>
      <c r="U20" s="45"/>
      <c r="V20" s="45"/>
      <c r="W20" s="45"/>
      <c r="X20" s="45"/>
      <c r="Y20" s="45"/>
      <c r="Z20" s="47" t="str">
        <f t="shared" si="0"/>
        <v>Очікую</v>
      </c>
      <c r="AA20" s="47" t="str">
        <f t="shared" si="1"/>
        <v>Очікую</v>
      </c>
      <c r="AB20" s="34"/>
      <c r="AC20" s="40"/>
    </row>
    <row r="21" spans="1:29" s="11" customFormat="1" ht="15" customHeight="1" x14ac:dyDescent="0.25">
      <c r="A21" s="41"/>
      <c r="B21" s="32"/>
      <c r="C21" s="45"/>
      <c r="D21" s="45">
        <v>12</v>
      </c>
      <c r="E21" s="46"/>
      <c r="F21" s="45"/>
      <c r="G21" s="45"/>
      <c r="H21" s="45"/>
      <c r="I21" s="45"/>
      <c r="J21" s="45"/>
      <c r="K21" s="45"/>
      <c r="L21" s="45"/>
      <c r="M21" s="45"/>
      <c r="N21" s="45"/>
      <c r="O21" s="45"/>
      <c r="P21" s="45"/>
      <c r="Q21" s="45"/>
      <c r="R21" s="45"/>
      <c r="S21" s="45"/>
      <c r="T21" s="45"/>
      <c r="U21" s="45"/>
      <c r="V21" s="45"/>
      <c r="W21" s="45"/>
      <c r="X21" s="45"/>
      <c r="Y21" s="45"/>
      <c r="Z21" s="47" t="str">
        <f t="shared" si="0"/>
        <v>Очікую</v>
      </c>
      <c r="AA21" s="47" t="str">
        <f t="shared" si="1"/>
        <v>Очікую</v>
      </c>
      <c r="AB21" s="34"/>
      <c r="AC21" s="40"/>
    </row>
    <row r="22" spans="1:29" s="11" customFormat="1" ht="15" customHeight="1" x14ac:dyDescent="0.25">
      <c r="A22" s="41"/>
      <c r="B22" s="32"/>
      <c r="C22" s="45"/>
      <c r="D22" s="45">
        <v>13</v>
      </c>
      <c r="E22" s="46"/>
      <c r="F22" s="45"/>
      <c r="G22" s="45"/>
      <c r="H22" s="45"/>
      <c r="I22" s="45"/>
      <c r="J22" s="45"/>
      <c r="K22" s="45"/>
      <c r="L22" s="45"/>
      <c r="M22" s="45"/>
      <c r="N22" s="45"/>
      <c r="O22" s="45"/>
      <c r="P22" s="45"/>
      <c r="Q22" s="45"/>
      <c r="R22" s="45"/>
      <c r="S22" s="45"/>
      <c r="T22" s="45"/>
      <c r="U22" s="45"/>
      <c r="V22" s="45"/>
      <c r="W22" s="45"/>
      <c r="X22" s="45"/>
      <c r="Y22" s="45"/>
      <c r="Z22" s="47" t="str">
        <f t="shared" si="0"/>
        <v>Очікую</v>
      </c>
      <c r="AA22" s="47" t="str">
        <f t="shared" si="1"/>
        <v>Очікую</v>
      </c>
      <c r="AB22" s="34"/>
      <c r="AC22" s="40"/>
    </row>
    <row r="23" spans="1:29" s="11" customFormat="1" ht="15" customHeight="1" x14ac:dyDescent="0.25">
      <c r="A23" s="41"/>
      <c r="B23" s="32"/>
      <c r="C23" s="45"/>
      <c r="D23" s="45">
        <v>14</v>
      </c>
      <c r="E23" s="46"/>
      <c r="F23" s="45"/>
      <c r="G23" s="45"/>
      <c r="H23" s="45"/>
      <c r="I23" s="45"/>
      <c r="J23" s="45"/>
      <c r="K23" s="45"/>
      <c r="L23" s="45"/>
      <c r="M23" s="45"/>
      <c r="N23" s="45"/>
      <c r="O23" s="45"/>
      <c r="P23" s="45"/>
      <c r="Q23" s="45"/>
      <c r="R23" s="45"/>
      <c r="S23" s="45"/>
      <c r="T23" s="45"/>
      <c r="U23" s="45"/>
      <c r="V23" s="45"/>
      <c r="W23" s="45"/>
      <c r="X23" s="45"/>
      <c r="Y23" s="45"/>
      <c r="Z23" s="47" t="str">
        <f t="shared" si="0"/>
        <v>Очікую</v>
      </c>
      <c r="AA23" s="47" t="str">
        <f t="shared" si="1"/>
        <v>Очікую</v>
      </c>
      <c r="AB23" s="34"/>
      <c r="AC23" s="40"/>
    </row>
    <row r="24" spans="1:29" s="11" customFormat="1" ht="15" customHeight="1" x14ac:dyDescent="0.25">
      <c r="A24" s="41"/>
      <c r="B24" s="32"/>
      <c r="C24" s="45"/>
      <c r="D24" s="45">
        <v>15</v>
      </c>
      <c r="E24" s="46"/>
      <c r="F24" s="45"/>
      <c r="G24" s="45"/>
      <c r="H24" s="45"/>
      <c r="I24" s="45"/>
      <c r="J24" s="45"/>
      <c r="K24" s="45"/>
      <c r="L24" s="45"/>
      <c r="M24" s="45"/>
      <c r="N24" s="45"/>
      <c r="O24" s="45"/>
      <c r="P24" s="45"/>
      <c r="Q24" s="45"/>
      <c r="R24" s="45"/>
      <c r="S24" s="45"/>
      <c r="T24" s="45"/>
      <c r="U24" s="45"/>
      <c r="V24" s="45"/>
      <c r="W24" s="45"/>
      <c r="X24" s="45"/>
      <c r="Y24" s="45"/>
      <c r="Z24" s="47" t="str">
        <f t="shared" si="0"/>
        <v>Очікую</v>
      </c>
      <c r="AA24" s="47" t="str">
        <f t="shared" si="1"/>
        <v>Очікую</v>
      </c>
      <c r="AB24" s="34"/>
      <c r="AC24" s="40"/>
    </row>
    <row r="25" spans="1:29" s="11" customFormat="1" ht="15" customHeight="1" x14ac:dyDescent="0.25">
      <c r="A25" s="41"/>
      <c r="B25" s="32"/>
      <c r="C25" s="45"/>
      <c r="D25" s="45">
        <v>16</v>
      </c>
      <c r="E25" s="46"/>
      <c r="F25" s="45"/>
      <c r="G25" s="45"/>
      <c r="H25" s="45"/>
      <c r="I25" s="45"/>
      <c r="J25" s="45"/>
      <c r="K25" s="45"/>
      <c r="L25" s="45"/>
      <c r="M25" s="45"/>
      <c r="N25" s="45"/>
      <c r="O25" s="45"/>
      <c r="P25" s="45"/>
      <c r="Q25" s="45"/>
      <c r="R25" s="45"/>
      <c r="S25" s="45"/>
      <c r="T25" s="45"/>
      <c r="U25" s="45"/>
      <c r="V25" s="45"/>
      <c r="W25" s="45"/>
      <c r="X25" s="45"/>
      <c r="Y25" s="45"/>
      <c r="Z25" s="47" t="str">
        <f t="shared" si="0"/>
        <v>Очікую</v>
      </c>
      <c r="AA25" s="47" t="str">
        <f t="shared" si="1"/>
        <v>Очікую</v>
      </c>
      <c r="AB25" s="34"/>
      <c r="AC25" s="40"/>
    </row>
    <row r="26" spans="1:29" s="11" customFormat="1" ht="15" customHeight="1" x14ac:dyDescent="0.25">
      <c r="A26" s="41"/>
      <c r="B26" s="32"/>
      <c r="C26" s="45"/>
      <c r="D26" s="45">
        <v>17</v>
      </c>
      <c r="E26" s="46"/>
      <c r="F26" s="45"/>
      <c r="G26" s="45"/>
      <c r="H26" s="45"/>
      <c r="I26" s="45"/>
      <c r="J26" s="45"/>
      <c r="K26" s="45"/>
      <c r="L26" s="45"/>
      <c r="M26" s="45"/>
      <c r="N26" s="45"/>
      <c r="O26" s="45"/>
      <c r="P26" s="45"/>
      <c r="Q26" s="45"/>
      <c r="R26" s="45"/>
      <c r="S26" s="45"/>
      <c r="T26" s="45"/>
      <c r="U26" s="45"/>
      <c r="V26" s="45"/>
      <c r="W26" s="45"/>
      <c r="X26" s="45"/>
      <c r="Y26" s="45"/>
      <c r="Z26" s="47" t="str">
        <f t="shared" si="0"/>
        <v>Очікую</v>
      </c>
      <c r="AA26" s="47" t="str">
        <f t="shared" si="1"/>
        <v>Очікую</v>
      </c>
      <c r="AB26" s="34"/>
      <c r="AC26" s="40"/>
    </row>
    <row r="27" spans="1:29" s="11" customFormat="1" ht="15" customHeight="1" x14ac:dyDescent="0.25">
      <c r="A27" s="41"/>
      <c r="B27" s="32"/>
      <c r="C27" s="45"/>
      <c r="D27" s="45">
        <v>18</v>
      </c>
      <c r="E27" s="46"/>
      <c r="F27" s="45"/>
      <c r="G27" s="45"/>
      <c r="H27" s="45"/>
      <c r="I27" s="45"/>
      <c r="J27" s="45"/>
      <c r="K27" s="45"/>
      <c r="L27" s="45"/>
      <c r="M27" s="45"/>
      <c r="N27" s="45"/>
      <c r="O27" s="45"/>
      <c r="P27" s="45"/>
      <c r="Q27" s="45"/>
      <c r="R27" s="45"/>
      <c r="S27" s="45"/>
      <c r="T27" s="45"/>
      <c r="U27" s="45"/>
      <c r="V27" s="45"/>
      <c r="W27" s="45"/>
      <c r="X27" s="45"/>
      <c r="Y27" s="45"/>
      <c r="Z27" s="47" t="str">
        <f t="shared" si="0"/>
        <v>Очікую</v>
      </c>
      <c r="AA27" s="47" t="str">
        <f t="shared" si="1"/>
        <v>Очікую</v>
      </c>
      <c r="AB27" s="34"/>
      <c r="AC27" s="40"/>
    </row>
    <row r="28" spans="1:29" s="11" customFormat="1" ht="15" customHeight="1" x14ac:dyDescent="0.25">
      <c r="A28" s="41"/>
      <c r="B28" s="32"/>
      <c r="C28" s="45"/>
      <c r="D28" s="45">
        <v>19</v>
      </c>
      <c r="E28" s="46"/>
      <c r="F28" s="45"/>
      <c r="G28" s="45"/>
      <c r="H28" s="45"/>
      <c r="I28" s="45"/>
      <c r="J28" s="45"/>
      <c r="K28" s="45"/>
      <c r="L28" s="45"/>
      <c r="M28" s="45"/>
      <c r="N28" s="45"/>
      <c r="O28" s="45"/>
      <c r="P28" s="45"/>
      <c r="Q28" s="45"/>
      <c r="R28" s="45"/>
      <c r="S28" s="45"/>
      <c r="T28" s="45"/>
      <c r="U28" s="45"/>
      <c r="V28" s="45"/>
      <c r="W28" s="45"/>
      <c r="X28" s="45"/>
      <c r="Y28" s="45"/>
      <c r="Z28" s="47" t="str">
        <f t="shared" si="0"/>
        <v>Очікую</v>
      </c>
      <c r="AA28" s="47" t="str">
        <f t="shared" si="1"/>
        <v>Очікую</v>
      </c>
      <c r="AB28" s="34"/>
      <c r="AC28" s="40"/>
    </row>
    <row r="29" spans="1:29" s="11" customFormat="1" ht="15" customHeight="1" x14ac:dyDescent="0.25">
      <c r="A29" s="41"/>
      <c r="B29" s="32"/>
      <c r="C29" s="45"/>
      <c r="D29" s="45">
        <v>20</v>
      </c>
      <c r="E29" s="46"/>
      <c r="F29" s="45"/>
      <c r="G29" s="45"/>
      <c r="H29" s="45"/>
      <c r="I29" s="45"/>
      <c r="J29" s="45"/>
      <c r="K29" s="45"/>
      <c r="L29" s="45"/>
      <c r="M29" s="45"/>
      <c r="N29" s="45"/>
      <c r="O29" s="45"/>
      <c r="P29" s="45"/>
      <c r="Q29" s="45"/>
      <c r="R29" s="45"/>
      <c r="S29" s="45"/>
      <c r="T29" s="45"/>
      <c r="U29" s="45"/>
      <c r="V29" s="45"/>
      <c r="W29" s="45"/>
      <c r="X29" s="45"/>
      <c r="Y29" s="45"/>
      <c r="Z29" s="47" t="str">
        <f t="shared" si="0"/>
        <v>Очікую</v>
      </c>
      <c r="AA29" s="47" t="str">
        <f t="shared" si="1"/>
        <v>Очікую</v>
      </c>
      <c r="AB29" s="34"/>
      <c r="AC29" s="40"/>
    </row>
    <row r="30" spans="1:29" s="11" customFormat="1" ht="15" customHeight="1" x14ac:dyDescent="0.25">
      <c r="A30" s="41"/>
      <c r="B30" s="32"/>
      <c r="C30" s="45"/>
      <c r="D30" s="45">
        <v>21</v>
      </c>
      <c r="E30" s="46"/>
      <c r="F30" s="45"/>
      <c r="G30" s="45"/>
      <c r="H30" s="45"/>
      <c r="I30" s="45"/>
      <c r="J30" s="45"/>
      <c r="K30" s="45"/>
      <c r="L30" s="45"/>
      <c r="M30" s="45"/>
      <c r="N30" s="45"/>
      <c r="O30" s="45"/>
      <c r="P30" s="45"/>
      <c r="Q30" s="45"/>
      <c r="R30" s="45"/>
      <c r="S30" s="45"/>
      <c r="T30" s="45"/>
      <c r="U30" s="45"/>
      <c r="V30" s="45"/>
      <c r="W30" s="45"/>
      <c r="X30" s="45"/>
      <c r="Y30" s="45"/>
      <c r="Z30" s="47" t="str">
        <f t="shared" si="0"/>
        <v>Очікую</v>
      </c>
      <c r="AA30" s="47" t="str">
        <f t="shared" si="1"/>
        <v>Очікую</v>
      </c>
      <c r="AB30" s="34"/>
      <c r="AC30" s="40"/>
    </row>
    <row r="31" spans="1:29" s="11" customFormat="1" ht="15" customHeight="1" x14ac:dyDescent="0.25">
      <c r="A31" s="41"/>
      <c r="B31" s="32"/>
      <c r="C31" s="45"/>
      <c r="D31" s="45">
        <v>22</v>
      </c>
      <c r="E31" s="46"/>
      <c r="F31" s="45"/>
      <c r="G31" s="45"/>
      <c r="H31" s="45"/>
      <c r="I31" s="45"/>
      <c r="J31" s="45"/>
      <c r="K31" s="45"/>
      <c r="L31" s="45"/>
      <c r="M31" s="45"/>
      <c r="N31" s="45"/>
      <c r="O31" s="45"/>
      <c r="P31" s="45"/>
      <c r="Q31" s="45"/>
      <c r="R31" s="45"/>
      <c r="S31" s="45"/>
      <c r="T31" s="45"/>
      <c r="U31" s="45"/>
      <c r="V31" s="45"/>
      <c r="W31" s="45"/>
      <c r="X31" s="45"/>
      <c r="Y31" s="45"/>
      <c r="Z31" s="47" t="str">
        <f t="shared" si="0"/>
        <v>Очікую</v>
      </c>
      <c r="AA31" s="47" t="str">
        <f t="shared" si="1"/>
        <v>Очікую</v>
      </c>
      <c r="AB31" s="34"/>
      <c r="AC31" s="40"/>
    </row>
    <row r="32" spans="1:29" s="11" customFormat="1" ht="15" customHeight="1" x14ac:dyDescent="0.25">
      <c r="A32" s="41"/>
      <c r="B32" s="32"/>
      <c r="C32" s="45"/>
      <c r="D32" s="45">
        <v>23</v>
      </c>
      <c r="E32" s="46"/>
      <c r="F32" s="45"/>
      <c r="G32" s="45"/>
      <c r="H32" s="45"/>
      <c r="I32" s="45"/>
      <c r="J32" s="45"/>
      <c r="K32" s="45"/>
      <c r="L32" s="45"/>
      <c r="M32" s="45"/>
      <c r="N32" s="45"/>
      <c r="O32" s="45"/>
      <c r="P32" s="45"/>
      <c r="Q32" s="45"/>
      <c r="R32" s="45"/>
      <c r="S32" s="45"/>
      <c r="T32" s="45"/>
      <c r="U32" s="45"/>
      <c r="V32" s="45"/>
      <c r="W32" s="45"/>
      <c r="X32" s="45"/>
      <c r="Y32" s="45"/>
      <c r="Z32" s="47" t="str">
        <f t="shared" si="0"/>
        <v>Очікую</v>
      </c>
      <c r="AA32" s="47" t="str">
        <f t="shared" si="1"/>
        <v>Очікую</v>
      </c>
      <c r="AB32" s="34"/>
      <c r="AC32" s="40"/>
    </row>
    <row r="33" spans="1:29" s="11" customFormat="1" ht="15" customHeight="1" x14ac:dyDescent="0.25">
      <c r="A33" s="41"/>
      <c r="B33" s="32"/>
      <c r="C33" s="45"/>
      <c r="D33" s="45">
        <v>24</v>
      </c>
      <c r="E33" s="46"/>
      <c r="F33" s="45"/>
      <c r="G33" s="45"/>
      <c r="H33" s="45"/>
      <c r="I33" s="45"/>
      <c r="J33" s="45"/>
      <c r="K33" s="45"/>
      <c r="L33" s="45"/>
      <c r="M33" s="45"/>
      <c r="N33" s="45"/>
      <c r="O33" s="45"/>
      <c r="P33" s="45"/>
      <c r="Q33" s="45"/>
      <c r="R33" s="45"/>
      <c r="S33" s="45"/>
      <c r="T33" s="45"/>
      <c r="U33" s="45"/>
      <c r="V33" s="45"/>
      <c r="W33" s="45"/>
      <c r="X33" s="45"/>
      <c r="Y33" s="45"/>
      <c r="Z33" s="47" t="str">
        <f t="shared" si="0"/>
        <v>Очікую</v>
      </c>
      <c r="AA33" s="47" t="str">
        <f t="shared" si="1"/>
        <v>Очікую</v>
      </c>
      <c r="AB33" s="34"/>
      <c r="AC33" s="40"/>
    </row>
    <row r="34" spans="1:29" s="11" customFormat="1" ht="15" customHeight="1" x14ac:dyDescent="0.25">
      <c r="A34" s="41"/>
      <c r="B34" s="32"/>
      <c r="C34" s="45"/>
      <c r="D34" s="45">
        <v>25</v>
      </c>
      <c r="E34" s="46"/>
      <c r="F34" s="45"/>
      <c r="G34" s="45"/>
      <c r="H34" s="45"/>
      <c r="I34" s="45"/>
      <c r="J34" s="45"/>
      <c r="K34" s="45"/>
      <c r="L34" s="45"/>
      <c r="M34" s="45"/>
      <c r="N34" s="45"/>
      <c r="O34" s="45"/>
      <c r="P34" s="45"/>
      <c r="Q34" s="45"/>
      <c r="R34" s="45"/>
      <c r="S34" s="45"/>
      <c r="T34" s="45"/>
      <c r="U34" s="45"/>
      <c r="V34" s="45"/>
      <c r="W34" s="45"/>
      <c r="X34" s="45"/>
      <c r="Y34" s="45"/>
      <c r="Z34" s="47" t="str">
        <f t="shared" si="0"/>
        <v>Очікую</v>
      </c>
      <c r="AA34" s="47" t="str">
        <f t="shared" si="1"/>
        <v>Очікую</v>
      </c>
      <c r="AB34" s="34"/>
      <c r="AC34" s="40"/>
    </row>
    <row r="35" spans="1:29" s="11" customFormat="1" ht="15" customHeight="1" x14ac:dyDescent="0.25">
      <c r="A35" s="41"/>
      <c r="B35" s="32"/>
      <c r="C35" s="45"/>
      <c r="D35" s="45">
        <v>26</v>
      </c>
      <c r="E35" s="46"/>
      <c r="F35" s="45"/>
      <c r="G35" s="45"/>
      <c r="H35" s="45"/>
      <c r="I35" s="45"/>
      <c r="J35" s="45"/>
      <c r="K35" s="45"/>
      <c r="L35" s="45"/>
      <c r="M35" s="45"/>
      <c r="N35" s="45"/>
      <c r="O35" s="45"/>
      <c r="P35" s="45"/>
      <c r="Q35" s="45"/>
      <c r="R35" s="45"/>
      <c r="S35" s="45"/>
      <c r="T35" s="45"/>
      <c r="U35" s="45"/>
      <c r="V35" s="45"/>
      <c r="W35" s="45"/>
      <c r="X35" s="45"/>
      <c r="Y35" s="45"/>
      <c r="Z35" s="47" t="str">
        <f t="shared" si="0"/>
        <v>Очікую</v>
      </c>
      <c r="AA35" s="47" t="str">
        <f t="shared" si="1"/>
        <v>Очікую</v>
      </c>
      <c r="AB35" s="34"/>
      <c r="AC35" s="40"/>
    </row>
    <row r="36" spans="1:29" s="11" customFormat="1" ht="15" customHeight="1" x14ac:dyDescent="0.25">
      <c r="A36" s="41"/>
      <c r="B36" s="32"/>
      <c r="C36" s="45"/>
      <c r="D36" s="45">
        <v>27</v>
      </c>
      <c r="E36" s="46"/>
      <c r="F36" s="45"/>
      <c r="G36" s="45"/>
      <c r="H36" s="45"/>
      <c r="I36" s="45"/>
      <c r="J36" s="45"/>
      <c r="K36" s="45"/>
      <c r="L36" s="45"/>
      <c r="M36" s="45"/>
      <c r="N36" s="45"/>
      <c r="O36" s="45"/>
      <c r="P36" s="45"/>
      <c r="Q36" s="45"/>
      <c r="R36" s="45"/>
      <c r="S36" s="45"/>
      <c r="T36" s="45"/>
      <c r="U36" s="45"/>
      <c r="V36" s="45"/>
      <c r="W36" s="45"/>
      <c r="X36" s="45"/>
      <c r="Y36" s="45"/>
      <c r="Z36" s="47" t="str">
        <f t="shared" si="0"/>
        <v>Очікую</v>
      </c>
      <c r="AA36" s="47" t="str">
        <f t="shared" si="1"/>
        <v>Очікую</v>
      </c>
      <c r="AB36" s="34"/>
      <c r="AC36" s="40"/>
    </row>
    <row r="37" spans="1:29" s="11" customFormat="1" ht="15" customHeight="1" x14ac:dyDescent="0.25">
      <c r="A37" s="41"/>
      <c r="B37" s="32"/>
      <c r="C37" s="45"/>
      <c r="D37" s="45">
        <v>28</v>
      </c>
      <c r="E37" s="46"/>
      <c r="F37" s="45"/>
      <c r="G37" s="45"/>
      <c r="H37" s="45"/>
      <c r="I37" s="45"/>
      <c r="J37" s="45"/>
      <c r="K37" s="45"/>
      <c r="L37" s="45"/>
      <c r="M37" s="45"/>
      <c r="N37" s="45"/>
      <c r="O37" s="45"/>
      <c r="P37" s="45"/>
      <c r="Q37" s="45"/>
      <c r="R37" s="45"/>
      <c r="S37" s="45"/>
      <c r="T37" s="45"/>
      <c r="U37" s="45"/>
      <c r="V37" s="45"/>
      <c r="W37" s="45"/>
      <c r="X37" s="45"/>
      <c r="Y37" s="45"/>
      <c r="Z37" s="47" t="str">
        <f t="shared" si="0"/>
        <v>Очікую</v>
      </c>
      <c r="AA37" s="47" t="str">
        <f t="shared" si="1"/>
        <v>Очікую</v>
      </c>
      <c r="AB37" s="34"/>
      <c r="AC37" s="40"/>
    </row>
    <row r="38" spans="1:29" s="11" customFormat="1" ht="15" customHeight="1" x14ac:dyDescent="0.25">
      <c r="A38" s="41"/>
      <c r="B38" s="32"/>
      <c r="C38" s="45"/>
      <c r="D38" s="45">
        <v>29</v>
      </c>
      <c r="E38" s="46"/>
      <c r="F38" s="45"/>
      <c r="G38" s="45"/>
      <c r="H38" s="45"/>
      <c r="I38" s="45"/>
      <c r="J38" s="45"/>
      <c r="K38" s="45"/>
      <c r="L38" s="45"/>
      <c r="M38" s="45"/>
      <c r="N38" s="45"/>
      <c r="O38" s="45"/>
      <c r="P38" s="45"/>
      <c r="Q38" s="45"/>
      <c r="R38" s="45"/>
      <c r="S38" s="45"/>
      <c r="T38" s="45"/>
      <c r="U38" s="45"/>
      <c r="V38" s="45"/>
      <c r="W38" s="45"/>
      <c r="X38" s="45"/>
      <c r="Y38" s="45"/>
      <c r="Z38" s="47" t="str">
        <f t="shared" si="0"/>
        <v>Очікую</v>
      </c>
      <c r="AA38" s="47" t="str">
        <f t="shared" si="1"/>
        <v>Очікую</v>
      </c>
      <c r="AB38" s="34"/>
      <c r="AC38" s="40"/>
    </row>
    <row r="39" spans="1:29" s="11" customFormat="1" ht="15" customHeight="1" x14ac:dyDescent="0.25">
      <c r="A39" s="41"/>
      <c r="B39" s="32"/>
      <c r="C39" s="45"/>
      <c r="D39" s="45">
        <v>30</v>
      </c>
      <c r="E39" s="46"/>
      <c r="F39" s="45"/>
      <c r="G39" s="45"/>
      <c r="H39" s="45"/>
      <c r="I39" s="45"/>
      <c r="J39" s="45"/>
      <c r="K39" s="45"/>
      <c r="L39" s="45"/>
      <c r="M39" s="45"/>
      <c r="N39" s="45"/>
      <c r="O39" s="45"/>
      <c r="P39" s="45"/>
      <c r="Q39" s="45"/>
      <c r="R39" s="45"/>
      <c r="S39" s="45"/>
      <c r="T39" s="45"/>
      <c r="U39" s="45"/>
      <c r="V39" s="45"/>
      <c r="W39" s="45"/>
      <c r="X39" s="45"/>
      <c r="Y39" s="45"/>
      <c r="Z39" s="47" t="str">
        <f t="shared" si="0"/>
        <v>Очікую</v>
      </c>
      <c r="AA39" s="47" t="str">
        <f t="shared" si="1"/>
        <v>Очікую</v>
      </c>
      <c r="AB39" s="34"/>
      <c r="AC39" s="40"/>
    </row>
    <row r="40" spans="1:29" s="11" customFormat="1" ht="15" customHeight="1" x14ac:dyDescent="0.25">
      <c r="A40" s="41"/>
      <c r="B40" s="32"/>
      <c r="C40" s="45"/>
      <c r="D40" s="45">
        <v>31</v>
      </c>
      <c r="E40" s="46"/>
      <c r="F40" s="45"/>
      <c r="G40" s="45"/>
      <c r="H40" s="45"/>
      <c r="I40" s="45"/>
      <c r="J40" s="45"/>
      <c r="K40" s="45"/>
      <c r="L40" s="45"/>
      <c r="M40" s="45"/>
      <c r="N40" s="45"/>
      <c r="O40" s="45"/>
      <c r="P40" s="45"/>
      <c r="Q40" s="45"/>
      <c r="R40" s="45"/>
      <c r="S40" s="45"/>
      <c r="T40" s="45"/>
      <c r="U40" s="45"/>
      <c r="V40" s="45"/>
      <c r="W40" s="45"/>
      <c r="X40" s="45"/>
      <c r="Y40" s="45"/>
      <c r="Z40" s="47" t="str">
        <f t="shared" si="0"/>
        <v>Очікую</v>
      </c>
      <c r="AA40" s="47" t="str">
        <f t="shared" si="1"/>
        <v>Очікую</v>
      </c>
      <c r="AB40" s="34"/>
      <c r="AC40" s="40"/>
    </row>
    <row r="41" spans="1:29" s="11" customFormat="1" ht="15" customHeight="1" x14ac:dyDescent="0.25">
      <c r="A41" s="41"/>
      <c r="B41" s="32"/>
      <c r="C41" s="45"/>
      <c r="D41" s="45">
        <v>32</v>
      </c>
      <c r="E41" s="46"/>
      <c r="F41" s="45"/>
      <c r="G41" s="45"/>
      <c r="H41" s="45"/>
      <c r="I41" s="45"/>
      <c r="J41" s="45"/>
      <c r="K41" s="45"/>
      <c r="L41" s="45"/>
      <c r="M41" s="45"/>
      <c r="N41" s="45"/>
      <c r="O41" s="45"/>
      <c r="P41" s="45"/>
      <c r="Q41" s="45"/>
      <c r="R41" s="45"/>
      <c r="S41" s="45"/>
      <c r="T41" s="45"/>
      <c r="U41" s="45"/>
      <c r="V41" s="45"/>
      <c r="W41" s="45"/>
      <c r="X41" s="45"/>
      <c r="Y41" s="45"/>
      <c r="Z41" s="47" t="str">
        <f t="shared" si="0"/>
        <v>Очікую</v>
      </c>
      <c r="AA41" s="47" t="str">
        <f t="shared" si="1"/>
        <v>Очікую</v>
      </c>
      <c r="AB41" s="34"/>
      <c r="AC41" s="40"/>
    </row>
    <row r="42" spans="1:29" s="11" customFormat="1" ht="15" customHeight="1" x14ac:dyDescent="0.25">
      <c r="A42" s="41"/>
      <c r="B42" s="32"/>
      <c r="C42" s="45"/>
      <c r="D42" s="45">
        <v>33</v>
      </c>
      <c r="E42" s="46"/>
      <c r="F42" s="45"/>
      <c r="G42" s="45"/>
      <c r="H42" s="45"/>
      <c r="I42" s="45"/>
      <c r="J42" s="45"/>
      <c r="K42" s="45"/>
      <c r="L42" s="45"/>
      <c r="M42" s="45"/>
      <c r="N42" s="45"/>
      <c r="O42" s="45"/>
      <c r="P42" s="45"/>
      <c r="Q42" s="45"/>
      <c r="R42" s="45"/>
      <c r="S42" s="45"/>
      <c r="T42" s="45"/>
      <c r="U42" s="45"/>
      <c r="V42" s="45"/>
      <c r="W42" s="45"/>
      <c r="X42" s="45"/>
      <c r="Y42" s="45"/>
      <c r="Z42" s="47" t="str">
        <f t="shared" si="0"/>
        <v>Очікую</v>
      </c>
      <c r="AA42" s="47" t="str">
        <f t="shared" si="1"/>
        <v>Очікую</v>
      </c>
      <c r="AB42" s="34"/>
      <c r="AC42" s="40"/>
    </row>
    <row r="43" spans="1:29" s="11" customFormat="1" ht="15" customHeight="1" x14ac:dyDescent="0.25">
      <c r="A43" s="41"/>
      <c r="B43" s="32"/>
      <c r="C43" s="45"/>
      <c r="D43" s="45">
        <v>34</v>
      </c>
      <c r="E43" s="46"/>
      <c r="F43" s="45"/>
      <c r="G43" s="45"/>
      <c r="H43" s="45"/>
      <c r="I43" s="45"/>
      <c r="J43" s="45"/>
      <c r="K43" s="45"/>
      <c r="L43" s="45"/>
      <c r="M43" s="45"/>
      <c r="N43" s="45"/>
      <c r="O43" s="45"/>
      <c r="P43" s="45"/>
      <c r="Q43" s="45"/>
      <c r="R43" s="45"/>
      <c r="S43" s="45"/>
      <c r="T43" s="45"/>
      <c r="U43" s="45"/>
      <c r="V43" s="45"/>
      <c r="W43" s="45"/>
      <c r="X43" s="45"/>
      <c r="Y43" s="45"/>
      <c r="Z43" s="47" t="str">
        <f t="shared" si="0"/>
        <v>Очікую</v>
      </c>
      <c r="AA43" s="47" t="str">
        <f t="shared" si="1"/>
        <v>Очікую</v>
      </c>
      <c r="AB43" s="34"/>
      <c r="AC43" s="40"/>
    </row>
    <row r="44" spans="1:29" s="11" customFormat="1" ht="15" customHeight="1" x14ac:dyDescent="0.25">
      <c r="A44" s="41"/>
      <c r="B44" s="32"/>
      <c r="C44" s="45"/>
      <c r="D44" s="45">
        <v>35</v>
      </c>
      <c r="E44" s="46"/>
      <c r="F44" s="45"/>
      <c r="G44" s="45"/>
      <c r="H44" s="45"/>
      <c r="I44" s="45"/>
      <c r="J44" s="45"/>
      <c r="K44" s="45"/>
      <c r="L44" s="45"/>
      <c r="M44" s="45"/>
      <c r="N44" s="45"/>
      <c r="O44" s="45"/>
      <c r="P44" s="45"/>
      <c r="Q44" s="45"/>
      <c r="R44" s="45"/>
      <c r="S44" s="45"/>
      <c r="T44" s="45"/>
      <c r="U44" s="45"/>
      <c r="V44" s="45"/>
      <c r="W44" s="45"/>
      <c r="X44" s="45"/>
      <c r="Y44" s="45"/>
      <c r="Z44" s="47" t="str">
        <f t="shared" si="0"/>
        <v>Очікую</v>
      </c>
      <c r="AA44" s="47" t="str">
        <f t="shared" si="1"/>
        <v>Очікую</v>
      </c>
      <c r="AB44" s="34"/>
      <c r="AC44" s="40"/>
    </row>
    <row r="45" spans="1:29" s="11" customFormat="1" ht="15" customHeight="1" x14ac:dyDescent="0.25">
      <c r="A45" s="41"/>
      <c r="B45" s="32"/>
      <c r="C45" s="45"/>
      <c r="D45" s="45">
        <v>36</v>
      </c>
      <c r="E45" s="46"/>
      <c r="F45" s="45"/>
      <c r="G45" s="45"/>
      <c r="H45" s="45"/>
      <c r="I45" s="45"/>
      <c r="J45" s="45"/>
      <c r="K45" s="45"/>
      <c r="L45" s="45"/>
      <c r="M45" s="45"/>
      <c r="N45" s="45"/>
      <c r="O45" s="45"/>
      <c r="P45" s="45"/>
      <c r="Q45" s="45"/>
      <c r="R45" s="45"/>
      <c r="S45" s="45"/>
      <c r="T45" s="45"/>
      <c r="U45" s="45"/>
      <c r="V45" s="45"/>
      <c r="W45" s="45"/>
      <c r="X45" s="45"/>
      <c r="Y45" s="45"/>
      <c r="Z45" s="47" t="str">
        <f t="shared" si="0"/>
        <v>Очікую</v>
      </c>
      <c r="AA45" s="47" t="str">
        <f t="shared" si="1"/>
        <v>Очікую</v>
      </c>
      <c r="AB45" s="34"/>
      <c r="AC45" s="40"/>
    </row>
    <row r="46" spans="1:29" s="11" customFormat="1" ht="15" customHeight="1" x14ac:dyDescent="0.25">
      <c r="A46" s="41"/>
      <c r="B46" s="32"/>
      <c r="C46" s="45"/>
      <c r="D46" s="45">
        <v>37</v>
      </c>
      <c r="E46" s="46"/>
      <c r="F46" s="45"/>
      <c r="G46" s="45"/>
      <c r="H46" s="45"/>
      <c r="I46" s="45"/>
      <c r="J46" s="45"/>
      <c r="K46" s="45"/>
      <c r="L46" s="45"/>
      <c r="M46" s="45"/>
      <c r="N46" s="45"/>
      <c r="O46" s="45"/>
      <c r="P46" s="45"/>
      <c r="Q46" s="45"/>
      <c r="R46" s="45"/>
      <c r="S46" s="45"/>
      <c r="T46" s="45"/>
      <c r="U46" s="45"/>
      <c r="V46" s="45"/>
      <c r="W46" s="45"/>
      <c r="X46" s="45"/>
      <c r="Y46" s="45"/>
      <c r="Z46" s="47" t="str">
        <f t="shared" si="0"/>
        <v>Очікую</v>
      </c>
      <c r="AA46" s="47" t="str">
        <f t="shared" si="1"/>
        <v>Очікую</v>
      </c>
      <c r="AB46" s="34"/>
      <c r="AC46" s="40"/>
    </row>
    <row r="47" spans="1:29" s="11" customFormat="1" ht="15" customHeight="1" x14ac:dyDescent="0.25">
      <c r="A47" s="41"/>
      <c r="B47" s="32"/>
      <c r="C47" s="45"/>
      <c r="D47" s="45">
        <v>38</v>
      </c>
      <c r="E47" s="46"/>
      <c r="F47" s="45"/>
      <c r="G47" s="45"/>
      <c r="H47" s="45"/>
      <c r="I47" s="45"/>
      <c r="J47" s="45"/>
      <c r="K47" s="45"/>
      <c r="L47" s="45"/>
      <c r="M47" s="45"/>
      <c r="N47" s="45"/>
      <c r="O47" s="45"/>
      <c r="P47" s="45"/>
      <c r="Q47" s="45"/>
      <c r="R47" s="45"/>
      <c r="S47" s="45"/>
      <c r="T47" s="45"/>
      <c r="U47" s="45"/>
      <c r="V47" s="45"/>
      <c r="W47" s="45"/>
      <c r="X47" s="45"/>
      <c r="Y47" s="45"/>
      <c r="Z47" s="47" t="str">
        <f t="shared" si="0"/>
        <v>Очікую</v>
      </c>
      <c r="AA47" s="47" t="str">
        <f t="shared" si="1"/>
        <v>Очікую</v>
      </c>
      <c r="AB47" s="34"/>
      <c r="AC47" s="40"/>
    </row>
    <row r="48" spans="1:29" s="11" customFormat="1" ht="15" customHeight="1" x14ac:dyDescent="0.25">
      <c r="A48" s="41"/>
      <c r="B48" s="32"/>
      <c r="C48" s="45"/>
      <c r="D48" s="45">
        <v>39</v>
      </c>
      <c r="E48" s="46"/>
      <c r="F48" s="45"/>
      <c r="G48" s="45"/>
      <c r="H48" s="45"/>
      <c r="I48" s="45"/>
      <c r="J48" s="45"/>
      <c r="K48" s="45"/>
      <c r="L48" s="45"/>
      <c r="M48" s="45"/>
      <c r="N48" s="45"/>
      <c r="O48" s="45"/>
      <c r="P48" s="45"/>
      <c r="Q48" s="45"/>
      <c r="R48" s="45"/>
      <c r="S48" s="45"/>
      <c r="T48" s="45"/>
      <c r="U48" s="45"/>
      <c r="V48" s="45"/>
      <c r="W48" s="45"/>
      <c r="X48" s="45"/>
      <c r="Y48" s="45"/>
      <c r="Z48" s="47" t="str">
        <f t="shared" si="0"/>
        <v>Очікую</v>
      </c>
      <c r="AA48" s="47" t="str">
        <f t="shared" si="1"/>
        <v>Очікую</v>
      </c>
      <c r="AB48" s="34"/>
      <c r="AC48" s="40"/>
    </row>
    <row r="49" spans="1:29" s="11" customFormat="1" ht="15" customHeight="1" x14ac:dyDescent="0.25">
      <c r="A49" s="41"/>
      <c r="B49" s="32"/>
      <c r="C49" s="45"/>
      <c r="D49" s="45">
        <v>40</v>
      </c>
      <c r="E49" s="46"/>
      <c r="F49" s="45"/>
      <c r="G49" s="45"/>
      <c r="H49" s="45"/>
      <c r="I49" s="45"/>
      <c r="J49" s="45"/>
      <c r="K49" s="45"/>
      <c r="L49" s="45"/>
      <c r="M49" s="45"/>
      <c r="N49" s="45"/>
      <c r="O49" s="45"/>
      <c r="P49" s="45"/>
      <c r="Q49" s="45"/>
      <c r="R49" s="45"/>
      <c r="S49" s="45"/>
      <c r="T49" s="45"/>
      <c r="U49" s="45"/>
      <c r="V49" s="45"/>
      <c r="W49" s="45"/>
      <c r="X49" s="45"/>
      <c r="Y49" s="45"/>
      <c r="Z49" s="47" t="str">
        <f t="shared" si="0"/>
        <v>Очікую</v>
      </c>
      <c r="AA49" s="47" t="str">
        <f t="shared" si="1"/>
        <v>Очікую</v>
      </c>
      <c r="AB49" s="34"/>
      <c r="AC49" s="40"/>
    </row>
    <row r="50" spans="1:29" s="11" customFormat="1" ht="15" customHeight="1" x14ac:dyDescent="0.25">
      <c r="A50" s="41"/>
      <c r="B50" s="32"/>
      <c r="C50" s="45"/>
      <c r="D50" s="45">
        <v>41</v>
      </c>
      <c r="E50" s="46"/>
      <c r="F50" s="45"/>
      <c r="G50" s="45"/>
      <c r="H50" s="45"/>
      <c r="I50" s="45"/>
      <c r="J50" s="45"/>
      <c r="K50" s="45"/>
      <c r="L50" s="45"/>
      <c r="M50" s="45"/>
      <c r="N50" s="45"/>
      <c r="O50" s="45"/>
      <c r="P50" s="45"/>
      <c r="Q50" s="45"/>
      <c r="R50" s="45"/>
      <c r="S50" s="45"/>
      <c r="T50" s="45"/>
      <c r="U50" s="45"/>
      <c r="V50" s="45"/>
      <c r="W50" s="45"/>
      <c r="X50" s="45"/>
      <c r="Y50" s="45"/>
      <c r="Z50" s="47" t="str">
        <f t="shared" si="0"/>
        <v>Очікую</v>
      </c>
      <c r="AA50" s="47" t="str">
        <f t="shared" si="1"/>
        <v>Очікую</v>
      </c>
      <c r="AB50" s="34"/>
      <c r="AC50" s="40"/>
    </row>
    <row r="51" spans="1:29" s="11" customFormat="1" ht="15" customHeight="1" x14ac:dyDescent="0.25">
      <c r="A51" s="41"/>
      <c r="B51" s="32"/>
      <c r="C51" s="45"/>
      <c r="D51" s="45">
        <v>42</v>
      </c>
      <c r="E51" s="46"/>
      <c r="F51" s="45"/>
      <c r="G51" s="45"/>
      <c r="H51" s="45"/>
      <c r="I51" s="45"/>
      <c r="J51" s="45"/>
      <c r="K51" s="45"/>
      <c r="L51" s="45"/>
      <c r="M51" s="45"/>
      <c r="N51" s="45"/>
      <c r="O51" s="45"/>
      <c r="P51" s="45"/>
      <c r="Q51" s="45"/>
      <c r="R51" s="45"/>
      <c r="S51" s="45"/>
      <c r="T51" s="45"/>
      <c r="U51" s="45"/>
      <c r="V51" s="45"/>
      <c r="W51" s="45"/>
      <c r="X51" s="45"/>
      <c r="Y51" s="45"/>
      <c r="Z51" s="47" t="str">
        <f t="shared" si="0"/>
        <v>Очікую</v>
      </c>
      <c r="AA51" s="47" t="str">
        <f t="shared" si="1"/>
        <v>Очікую</v>
      </c>
      <c r="AB51" s="34"/>
      <c r="AC51" s="40"/>
    </row>
    <row r="52" spans="1:29" s="11" customFormat="1" ht="15" customHeight="1" x14ac:dyDescent="0.25">
      <c r="A52" s="41"/>
      <c r="B52" s="32"/>
      <c r="C52" s="45"/>
      <c r="D52" s="45">
        <v>43</v>
      </c>
      <c r="E52" s="46"/>
      <c r="F52" s="45"/>
      <c r="G52" s="45"/>
      <c r="H52" s="45"/>
      <c r="I52" s="45"/>
      <c r="J52" s="45"/>
      <c r="K52" s="45"/>
      <c r="L52" s="45"/>
      <c r="M52" s="45"/>
      <c r="N52" s="45"/>
      <c r="O52" s="45"/>
      <c r="P52" s="45"/>
      <c r="Q52" s="45"/>
      <c r="R52" s="45"/>
      <c r="S52" s="45"/>
      <c r="T52" s="45"/>
      <c r="U52" s="45"/>
      <c r="V52" s="45"/>
      <c r="W52" s="45"/>
      <c r="X52" s="45"/>
      <c r="Y52" s="45"/>
      <c r="Z52" s="47" t="str">
        <f t="shared" si="0"/>
        <v>Очікую</v>
      </c>
      <c r="AA52" s="47" t="str">
        <f t="shared" si="1"/>
        <v>Очікую</v>
      </c>
      <c r="AB52" s="34"/>
      <c r="AC52" s="40"/>
    </row>
    <row r="53" spans="1:29" s="11" customFormat="1" ht="15" customHeight="1" x14ac:dyDescent="0.25">
      <c r="A53" s="41"/>
      <c r="B53" s="32"/>
      <c r="C53" s="45"/>
      <c r="D53" s="45">
        <v>44</v>
      </c>
      <c r="E53" s="46"/>
      <c r="F53" s="45"/>
      <c r="G53" s="45"/>
      <c r="H53" s="45"/>
      <c r="I53" s="45"/>
      <c r="J53" s="45"/>
      <c r="K53" s="45"/>
      <c r="L53" s="45"/>
      <c r="M53" s="45"/>
      <c r="N53" s="45"/>
      <c r="O53" s="45"/>
      <c r="P53" s="45"/>
      <c r="Q53" s="45"/>
      <c r="R53" s="45"/>
      <c r="S53" s="45"/>
      <c r="T53" s="45"/>
      <c r="U53" s="45"/>
      <c r="V53" s="45"/>
      <c r="W53" s="45"/>
      <c r="X53" s="45"/>
      <c r="Y53" s="45"/>
      <c r="Z53" s="47" t="str">
        <f t="shared" si="0"/>
        <v>Очікую</v>
      </c>
      <c r="AA53" s="47" t="str">
        <f t="shared" si="1"/>
        <v>Очікую</v>
      </c>
      <c r="AB53" s="34"/>
      <c r="AC53" s="40"/>
    </row>
    <row r="54" spans="1:29" s="11" customFormat="1" ht="15" customHeight="1" x14ac:dyDescent="0.25">
      <c r="A54" s="41"/>
      <c r="B54" s="32"/>
      <c r="C54" s="45"/>
      <c r="D54" s="45">
        <v>45</v>
      </c>
      <c r="E54" s="46"/>
      <c r="F54" s="45"/>
      <c r="G54" s="45"/>
      <c r="H54" s="45"/>
      <c r="I54" s="45"/>
      <c r="J54" s="45"/>
      <c r="K54" s="45"/>
      <c r="L54" s="45"/>
      <c r="M54" s="45"/>
      <c r="N54" s="45"/>
      <c r="O54" s="45"/>
      <c r="P54" s="45"/>
      <c r="Q54" s="45"/>
      <c r="R54" s="45"/>
      <c r="S54" s="45"/>
      <c r="T54" s="45"/>
      <c r="U54" s="45"/>
      <c r="V54" s="45"/>
      <c r="W54" s="45"/>
      <c r="X54" s="45"/>
      <c r="Y54" s="45"/>
      <c r="Z54" s="47" t="str">
        <f t="shared" si="0"/>
        <v>Очікую</v>
      </c>
      <c r="AA54" s="47" t="str">
        <f t="shared" si="1"/>
        <v>Очікую</v>
      </c>
      <c r="AB54" s="34"/>
      <c r="AC54" s="40"/>
    </row>
    <row r="55" spans="1:29" s="11" customFormat="1" ht="15" customHeight="1" x14ac:dyDescent="0.25">
      <c r="A55" s="41"/>
      <c r="B55" s="32"/>
      <c r="C55" s="45"/>
      <c r="D55" s="45">
        <v>46</v>
      </c>
      <c r="E55" s="46"/>
      <c r="F55" s="45"/>
      <c r="G55" s="45"/>
      <c r="H55" s="45"/>
      <c r="I55" s="45"/>
      <c r="J55" s="45"/>
      <c r="K55" s="45"/>
      <c r="L55" s="45"/>
      <c r="M55" s="45"/>
      <c r="N55" s="45"/>
      <c r="O55" s="45"/>
      <c r="P55" s="45"/>
      <c r="Q55" s="45"/>
      <c r="R55" s="45"/>
      <c r="S55" s="45"/>
      <c r="T55" s="45"/>
      <c r="U55" s="45"/>
      <c r="V55" s="45"/>
      <c r="W55" s="45"/>
      <c r="X55" s="45"/>
      <c r="Y55" s="45"/>
      <c r="Z55" s="47" t="str">
        <f t="shared" si="0"/>
        <v>Очікую</v>
      </c>
      <c r="AA55" s="47" t="str">
        <f t="shared" si="1"/>
        <v>Очікую</v>
      </c>
      <c r="AB55" s="34"/>
      <c r="AC55" s="40"/>
    </row>
    <row r="56" spans="1:29" s="11" customFormat="1" ht="15" customHeight="1" x14ac:dyDescent="0.25">
      <c r="A56" s="41"/>
      <c r="B56" s="32"/>
      <c r="C56" s="45"/>
      <c r="D56" s="45">
        <v>47</v>
      </c>
      <c r="E56" s="46"/>
      <c r="F56" s="45"/>
      <c r="G56" s="45"/>
      <c r="H56" s="45"/>
      <c r="I56" s="45"/>
      <c r="J56" s="45"/>
      <c r="K56" s="45"/>
      <c r="L56" s="45"/>
      <c r="M56" s="45"/>
      <c r="N56" s="45"/>
      <c r="O56" s="45"/>
      <c r="P56" s="45"/>
      <c r="Q56" s="45"/>
      <c r="R56" s="45"/>
      <c r="S56" s="45"/>
      <c r="T56" s="45"/>
      <c r="U56" s="45"/>
      <c r="V56" s="45"/>
      <c r="W56" s="45"/>
      <c r="X56" s="45"/>
      <c r="Y56" s="45"/>
      <c r="Z56" s="47" t="str">
        <f t="shared" si="0"/>
        <v>Очікую</v>
      </c>
      <c r="AA56" s="47" t="str">
        <f t="shared" si="1"/>
        <v>Очікую</v>
      </c>
      <c r="AB56" s="34"/>
      <c r="AC56" s="40"/>
    </row>
    <row r="57" spans="1:29" s="11" customFormat="1" ht="15" customHeight="1" x14ac:dyDescent="0.25">
      <c r="A57" s="41"/>
      <c r="B57" s="32"/>
      <c r="C57" s="45"/>
      <c r="D57" s="45">
        <v>48</v>
      </c>
      <c r="E57" s="46"/>
      <c r="F57" s="45"/>
      <c r="G57" s="45"/>
      <c r="H57" s="45"/>
      <c r="I57" s="45"/>
      <c r="J57" s="45"/>
      <c r="K57" s="45"/>
      <c r="L57" s="45"/>
      <c r="M57" s="45"/>
      <c r="N57" s="45"/>
      <c r="O57" s="45"/>
      <c r="P57" s="45"/>
      <c r="Q57" s="45"/>
      <c r="R57" s="45"/>
      <c r="S57" s="45"/>
      <c r="T57" s="45"/>
      <c r="U57" s="45"/>
      <c r="V57" s="45"/>
      <c r="W57" s="45"/>
      <c r="X57" s="45"/>
      <c r="Y57" s="45"/>
      <c r="Z57" s="47" t="str">
        <f t="shared" si="0"/>
        <v>Очікую</v>
      </c>
      <c r="AA57" s="47" t="str">
        <f t="shared" si="1"/>
        <v>Очікую</v>
      </c>
      <c r="AB57" s="34"/>
      <c r="AC57" s="40"/>
    </row>
    <row r="58" spans="1:29" s="11" customFormat="1" ht="15" customHeight="1" x14ac:dyDescent="0.25">
      <c r="A58" s="41"/>
      <c r="B58" s="32"/>
      <c r="C58" s="45"/>
      <c r="D58" s="45">
        <v>49</v>
      </c>
      <c r="E58" s="46"/>
      <c r="F58" s="45"/>
      <c r="G58" s="45"/>
      <c r="H58" s="45"/>
      <c r="I58" s="45"/>
      <c r="J58" s="45"/>
      <c r="K58" s="45"/>
      <c r="L58" s="45"/>
      <c r="M58" s="45"/>
      <c r="N58" s="45"/>
      <c r="O58" s="45"/>
      <c r="P58" s="45"/>
      <c r="Q58" s="45"/>
      <c r="R58" s="45"/>
      <c r="S58" s="45"/>
      <c r="T58" s="45"/>
      <c r="U58" s="45"/>
      <c r="V58" s="45"/>
      <c r="W58" s="45"/>
      <c r="X58" s="45"/>
      <c r="Y58" s="45"/>
      <c r="Z58" s="47" t="str">
        <f t="shared" si="0"/>
        <v>Очікую</v>
      </c>
      <c r="AA58" s="47" t="str">
        <f t="shared" si="1"/>
        <v>Очікую</v>
      </c>
      <c r="AB58" s="34"/>
      <c r="AC58" s="40"/>
    </row>
    <row r="59" spans="1:29" s="11" customFormat="1" ht="15" customHeight="1" x14ac:dyDescent="0.25">
      <c r="A59" s="41"/>
      <c r="B59" s="32"/>
      <c r="C59" s="45"/>
      <c r="D59" s="45">
        <v>50</v>
      </c>
      <c r="E59" s="46"/>
      <c r="F59" s="45"/>
      <c r="G59" s="45"/>
      <c r="H59" s="45"/>
      <c r="I59" s="45"/>
      <c r="J59" s="45"/>
      <c r="K59" s="45"/>
      <c r="L59" s="45"/>
      <c r="M59" s="45"/>
      <c r="N59" s="45"/>
      <c r="O59" s="45"/>
      <c r="P59" s="45"/>
      <c r="Q59" s="45"/>
      <c r="R59" s="45"/>
      <c r="S59" s="45"/>
      <c r="T59" s="45"/>
      <c r="U59" s="45"/>
      <c r="V59" s="45"/>
      <c r="W59" s="45"/>
      <c r="X59" s="45"/>
      <c r="Y59" s="45"/>
      <c r="Z59" s="47" t="str">
        <f t="shared" si="0"/>
        <v>Очікую</v>
      </c>
      <c r="AA59" s="47" t="str">
        <f t="shared" si="1"/>
        <v>Очікую</v>
      </c>
      <c r="AB59" s="34"/>
      <c r="AC59" s="40"/>
    </row>
    <row r="60" spans="1:29" s="11" customFormat="1" ht="15" customHeight="1" x14ac:dyDescent="0.25">
      <c r="A60" s="41"/>
      <c r="B60" s="32"/>
      <c r="C60" s="45"/>
      <c r="D60" s="45">
        <v>51</v>
      </c>
      <c r="E60" s="46"/>
      <c r="F60" s="45"/>
      <c r="G60" s="45"/>
      <c r="H60" s="45"/>
      <c r="I60" s="45"/>
      <c r="J60" s="45"/>
      <c r="K60" s="45"/>
      <c r="L60" s="45"/>
      <c r="M60" s="45"/>
      <c r="N60" s="45"/>
      <c r="O60" s="45"/>
      <c r="P60" s="45"/>
      <c r="Q60" s="45"/>
      <c r="R60" s="45"/>
      <c r="S60" s="45"/>
      <c r="T60" s="45"/>
      <c r="U60" s="45"/>
      <c r="V60" s="45"/>
      <c r="W60" s="45"/>
      <c r="X60" s="45"/>
      <c r="Y60" s="45"/>
      <c r="Z60" s="47" t="str">
        <f t="shared" si="0"/>
        <v>Очікую</v>
      </c>
      <c r="AA60" s="47" t="str">
        <f t="shared" si="1"/>
        <v>Очікую</v>
      </c>
      <c r="AB60" s="34"/>
      <c r="AC60" s="40"/>
    </row>
    <row r="61" spans="1:29" s="11" customFormat="1" ht="15" customHeight="1" x14ac:dyDescent="0.25">
      <c r="A61" s="41"/>
      <c r="B61" s="32"/>
      <c r="C61" s="45"/>
      <c r="D61" s="45">
        <v>52</v>
      </c>
      <c r="E61" s="46"/>
      <c r="F61" s="45"/>
      <c r="G61" s="45"/>
      <c r="H61" s="45"/>
      <c r="I61" s="45"/>
      <c r="J61" s="45"/>
      <c r="K61" s="45"/>
      <c r="L61" s="45"/>
      <c r="M61" s="45"/>
      <c r="N61" s="45"/>
      <c r="O61" s="45"/>
      <c r="P61" s="45"/>
      <c r="Q61" s="45"/>
      <c r="R61" s="45"/>
      <c r="S61" s="45"/>
      <c r="T61" s="45"/>
      <c r="U61" s="45"/>
      <c r="V61" s="45"/>
      <c r="W61" s="45"/>
      <c r="X61" s="45"/>
      <c r="Y61" s="45"/>
      <c r="Z61" s="47" t="str">
        <f t="shared" si="0"/>
        <v>Очікую</v>
      </c>
      <c r="AA61" s="47" t="str">
        <f t="shared" si="1"/>
        <v>Очікую</v>
      </c>
      <c r="AB61" s="34"/>
      <c r="AC61" s="40"/>
    </row>
    <row r="62" spans="1:29" s="11" customFormat="1" ht="15" customHeight="1" x14ac:dyDescent="0.25">
      <c r="A62" s="41"/>
      <c r="B62" s="32"/>
      <c r="C62" s="45"/>
      <c r="D62" s="45">
        <v>53</v>
      </c>
      <c r="E62" s="46"/>
      <c r="F62" s="45"/>
      <c r="G62" s="45"/>
      <c r="H62" s="45"/>
      <c r="I62" s="45"/>
      <c r="J62" s="45"/>
      <c r="K62" s="45"/>
      <c r="L62" s="45"/>
      <c r="M62" s="45"/>
      <c r="N62" s="45"/>
      <c r="O62" s="45"/>
      <c r="P62" s="45"/>
      <c r="Q62" s="45"/>
      <c r="R62" s="45"/>
      <c r="S62" s="45"/>
      <c r="T62" s="45"/>
      <c r="U62" s="45"/>
      <c r="V62" s="45"/>
      <c r="W62" s="45"/>
      <c r="X62" s="45"/>
      <c r="Y62" s="45"/>
      <c r="Z62" s="47" t="str">
        <f t="shared" si="0"/>
        <v>Очікую</v>
      </c>
      <c r="AA62" s="47" t="str">
        <f t="shared" si="1"/>
        <v>Очікую</v>
      </c>
      <c r="AB62" s="34"/>
      <c r="AC62" s="40"/>
    </row>
    <row r="63" spans="1:29" s="11" customFormat="1" ht="15" customHeight="1" x14ac:dyDescent="0.25">
      <c r="A63" s="41"/>
      <c r="B63" s="32"/>
      <c r="C63" s="45"/>
      <c r="D63" s="45">
        <v>54</v>
      </c>
      <c r="E63" s="46"/>
      <c r="F63" s="45"/>
      <c r="G63" s="45"/>
      <c r="H63" s="45"/>
      <c r="I63" s="45"/>
      <c r="J63" s="45"/>
      <c r="K63" s="45"/>
      <c r="L63" s="45"/>
      <c r="M63" s="45"/>
      <c r="N63" s="45"/>
      <c r="O63" s="45"/>
      <c r="P63" s="45"/>
      <c r="Q63" s="45"/>
      <c r="R63" s="45"/>
      <c r="S63" s="45"/>
      <c r="T63" s="45"/>
      <c r="U63" s="45"/>
      <c r="V63" s="45"/>
      <c r="W63" s="45"/>
      <c r="X63" s="45"/>
      <c r="Y63" s="45"/>
      <c r="Z63" s="47" t="str">
        <f t="shared" si="0"/>
        <v>Очікую</v>
      </c>
      <c r="AA63" s="47" t="str">
        <f t="shared" si="1"/>
        <v>Очікую</v>
      </c>
      <c r="AB63" s="34"/>
      <c r="AC63" s="40"/>
    </row>
    <row r="64" spans="1:29" s="11" customFormat="1" ht="15" customHeight="1" x14ac:dyDescent="0.25">
      <c r="A64" s="41"/>
      <c r="B64" s="32"/>
      <c r="C64" s="45"/>
      <c r="D64" s="45">
        <v>55</v>
      </c>
      <c r="E64" s="46"/>
      <c r="F64" s="45"/>
      <c r="G64" s="45"/>
      <c r="H64" s="45"/>
      <c r="I64" s="45"/>
      <c r="J64" s="45"/>
      <c r="K64" s="45"/>
      <c r="L64" s="45"/>
      <c r="M64" s="45"/>
      <c r="N64" s="45"/>
      <c r="O64" s="45"/>
      <c r="P64" s="45"/>
      <c r="Q64" s="45"/>
      <c r="R64" s="45"/>
      <c r="S64" s="45"/>
      <c r="T64" s="45"/>
      <c r="U64" s="45"/>
      <c r="V64" s="45"/>
      <c r="W64" s="45"/>
      <c r="X64" s="45"/>
      <c r="Y64" s="45"/>
      <c r="Z64" s="47" t="str">
        <f t="shared" si="0"/>
        <v>Очікую</v>
      </c>
      <c r="AA64" s="47" t="str">
        <f t="shared" si="1"/>
        <v>Очікую</v>
      </c>
      <c r="AB64" s="34"/>
      <c r="AC64" s="40"/>
    </row>
    <row r="65" spans="1:29" s="11" customFormat="1" ht="15" customHeight="1" x14ac:dyDescent="0.25">
      <c r="A65" s="41"/>
      <c r="B65" s="32"/>
      <c r="C65" s="45"/>
      <c r="D65" s="45">
        <v>56</v>
      </c>
      <c r="E65" s="46"/>
      <c r="F65" s="45"/>
      <c r="G65" s="45"/>
      <c r="H65" s="45"/>
      <c r="I65" s="45"/>
      <c r="J65" s="45"/>
      <c r="K65" s="45"/>
      <c r="L65" s="45"/>
      <c r="M65" s="45"/>
      <c r="N65" s="45"/>
      <c r="O65" s="45"/>
      <c r="P65" s="45"/>
      <c r="Q65" s="45"/>
      <c r="R65" s="45"/>
      <c r="S65" s="45"/>
      <c r="T65" s="45"/>
      <c r="U65" s="45"/>
      <c r="V65" s="45"/>
      <c r="W65" s="45"/>
      <c r="X65" s="45"/>
      <c r="Y65" s="45"/>
      <c r="Z65" s="47" t="str">
        <f t="shared" si="0"/>
        <v>Очікую</v>
      </c>
      <c r="AA65" s="47" t="str">
        <f t="shared" si="1"/>
        <v>Очікую</v>
      </c>
      <c r="AB65" s="34"/>
      <c r="AC65" s="40"/>
    </row>
    <row r="66" spans="1:29" s="11" customFormat="1" ht="15" customHeight="1" x14ac:dyDescent="0.25">
      <c r="A66" s="41"/>
      <c r="B66" s="32"/>
      <c r="C66" s="45"/>
      <c r="D66" s="45">
        <v>57</v>
      </c>
      <c r="E66" s="46"/>
      <c r="F66" s="45"/>
      <c r="G66" s="45"/>
      <c r="H66" s="45"/>
      <c r="I66" s="45"/>
      <c r="J66" s="45"/>
      <c r="K66" s="45"/>
      <c r="L66" s="45"/>
      <c r="M66" s="45"/>
      <c r="N66" s="45"/>
      <c r="O66" s="45"/>
      <c r="P66" s="45"/>
      <c r="Q66" s="45"/>
      <c r="R66" s="45"/>
      <c r="S66" s="45"/>
      <c r="T66" s="45"/>
      <c r="U66" s="45"/>
      <c r="V66" s="45"/>
      <c r="W66" s="45"/>
      <c r="X66" s="45"/>
      <c r="Y66" s="45"/>
      <c r="Z66" s="47" t="str">
        <f t="shared" si="0"/>
        <v>Очікую</v>
      </c>
      <c r="AA66" s="47" t="str">
        <f t="shared" si="1"/>
        <v>Очікую</v>
      </c>
      <c r="AB66" s="34"/>
      <c r="AC66" s="40"/>
    </row>
    <row r="67" spans="1:29" s="11" customFormat="1" ht="15" customHeight="1" x14ac:dyDescent="0.25">
      <c r="A67" s="41"/>
      <c r="B67" s="32"/>
      <c r="C67" s="45"/>
      <c r="D67" s="45">
        <v>58</v>
      </c>
      <c r="E67" s="46"/>
      <c r="F67" s="45"/>
      <c r="G67" s="45"/>
      <c r="H67" s="45"/>
      <c r="I67" s="45"/>
      <c r="J67" s="45"/>
      <c r="K67" s="45"/>
      <c r="L67" s="45"/>
      <c r="M67" s="45"/>
      <c r="N67" s="45"/>
      <c r="O67" s="45"/>
      <c r="P67" s="45"/>
      <c r="Q67" s="45"/>
      <c r="R67" s="45"/>
      <c r="S67" s="45"/>
      <c r="T67" s="45"/>
      <c r="U67" s="45"/>
      <c r="V67" s="45"/>
      <c r="W67" s="45"/>
      <c r="X67" s="45"/>
      <c r="Y67" s="45"/>
      <c r="Z67" s="47" t="str">
        <f t="shared" si="0"/>
        <v>Очікую</v>
      </c>
      <c r="AA67" s="47" t="str">
        <f t="shared" si="1"/>
        <v>Очікую</v>
      </c>
      <c r="AB67" s="34"/>
      <c r="AC67" s="40"/>
    </row>
    <row r="68" spans="1:29" s="11" customFormat="1" ht="15" customHeight="1" x14ac:dyDescent="0.25">
      <c r="A68" s="41"/>
      <c r="B68" s="32"/>
      <c r="C68" s="45"/>
      <c r="D68" s="45">
        <v>59</v>
      </c>
      <c r="E68" s="46"/>
      <c r="F68" s="45"/>
      <c r="G68" s="45"/>
      <c r="H68" s="45"/>
      <c r="I68" s="45"/>
      <c r="J68" s="45"/>
      <c r="K68" s="45"/>
      <c r="L68" s="45"/>
      <c r="M68" s="45"/>
      <c r="N68" s="45"/>
      <c r="O68" s="45"/>
      <c r="P68" s="45"/>
      <c r="Q68" s="45"/>
      <c r="R68" s="45"/>
      <c r="S68" s="45"/>
      <c r="T68" s="45"/>
      <c r="U68" s="45"/>
      <c r="V68" s="45"/>
      <c r="W68" s="45"/>
      <c r="X68" s="45"/>
      <c r="Y68" s="45"/>
      <c r="Z68" s="47" t="str">
        <f t="shared" si="0"/>
        <v>Очікую</v>
      </c>
      <c r="AA68" s="47" t="str">
        <f t="shared" si="1"/>
        <v>Очікую</v>
      </c>
      <c r="AB68" s="34"/>
      <c r="AC68" s="40"/>
    </row>
    <row r="69" spans="1:29" s="11" customFormat="1" ht="15" customHeight="1" x14ac:dyDescent="0.25">
      <c r="A69" s="41"/>
      <c r="B69" s="32"/>
      <c r="C69" s="45"/>
      <c r="D69" s="45">
        <v>60</v>
      </c>
      <c r="E69" s="46"/>
      <c r="F69" s="45"/>
      <c r="G69" s="45"/>
      <c r="H69" s="45"/>
      <c r="I69" s="45"/>
      <c r="J69" s="45"/>
      <c r="K69" s="45"/>
      <c r="L69" s="45"/>
      <c r="M69" s="45"/>
      <c r="N69" s="45"/>
      <c r="O69" s="45"/>
      <c r="P69" s="45"/>
      <c r="Q69" s="45"/>
      <c r="R69" s="45"/>
      <c r="S69" s="45"/>
      <c r="T69" s="45"/>
      <c r="U69" s="45"/>
      <c r="V69" s="45"/>
      <c r="W69" s="45"/>
      <c r="X69" s="45"/>
      <c r="Y69" s="45"/>
      <c r="Z69" s="47" t="str">
        <f t="shared" si="0"/>
        <v>Очікую</v>
      </c>
      <c r="AA69" s="47" t="str">
        <f t="shared" si="1"/>
        <v>Очікую</v>
      </c>
      <c r="AB69" s="34"/>
      <c r="AC69" s="40"/>
    </row>
    <row r="70" spans="1:29" s="11" customFormat="1" ht="15" customHeight="1" x14ac:dyDescent="0.25">
      <c r="A70" s="41"/>
      <c r="B70" s="32"/>
      <c r="C70" s="45"/>
      <c r="D70" s="45">
        <v>61</v>
      </c>
      <c r="E70" s="46"/>
      <c r="F70" s="45"/>
      <c r="G70" s="45"/>
      <c r="H70" s="45"/>
      <c r="I70" s="45"/>
      <c r="J70" s="45"/>
      <c r="K70" s="45"/>
      <c r="L70" s="45"/>
      <c r="M70" s="45"/>
      <c r="N70" s="45"/>
      <c r="O70" s="45"/>
      <c r="P70" s="45"/>
      <c r="Q70" s="45"/>
      <c r="R70" s="45"/>
      <c r="S70" s="45"/>
      <c r="T70" s="45"/>
      <c r="U70" s="45"/>
      <c r="V70" s="45"/>
      <c r="W70" s="45"/>
      <c r="X70" s="45"/>
      <c r="Y70" s="45"/>
      <c r="Z70" s="47" t="str">
        <f t="shared" si="0"/>
        <v>Очікую</v>
      </c>
      <c r="AA70" s="47" t="str">
        <f t="shared" si="1"/>
        <v>Очікую</v>
      </c>
      <c r="AB70" s="34"/>
      <c r="AC70" s="40"/>
    </row>
    <row r="71" spans="1:29" s="11" customFormat="1" ht="15" customHeight="1" x14ac:dyDescent="0.25">
      <c r="A71" s="41"/>
      <c r="B71" s="32"/>
      <c r="C71" s="45"/>
      <c r="D71" s="45">
        <v>62</v>
      </c>
      <c r="E71" s="46"/>
      <c r="F71" s="45"/>
      <c r="G71" s="45"/>
      <c r="H71" s="45"/>
      <c r="I71" s="45"/>
      <c r="J71" s="45"/>
      <c r="K71" s="45"/>
      <c r="L71" s="45"/>
      <c r="M71" s="45"/>
      <c r="N71" s="45"/>
      <c r="O71" s="45"/>
      <c r="P71" s="45"/>
      <c r="Q71" s="45"/>
      <c r="R71" s="45"/>
      <c r="S71" s="45"/>
      <c r="T71" s="45"/>
      <c r="U71" s="45"/>
      <c r="V71" s="45"/>
      <c r="W71" s="45"/>
      <c r="X71" s="45"/>
      <c r="Y71" s="45"/>
      <c r="Z71" s="47" t="str">
        <f t="shared" si="0"/>
        <v>Очікую</v>
      </c>
      <c r="AA71" s="47" t="str">
        <f t="shared" si="1"/>
        <v>Очікую</v>
      </c>
      <c r="AB71" s="34"/>
      <c r="AC71" s="40"/>
    </row>
    <row r="72" spans="1:29" s="11" customFormat="1" ht="15" customHeight="1" x14ac:dyDescent="0.25">
      <c r="A72" s="41"/>
      <c r="B72" s="32"/>
      <c r="C72" s="45"/>
      <c r="D72" s="45">
        <v>63</v>
      </c>
      <c r="E72" s="46"/>
      <c r="F72" s="45"/>
      <c r="G72" s="45"/>
      <c r="H72" s="45"/>
      <c r="I72" s="45"/>
      <c r="J72" s="45"/>
      <c r="K72" s="45"/>
      <c r="L72" s="45"/>
      <c r="M72" s="45"/>
      <c r="N72" s="45"/>
      <c r="O72" s="45"/>
      <c r="P72" s="45"/>
      <c r="Q72" s="45"/>
      <c r="R72" s="45"/>
      <c r="S72" s="45"/>
      <c r="T72" s="45"/>
      <c r="U72" s="45"/>
      <c r="V72" s="45"/>
      <c r="W72" s="45"/>
      <c r="X72" s="45"/>
      <c r="Y72" s="45"/>
      <c r="Z72" s="47" t="str">
        <f t="shared" si="0"/>
        <v>Очікую</v>
      </c>
      <c r="AA72" s="47" t="str">
        <f t="shared" si="1"/>
        <v>Очікую</v>
      </c>
      <c r="AB72" s="34"/>
      <c r="AC72" s="40"/>
    </row>
    <row r="73" spans="1:29" s="11" customFormat="1" ht="15" customHeight="1" x14ac:dyDescent="0.25">
      <c r="A73" s="41"/>
      <c r="B73" s="32"/>
      <c r="C73" s="45"/>
      <c r="D73" s="45">
        <v>64</v>
      </c>
      <c r="E73" s="46"/>
      <c r="F73" s="45"/>
      <c r="G73" s="45"/>
      <c r="H73" s="45"/>
      <c r="I73" s="45"/>
      <c r="J73" s="45"/>
      <c r="K73" s="45"/>
      <c r="L73" s="45"/>
      <c r="M73" s="45"/>
      <c r="N73" s="45"/>
      <c r="O73" s="45"/>
      <c r="P73" s="45"/>
      <c r="Q73" s="45"/>
      <c r="R73" s="45"/>
      <c r="S73" s="45"/>
      <c r="T73" s="45"/>
      <c r="U73" s="45"/>
      <c r="V73" s="45"/>
      <c r="W73" s="45"/>
      <c r="X73" s="45"/>
      <c r="Y73" s="45"/>
      <c r="Z73" s="47" t="str">
        <f t="shared" si="0"/>
        <v>Очікую</v>
      </c>
      <c r="AA73" s="47" t="str">
        <f t="shared" si="1"/>
        <v>Очікую</v>
      </c>
      <c r="AB73" s="34"/>
      <c r="AC73" s="40"/>
    </row>
    <row r="74" spans="1:29" s="11" customFormat="1" ht="15" customHeight="1" x14ac:dyDescent="0.25">
      <c r="A74" s="41"/>
      <c r="B74" s="32"/>
      <c r="C74" s="45"/>
      <c r="D74" s="45">
        <v>65</v>
      </c>
      <c r="E74" s="46"/>
      <c r="F74" s="45"/>
      <c r="G74" s="45"/>
      <c r="H74" s="45"/>
      <c r="I74" s="45"/>
      <c r="J74" s="45"/>
      <c r="K74" s="45"/>
      <c r="L74" s="45"/>
      <c r="M74" s="45"/>
      <c r="N74" s="45"/>
      <c r="O74" s="45"/>
      <c r="P74" s="45"/>
      <c r="Q74" s="45"/>
      <c r="R74" s="45"/>
      <c r="S74" s="45"/>
      <c r="T74" s="45"/>
      <c r="U74" s="45"/>
      <c r="V74" s="45"/>
      <c r="W74" s="45"/>
      <c r="X74" s="45"/>
      <c r="Y74" s="45"/>
      <c r="Z74" s="47" t="str">
        <f t="shared" si="0"/>
        <v>Очікую</v>
      </c>
      <c r="AA74" s="47" t="str">
        <f t="shared" si="1"/>
        <v>Очікую</v>
      </c>
      <c r="AB74" s="34"/>
      <c r="AC74" s="40"/>
    </row>
    <row r="75" spans="1:29" s="11" customFormat="1" ht="15" customHeight="1" x14ac:dyDescent="0.25">
      <c r="A75" s="41"/>
      <c r="B75" s="32"/>
      <c r="C75" s="45"/>
      <c r="D75" s="45">
        <v>66</v>
      </c>
      <c r="E75" s="46"/>
      <c r="F75" s="45"/>
      <c r="G75" s="45"/>
      <c r="H75" s="45"/>
      <c r="I75" s="45"/>
      <c r="J75" s="45"/>
      <c r="K75" s="45"/>
      <c r="L75" s="45"/>
      <c r="M75" s="45"/>
      <c r="N75" s="45"/>
      <c r="O75" s="45"/>
      <c r="P75" s="45"/>
      <c r="Q75" s="45"/>
      <c r="R75" s="45"/>
      <c r="S75" s="45"/>
      <c r="T75" s="45"/>
      <c r="U75" s="45"/>
      <c r="V75" s="45"/>
      <c r="W75" s="45"/>
      <c r="X75" s="45"/>
      <c r="Y75" s="45"/>
      <c r="Z75" s="47" t="str">
        <f t="shared" ref="Z75:Z109" si="2">IF(COUNTIF(F75:Y75,"=*")&gt;0,IF($C75="К","-"," - "),IF(COUNTIF(F75:Y75,"&lt;4")&gt;0,IF(C75="К","-"," - "),(IFERROR(AVERAGE(F75:Y75),"Очікую"))))</f>
        <v>Очікую</v>
      </c>
      <c r="AA75" s="47" t="str">
        <f t="shared" ref="AA75:AA109" si="3">IFERROR(Z75/12*90,"Очікую")</f>
        <v>Очікую</v>
      </c>
      <c r="AB75" s="34"/>
      <c r="AC75" s="40"/>
    </row>
    <row r="76" spans="1:29" s="11" customFormat="1" ht="15" customHeight="1" x14ac:dyDescent="0.25">
      <c r="A76" s="41"/>
      <c r="B76" s="32"/>
      <c r="C76" s="45"/>
      <c r="D76" s="45">
        <v>67</v>
      </c>
      <c r="E76" s="46"/>
      <c r="F76" s="45"/>
      <c r="G76" s="45"/>
      <c r="H76" s="45"/>
      <c r="I76" s="45"/>
      <c r="J76" s="45"/>
      <c r="K76" s="45"/>
      <c r="L76" s="45"/>
      <c r="M76" s="45"/>
      <c r="N76" s="45"/>
      <c r="O76" s="45"/>
      <c r="P76" s="45"/>
      <c r="Q76" s="45"/>
      <c r="R76" s="45"/>
      <c r="S76" s="45"/>
      <c r="T76" s="45"/>
      <c r="U76" s="45"/>
      <c r="V76" s="45"/>
      <c r="W76" s="45"/>
      <c r="X76" s="45"/>
      <c r="Y76" s="45"/>
      <c r="Z76" s="47" t="str">
        <f t="shared" si="2"/>
        <v>Очікую</v>
      </c>
      <c r="AA76" s="47" t="str">
        <f t="shared" si="3"/>
        <v>Очікую</v>
      </c>
      <c r="AB76" s="34"/>
      <c r="AC76" s="40"/>
    </row>
    <row r="77" spans="1:29" s="11" customFormat="1" ht="15" customHeight="1" x14ac:dyDescent="0.25">
      <c r="A77" s="41"/>
      <c r="B77" s="32"/>
      <c r="C77" s="45"/>
      <c r="D77" s="45">
        <v>68</v>
      </c>
      <c r="E77" s="46"/>
      <c r="F77" s="45"/>
      <c r="G77" s="45"/>
      <c r="H77" s="45"/>
      <c r="I77" s="45"/>
      <c r="J77" s="45"/>
      <c r="K77" s="45"/>
      <c r="L77" s="45"/>
      <c r="M77" s="45"/>
      <c r="N77" s="45"/>
      <c r="O77" s="45"/>
      <c r="P77" s="45"/>
      <c r="Q77" s="45"/>
      <c r="R77" s="45"/>
      <c r="S77" s="45"/>
      <c r="T77" s="45"/>
      <c r="U77" s="45"/>
      <c r="V77" s="45"/>
      <c r="W77" s="45"/>
      <c r="X77" s="45"/>
      <c r="Y77" s="45"/>
      <c r="Z77" s="47" t="str">
        <f t="shared" si="2"/>
        <v>Очікую</v>
      </c>
      <c r="AA77" s="47" t="str">
        <f t="shared" si="3"/>
        <v>Очікую</v>
      </c>
      <c r="AB77" s="34"/>
      <c r="AC77" s="40"/>
    </row>
    <row r="78" spans="1:29" s="11" customFormat="1" ht="15" customHeight="1" x14ac:dyDescent="0.25">
      <c r="A78" s="41"/>
      <c r="B78" s="32"/>
      <c r="C78" s="45"/>
      <c r="D78" s="45">
        <v>69</v>
      </c>
      <c r="E78" s="46"/>
      <c r="F78" s="45"/>
      <c r="G78" s="45"/>
      <c r="H78" s="45"/>
      <c r="I78" s="45"/>
      <c r="J78" s="45"/>
      <c r="K78" s="45"/>
      <c r="L78" s="45"/>
      <c r="M78" s="45"/>
      <c r="N78" s="45"/>
      <c r="O78" s="45"/>
      <c r="P78" s="45"/>
      <c r="Q78" s="45"/>
      <c r="R78" s="45"/>
      <c r="S78" s="45"/>
      <c r="T78" s="45"/>
      <c r="U78" s="45"/>
      <c r="V78" s="45"/>
      <c r="W78" s="45"/>
      <c r="X78" s="45"/>
      <c r="Y78" s="45"/>
      <c r="Z78" s="47" t="str">
        <f t="shared" si="2"/>
        <v>Очікую</v>
      </c>
      <c r="AA78" s="47" t="str">
        <f t="shared" si="3"/>
        <v>Очікую</v>
      </c>
      <c r="AB78" s="34"/>
      <c r="AC78" s="40"/>
    </row>
    <row r="79" spans="1:29" s="11" customFormat="1" ht="15" customHeight="1" x14ac:dyDescent="0.25">
      <c r="A79" s="41"/>
      <c r="B79" s="32"/>
      <c r="C79" s="45"/>
      <c r="D79" s="45">
        <v>70</v>
      </c>
      <c r="E79" s="46"/>
      <c r="F79" s="45"/>
      <c r="G79" s="45"/>
      <c r="H79" s="45"/>
      <c r="I79" s="45"/>
      <c r="J79" s="45"/>
      <c r="K79" s="45"/>
      <c r="L79" s="45"/>
      <c r="M79" s="45"/>
      <c r="N79" s="45"/>
      <c r="O79" s="45"/>
      <c r="P79" s="45"/>
      <c r="Q79" s="45"/>
      <c r="R79" s="45"/>
      <c r="S79" s="45"/>
      <c r="T79" s="45"/>
      <c r="U79" s="45"/>
      <c r="V79" s="45"/>
      <c r="W79" s="45"/>
      <c r="X79" s="45"/>
      <c r="Y79" s="45"/>
      <c r="Z79" s="47" t="str">
        <f t="shared" si="2"/>
        <v>Очікую</v>
      </c>
      <c r="AA79" s="47" t="str">
        <f t="shared" si="3"/>
        <v>Очікую</v>
      </c>
      <c r="AB79" s="34"/>
      <c r="AC79" s="40"/>
    </row>
    <row r="80" spans="1:29" s="11" customFormat="1" ht="15" customHeight="1" x14ac:dyDescent="0.25">
      <c r="A80" s="41"/>
      <c r="B80" s="32"/>
      <c r="C80" s="45"/>
      <c r="D80" s="45">
        <v>71</v>
      </c>
      <c r="E80" s="46"/>
      <c r="F80" s="45"/>
      <c r="G80" s="45"/>
      <c r="H80" s="45"/>
      <c r="I80" s="45"/>
      <c r="J80" s="45"/>
      <c r="K80" s="45"/>
      <c r="L80" s="45"/>
      <c r="M80" s="45"/>
      <c r="N80" s="45"/>
      <c r="O80" s="45"/>
      <c r="P80" s="45"/>
      <c r="Q80" s="45"/>
      <c r="R80" s="45"/>
      <c r="S80" s="45"/>
      <c r="T80" s="45"/>
      <c r="U80" s="45"/>
      <c r="V80" s="45"/>
      <c r="W80" s="45"/>
      <c r="X80" s="45"/>
      <c r="Y80" s="45"/>
      <c r="Z80" s="47" t="str">
        <f t="shared" si="2"/>
        <v>Очікую</v>
      </c>
      <c r="AA80" s="47" t="str">
        <f t="shared" si="3"/>
        <v>Очікую</v>
      </c>
      <c r="AB80" s="34"/>
      <c r="AC80" s="40"/>
    </row>
    <row r="81" spans="1:29" s="11" customFormat="1" ht="15" customHeight="1" x14ac:dyDescent="0.25">
      <c r="A81" s="41"/>
      <c r="B81" s="32"/>
      <c r="C81" s="45"/>
      <c r="D81" s="45">
        <v>72</v>
      </c>
      <c r="E81" s="46"/>
      <c r="F81" s="45"/>
      <c r="G81" s="45"/>
      <c r="H81" s="45"/>
      <c r="I81" s="45"/>
      <c r="J81" s="45"/>
      <c r="K81" s="45"/>
      <c r="L81" s="45"/>
      <c r="M81" s="45"/>
      <c r="N81" s="45"/>
      <c r="O81" s="45"/>
      <c r="P81" s="45"/>
      <c r="Q81" s="45"/>
      <c r="R81" s="45"/>
      <c r="S81" s="45"/>
      <c r="T81" s="45"/>
      <c r="U81" s="45"/>
      <c r="V81" s="45"/>
      <c r="W81" s="45"/>
      <c r="X81" s="45"/>
      <c r="Y81" s="45"/>
      <c r="Z81" s="47" t="str">
        <f t="shared" si="2"/>
        <v>Очікую</v>
      </c>
      <c r="AA81" s="47" t="str">
        <f t="shared" si="3"/>
        <v>Очікую</v>
      </c>
      <c r="AB81" s="34"/>
      <c r="AC81" s="40"/>
    </row>
    <row r="82" spans="1:29" s="11" customFormat="1" ht="15" customHeight="1" x14ac:dyDescent="0.25">
      <c r="A82" s="41"/>
      <c r="B82" s="32"/>
      <c r="C82" s="45"/>
      <c r="D82" s="45">
        <v>73</v>
      </c>
      <c r="E82" s="46"/>
      <c r="F82" s="45"/>
      <c r="G82" s="45"/>
      <c r="H82" s="45"/>
      <c r="I82" s="45"/>
      <c r="J82" s="45"/>
      <c r="K82" s="45"/>
      <c r="L82" s="45"/>
      <c r="M82" s="45"/>
      <c r="N82" s="45"/>
      <c r="O82" s="45"/>
      <c r="P82" s="45"/>
      <c r="Q82" s="45"/>
      <c r="R82" s="45"/>
      <c r="S82" s="45"/>
      <c r="T82" s="45"/>
      <c r="U82" s="45"/>
      <c r="V82" s="45"/>
      <c r="W82" s="45"/>
      <c r="X82" s="45"/>
      <c r="Y82" s="45"/>
      <c r="Z82" s="47" t="str">
        <f t="shared" si="2"/>
        <v>Очікую</v>
      </c>
      <c r="AA82" s="47" t="str">
        <f t="shared" si="3"/>
        <v>Очікую</v>
      </c>
      <c r="AB82" s="34"/>
      <c r="AC82" s="40"/>
    </row>
    <row r="83" spans="1:29" s="11" customFormat="1" ht="15" customHeight="1" x14ac:dyDescent="0.25">
      <c r="A83" s="41"/>
      <c r="B83" s="32"/>
      <c r="C83" s="45"/>
      <c r="D83" s="45">
        <v>74</v>
      </c>
      <c r="E83" s="46"/>
      <c r="F83" s="45"/>
      <c r="G83" s="45"/>
      <c r="H83" s="45"/>
      <c r="I83" s="45"/>
      <c r="J83" s="45"/>
      <c r="K83" s="45"/>
      <c r="L83" s="45"/>
      <c r="M83" s="45"/>
      <c r="N83" s="45"/>
      <c r="O83" s="45"/>
      <c r="P83" s="45"/>
      <c r="Q83" s="45"/>
      <c r="R83" s="45"/>
      <c r="S83" s="45"/>
      <c r="T83" s="45"/>
      <c r="U83" s="45"/>
      <c r="V83" s="45"/>
      <c r="W83" s="45"/>
      <c r="X83" s="45"/>
      <c r="Y83" s="45"/>
      <c r="Z83" s="47" t="str">
        <f t="shared" si="2"/>
        <v>Очікую</v>
      </c>
      <c r="AA83" s="47" t="str">
        <f t="shared" si="3"/>
        <v>Очікую</v>
      </c>
      <c r="AB83" s="34"/>
      <c r="AC83" s="40"/>
    </row>
    <row r="84" spans="1:29" s="11" customFormat="1" ht="15" customHeight="1" x14ac:dyDescent="0.25">
      <c r="A84" s="41"/>
      <c r="B84" s="32"/>
      <c r="C84" s="45"/>
      <c r="D84" s="45">
        <v>75</v>
      </c>
      <c r="E84" s="46"/>
      <c r="F84" s="45"/>
      <c r="G84" s="45"/>
      <c r="H84" s="45"/>
      <c r="I84" s="45"/>
      <c r="J84" s="45"/>
      <c r="K84" s="45"/>
      <c r="L84" s="45"/>
      <c r="M84" s="45"/>
      <c r="N84" s="45"/>
      <c r="O84" s="45"/>
      <c r="P84" s="45"/>
      <c r="Q84" s="45"/>
      <c r="R84" s="45"/>
      <c r="S84" s="45"/>
      <c r="T84" s="45"/>
      <c r="U84" s="45"/>
      <c r="V84" s="45"/>
      <c r="W84" s="45"/>
      <c r="X84" s="45"/>
      <c r="Y84" s="45"/>
      <c r="Z84" s="47" t="str">
        <f t="shared" si="2"/>
        <v>Очікую</v>
      </c>
      <c r="AA84" s="47" t="str">
        <f t="shared" si="3"/>
        <v>Очікую</v>
      </c>
      <c r="AB84" s="34"/>
      <c r="AC84" s="40"/>
    </row>
    <row r="85" spans="1:29" s="11" customFormat="1" ht="15" customHeight="1" x14ac:dyDescent="0.25">
      <c r="A85" s="41"/>
      <c r="B85" s="32"/>
      <c r="C85" s="45"/>
      <c r="D85" s="45">
        <v>76</v>
      </c>
      <c r="E85" s="46"/>
      <c r="F85" s="45"/>
      <c r="G85" s="45"/>
      <c r="H85" s="45"/>
      <c r="I85" s="45"/>
      <c r="J85" s="45"/>
      <c r="K85" s="45"/>
      <c r="L85" s="45"/>
      <c r="M85" s="45"/>
      <c r="N85" s="45"/>
      <c r="O85" s="45"/>
      <c r="P85" s="45"/>
      <c r="Q85" s="45"/>
      <c r="R85" s="45"/>
      <c r="S85" s="45"/>
      <c r="T85" s="45"/>
      <c r="U85" s="45"/>
      <c r="V85" s="45"/>
      <c r="W85" s="45"/>
      <c r="X85" s="45"/>
      <c r="Y85" s="45"/>
      <c r="Z85" s="47" t="str">
        <f t="shared" si="2"/>
        <v>Очікую</v>
      </c>
      <c r="AA85" s="47" t="str">
        <f t="shared" si="3"/>
        <v>Очікую</v>
      </c>
      <c r="AB85" s="34"/>
      <c r="AC85" s="40"/>
    </row>
    <row r="86" spans="1:29" s="11" customFormat="1" ht="15" customHeight="1" x14ac:dyDescent="0.25">
      <c r="A86" s="41"/>
      <c r="B86" s="32"/>
      <c r="C86" s="45"/>
      <c r="D86" s="45">
        <v>77</v>
      </c>
      <c r="E86" s="46"/>
      <c r="F86" s="45"/>
      <c r="G86" s="45"/>
      <c r="H86" s="45"/>
      <c r="I86" s="45"/>
      <c r="J86" s="45"/>
      <c r="K86" s="45"/>
      <c r="L86" s="45"/>
      <c r="M86" s="45"/>
      <c r="N86" s="45"/>
      <c r="O86" s="45"/>
      <c r="P86" s="45"/>
      <c r="Q86" s="45"/>
      <c r="R86" s="45"/>
      <c r="S86" s="45"/>
      <c r="T86" s="45"/>
      <c r="U86" s="45"/>
      <c r="V86" s="45"/>
      <c r="W86" s="45"/>
      <c r="X86" s="45"/>
      <c r="Y86" s="45"/>
      <c r="Z86" s="47" t="str">
        <f t="shared" si="2"/>
        <v>Очікую</v>
      </c>
      <c r="AA86" s="47" t="str">
        <f t="shared" si="3"/>
        <v>Очікую</v>
      </c>
      <c r="AB86" s="34"/>
      <c r="AC86" s="40"/>
    </row>
    <row r="87" spans="1:29" s="11" customFormat="1" ht="15" customHeight="1" x14ac:dyDescent="0.25">
      <c r="A87" s="41"/>
      <c r="B87" s="32"/>
      <c r="C87" s="45"/>
      <c r="D87" s="45">
        <v>78</v>
      </c>
      <c r="E87" s="46"/>
      <c r="F87" s="45"/>
      <c r="G87" s="45"/>
      <c r="H87" s="45"/>
      <c r="I87" s="45"/>
      <c r="J87" s="45"/>
      <c r="K87" s="45"/>
      <c r="L87" s="45"/>
      <c r="M87" s="45"/>
      <c r="N87" s="45"/>
      <c r="O87" s="45"/>
      <c r="P87" s="45"/>
      <c r="Q87" s="45"/>
      <c r="R87" s="45"/>
      <c r="S87" s="45"/>
      <c r="T87" s="45"/>
      <c r="U87" s="45"/>
      <c r="V87" s="45"/>
      <c r="W87" s="45"/>
      <c r="X87" s="45"/>
      <c r="Y87" s="45"/>
      <c r="Z87" s="47" t="str">
        <f t="shared" si="2"/>
        <v>Очікую</v>
      </c>
      <c r="AA87" s="47" t="str">
        <f t="shared" si="3"/>
        <v>Очікую</v>
      </c>
      <c r="AB87" s="34"/>
      <c r="AC87" s="40"/>
    </row>
    <row r="88" spans="1:29" s="11" customFormat="1" ht="15" customHeight="1" x14ac:dyDescent="0.25">
      <c r="A88" s="41"/>
      <c r="B88" s="32"/>
      <c r="C88" s="45"/>
      <c r="D88" s="45">
        <v>79</v>
      </c>
      <c r="E88" s="46"/>
      <c r="F88" s="45"/>
      <c r="G88" s="45"/>
      <c r="H88" s="45"/>
      <c r="I88" s="45"/>
      <c r="J88" s="45"/>
      <c r="K88" s="45"/>
      <c r="L88" s="45"/>
      <c r="M88" s="45"/>
      <c r="N88" s="45"/>
      <c r="O88" s="45"/>
      <c r="P88" s="45"/>
      <c r="Q88" s="45"/>
      <c r="R88" s="45"/>
      <c r="S88" s="45"/>
      <c r="T88" s="45"/>
      <c r="U88" s="45"/>
      <c r="V88" s="45"/>
      <c r="W88" s="45"/>
      <c r="X88" s="45"/>
      <c r="Y88" s="45"/>
      <c r="Z88" s="47" t="str">
        <f t="shared" si="2"/>
        <v>Очікую</v>
      </c>
      <c r="AA88" s="47" t="str">
        <f t="shared" si="3"/>
        <v>Очікую</v>
      </c>
      <c r="AB88" s="34"/>
      <c r="AC88" s="40"/>
    </row>
    <row r="89" spans="1:29" s="11" customFormat="1" ht="15" customHeight="1" x14ac:dyDescent="0.25">
      <c r="A89" s="41"/>
      <c r="B89" s="32"/>
      <c r="C89" s="45"/>
      <c r="D89" s="45">
        <v>80</v>
      </c>
      <c r="E89" s="46"/>
      <c r="F89" s="45"/>
      <c r="G89" s="45"/>
      <c r="H89" s="45"/>
      <c r="I89" s="45"/>
      <c r="J89" s="45"/>
      <c r="K89" s="45"/>
      <c r="L89" s="45"/>
      <c r="M89" s="45"/>
      <c r="N89" s="45"/>
      <c r="O89" s="45"/>
      <c r="P89" s="45"/>
      <c r="Q89" s="45"/>
      <c r="R89" s="45"/>
      <c r="S89" s="45"/>
      <c r="T89" s="45"/>
      <c r="U89" s="45"/>
      <c r="V89" s="45"/>
      <c r="W89" s="45"/>
      <c r="X89" s="45"/>
      <c r="Y89" s="45"/>
      <c r="Z89" s="47" t="str">
        <f t="shared" si="2"/>
        <v>Очікую</v>
      </c>
      <c r="AA89" s="47" t="str">
        <f t="shared" si="3"/>
        <v>Очікую</v>
      </c>
      <c r="AB89" s="34"/>
      <c r="AC89" s="40"/>
    </row>
    <row r="90" spans="1:29" s="11" customFormat="1" ht="15" customHeight="1" x14ac:dyDescent="0.25">
      <c r="A90" s="41"/>
      <c r="B90" s="32"/>
      <c r="C90" s="45"/>
      <c r="D90" s="45">
        <v>81</v>
      </c>
      <c r="E90" s="46"/>
      <c r="F90" s="45"/>
      <c r="G90" s="45"/>
      <c r="H90" s="45"/>
      <c r="I90" s="45"/>
      <c r="J90" s="45"/>
      <c r="K90" s="45"/>
      <c r="L90" s="45"/>
      <c r="M90" s="45"/>
      <c r="N90" s="45"/>
      <c r="O90" s="45"/>
      <c r="P90" s="45"/>
      <c r="Q90" s="45"/>
      <c r="R90" s="45"/>
      <c r="S90" s="45"/>
      <c r="T90" s="45"/>
      <c r="U90" s="45"/>
      <c r="V90" s="45"/>
      <c r="W90" s="45"/>
      <c r="X90" s="45"/>
      <c r="Y90" s="45"/>
      <c r="Z90" s="47" t="str">
        <f t="shared" si="2"/>
        <v>Очікую</v>
      </c>
      <c r="AA90" s="47" t="str">
        <f t="shared" si="3"/>
        <v>Очікую</v>
      </c>
      <c r="AB90" s="34"/>
      <c r="AC90" s="40"/>
    </row>
    <row r="91" spans="1:29" s="11" customFormat="1" ht="15" customHeight="1" x14ac:dyDescent="0.25">
      <c r="A91" s="41"/>
      <c r="B91" s="32"/>
      <c r="C91" s="45"/>
      <c r="D91" s="45">
        <v>82</v>
      </c>
      <c r="E91" s="46"/>
      <c r="F91" s="45"/>
      <c r="G91" s="45"/>
      <c r="H91" s="45"/>
      <c r="I91" s="45"/>
      <c r="J91" s="45"/>
      <c r="K91" s="45"/>
      <c r="L91" s="45"/>
      <c r="M91" s="45"/>
      <c r="N91" s="45"/>
      <c r="O91" s="45"/>
      <c r="P91" s="45"/>
      <c r="Q91" s="45"/>
      <c r="R91" s="45"/>
      <c r="S91" s="45"/>
      <c r="T91" s="45"/>
      <c r="U91" s="45"/>
      <c r="V91" s="45"/>
      <c r="W91" s="45"/>
      <c r="X91" s="45"/>
      <c r="Y91" s="45"/>
      <c r="Z91" s="47" t="str">
        <f t="shared" si="2"/>
        <v>Очікую</v>
      </c>
      <c r="AA91" s="47" t="str">
        <f t="shared" si="3"/>
        <v>Очікую</v>
      </c>
      <c r="AB91" s="34"/>
      <c r="AC91" s="40"/>
    </row>
    <row r="92" spans="1:29" s="11" customFormat="1" ht="15" customHeight="1" x14ac:dyDescent="0.25">
      <c r="A92" s="41"/>
      <c r="B92" s="32"/>
      <c r="C92" s="45"/>
      <c r="D92" s="45">
        <v>83</v>
      </c>
      <c r="E92" s="46"/>
      <c r="F92" s="45"/>
      <c r="G92" s="45"/>
      <c r="H92" s="45"/>
      <c r="I92" s="45"/>
      <c r="J92" s="45"/>
      <c r="K92" s="45"/>
      <c r="L92" s="45"/>
      <c r="M92" s="45"/>
      <c r="N92" s="45"/>
      <c r="O92" s="45"/>
      <c r="P92" s="45"/>
      <c r="Q92" s="45"/>
      <c r="R92" s="45"/>
      <c r="S92" s="45"/>
      <c r="T92" s="45"/>
      <c r="U92" s="45"/>
      <c r="V92" s="45"/>
      <c r="W92" s="45"/>
      <c r="X92" s="45"/>
      <c r="Y92" s="45"/>
      <c r="Z92" s="47" t="str">
        <f t="shared" si="2"/>
        <v>Очікую</v>
      </c>
      <c r="AA92" s="47" t="str">
        <f t="shared" si="3"/>
        <v>Очікую</v>
      </c>
      <c r="AB92" s="34"/>
      <c r="AC92" s="40"/>
    </row>
    <row r="93" spans="1:29" s="11" customFormat="1" ht="15" customHeight="1" x14ac:dyDescent="0.25">
      <c r="A93" s="41"/>
      <c r="B93" s="32"/>
      <c r="C93" s="45"/>
      <c r="D93" s="45">
        <v>84</v>
      </c>
      <c r="E93" s="46"/>
      <c r="F93" s="45"/>
      <c r="G93" s="45"/>
      <c r="H93" s="45"/>
      <c r="I93" s="45"/>
      <c r="J93" s="45"/>
      <c r="K93" s="45"/>
      <c r="L93" s="45"/>
      <c r="M93" s="45"/>
      <c r="N93" s="45"/>
      <c r="O93" s="45"/>
      <c r="P93" s="45"/>
      <c r="Q93" s="45"/>
      <c r="R93" s="45"/>
      <c r="S93" s="45"/>
      <c r="T93" s="45"/>
      <c r="U93" s="45"/>
      <c r="V93" s="45"/>
      <c r="W93" s="45"/>
      <c r="X93" s="45"/>
      <c r="Y93" s="45"/>
      <c r="Z93" s="47" t="str">
        <f t="shared" si="2"/>
        <v>Очікую</v>
      </c>
      <c r="AA93" s="47" t="str">
        <f t="shared" si="3"/>
        <v>Очікую</v>
      </c>
      <c r="AB93" s="34"/>
      <c r="AC93" s="40"/>
    </row>
    <row r="94" spans="1:29" s="11" customFormat="1" ht="15" customHeight="1" x14ac:dyDescent="0.25">
      <c r="A94" s="41"/>
      <c r="B94" s="32"/>
      <c r="C94" s="45"/>
      <c r="D94" s="45">
        <v>85</v>
      </c>
      <c r="E94" s="46"/>
      <c r="F94" s="45"/>
      <c r="G94" s="45"/>
      <c r="H94" s="45"/>
      <c r="I94" s="45"/>
      <c r="J94" s="45"/>
      <c r="K94" s="45"/>
      <c r="L94" s="45"/>
      <c r="M94" s="45"/>
      <c r="N94" s="45"/>
      <c r="O94" s="45"/>
      <c r="P94" s="45"/>
      <c r="Q94" s="45"/>
      <c r="R94" s="45"/>
      <c r="S94" s="45"/>
      <c r="T94" s="45"/>
      <c r="U94" s="45"/>
      <c r="V94" s="45"/>
      <c r="W94" s="45"/>
      <c r="X94" s="45"/>
      <c r="Y94" s="45"/>
      <c r="Z94" s="47" t="str">
        <f t="shared" si="2"/>
        <v>Очікую</v>
      </c>
      <c r="AA94" s="47" t="str">
        <f t="shared" si="3"/>
        <v>Очікую</v>
      </c>
      <c r="AB94" s="34"/>
      <c r="AC94" s="40"/>
    </row>
    <row r="95" spans="1:29" s="11" customFormat="1" ht="15" customHeight="1" x14ac:dyDescent="0.25">
      <c r="A95" s="41"/>
      <c r="B95" s="32"/>
      <c r="C95" s="45"/>
      <c r="D95" s="45">
        <v>86</v>
      </c>
      <c r="E95" s="46"/>
      <c r="F95" s="45"/>
      <c r="G95" s="45"/>
      <c r="H95" s="45"/>
      <c r="I95" s="45"/>
      <c r="J95" s="45"/>
      <c r="K95" s="45"/>
      <c r="L95" s="45"/>
      <c r="M95" s="45"/>
      <c r="N95" s="45"/>
      <c r="O95" s="45"/>
      <c r="P95" s="45"/>
      <c r="Q95" s="45"/>
      <c r="R95" s="45"/>
      <c r="S95" s="45"/>
      <c r="T95" s="45"/>
      <c r="U95" s="45"/>
      <c r="V95" s="45"/>
      <c r="W95" s="45"/>
      <c r="X95" s="45"/>
      <c r="Y95" s="45"/>
      <c r="Z95" s="47" t="str">
        <f t="shared" si="2"/>
        <v>Очікую</v>
      </c>
      <c r="AA95" s="47" t="str">
        <f t="shared" si="3"/>
        <v>Очікую</v>
      </c>
      <c r="AB95" s="34"/>
      <c r="AC95" s="40"/>
    </row>
    <row r="96" spans="1:29" s="11" customFormat="1" ht="15" customHeight="1" x14ac:dyDescent="0.25">
      <c r="A96" s="41"/>
      <c r="B96" s="32"/>
      <c r="C96" s="45"/>
      <c r="D96" s="45">
        <v>87</v>
      </c>
      <c r="E96" s="46"/>
      <c r="F96" s="45"/>
      <c r="G96" s="45"/>
      <c r="H96" s="45"/>
      <c r="I96" s="45"/>
      <c r="J96" s="45"/>
      <c r="K96" s="45"/>
      <c r="L96" s="45"/>
      <c r="M96" s="45"/>
      <c r="N96" s="45"/>
      <c r="O96" s="45"/>
      <c r="P96" s="45"/>
      <c r="Q96" s="45"/>
      <c r="R96" s="45"/>
      <c r="S96" s="45"/>
      <c r="T96" s="45"/>
      <c r="U96" s="45"/>
      <c r="V96" s="45"/>
      <c r="W96" s="45"/>
      <c r="X96" s="45"/>
      <c r="Y96" s="45"/>
      <c r="Z96" s="47" t="str">
        <f t="shared" si="2"/>
        <v>Очікую</v>
      </c>
      <c r="AA96" s="47" t="str">
        <f t="shared" si="3"/>
        <v>Очікую</v>
      </c>
      <c r="AB96" s="34"/>
      <c r="AC96" s="40"/>
    </row>
    <row r="97" spans="1:29" s="11" customFormat="1" ht="15" customHeight="1" x14ac:dyDescent="0.25">
      <c r="A97" s="41"/>
      <c r="B97" s="32"/>
      <c r="C97" s="45"/>
      <c r="D97" s="45">
        <v>88</v>
      </c>
      <c r="E97" s="46"/>
      <c r="F97" s="45"/>
      <c r="G97" s="45"/>
      <c r="H97" s="45"/>
      <c r="I97" s="45"/>
      <c r="J97" s="45"/>
      <c r="K97" s="45"/>
      <c r="L97" s="45"/>
      <c r="M97" s="45"/>
      <c r="N97" s="45"/>
      <c r="O97" s="45"/>
      <c r="P97" s="45"/>
      <c r="Q97" s="45"/>
      <c r="R97" s="45"/>
      <c r="S97" s="45"/>
      <c r="T97" s="45"/>
      <c r="U97" s="45"/>
      <c r="V97" s="45"/>
      <c r="W97" s="45"/>
      <c r="X97" s="45"/>
      <c r="Y97" s="45"/>
      <c r="Z97" s="47" t="str">
        <f t="shared" si="2"/>
        <v>Очікую</v>
      </c>
      <c r="AA97" s="47" t="str">
        <f t="shared" si="3"/>
        <v>Очікую</v>
      </c>
      <c r="AB97" s="34"/>
      <c r="AC97" s="40"/>
    </row>
    <row r="98" spans="1:29" s="11" customFormat="1" ht="15" customHeight="1" x14ac:dyDescent="0.25">
      <c r="A98" s="41"/>
      <c r="B98" s="32"/>
      <c r="C98" s="45"/>
      <c r="D98" s="45">
        <v>89</v>
      </c>
      <c r="E98" s="46"/>
      <c r="F98" s="45"/>
      <c r="G98" s="45"/>
      <c r="H98" s="45"/>
      <c r="I98" s="45"/>
      <c r="J98" s="45"/>
      <c r="K98" s="45"/>
      <c r="L98" s="45"/>
      <c r="M98" s="45"/>
      <c r="N98" s="45"/>
      <c r="O98" s="45"/>
      <c r="P98" s="45"/>
      <c r="Q98" s="45"/>
      <c r="R98" s="45"/>
      <c r="S98" s="45"/>
      <c r="T98" s="45"/>
      <c r="U98" s="45"/>
      <c r="V98" s="45"/>
      <c r="W98" s="45"/>
      <c r="X98" s="45"/>
      <c r="Y98" s="45"/>
      <c r="Z98" s="47" t="str">
        <f t="shared" si="2"/>
        <v>Очікую</v>
      </c>
      <c r="AA98" s="47" t="str">
        <f t="shared" si="3"/>
        <v>Очікую</v>
      </c>
      <c r="AB98" s="34"/>
      <c r="AC98" s="40"/>
    </row>
    <row r="99" spans="1:29" s="11" customFormat="1" ht="15" customHeight="1" x14ac:dyDescent="0.25">
      <c r="A99" s="41"/>
      <c r="B99" s="32"/>
      <c r="C99" s="45"/>
      <c r="D99" s="45">
        <v>90</v>
      </c>
      <c r="E99" s="46"/>
      <c r="F99" s="45"/>
      <c r="G99" s="45"/>
      <c r="H99" s="45"/>
      <c r="I99" s="45"/>
      <c r="J99" s="45"/>
      <c r="K99" s="45"/>
      <c r="L99" s="45"/>
      <c r="M99" s="45"/>
      <c r="N99" s="45"/>
      <c r="O99" s="45"/>
      <c r="P99" s="45"/>
      <c r="Q99" s="45"/>
      <c r="R99" s="45"/>
      <c r="S99" s="45"/>
      <c r="T99" s="45"/>
      <c r="U99" s="45"/>
      <c r="V99" s="45"/>
      <c r="W99" s="45"/>
      <c r="X99" s="45"/>
      <c r="Y99" s="45"/>
      <c r="Z99" s="47" t="str">
        <f t="shared" si="2"/>
        <v>Очікую</v>
      </c>
      <c r="AA99" s="47" t="str">
        <f t="shared" si="3"/>
        <v>Очікую</v>
      </c>
      <c r="AB99" s="34"/>
      <c r="AC99" s="40"/>
    </row>
    <row r="100" spans="1:29" s="11" customFormat="1" ht="15" customHeight="1" x14ac:dyDescent="0.25">
      <c r="A100" s="41"/>
      <c r="B100" s="32"/>
      <c r="C100" s="45"/>
      <c r="D100" s="45">
        <v>91</v>
      </c>
      <c r="E100" s="46"/>
      <c r="F100" s="45"/>
      <c r="G100" s="45"/>
      <c r="H100" s="45"/>
      <c r="I100" s="45"/>
      <c r="J100" s="45"/>
      <c r="K100" s="45"/>
      <c r="L100" s="45"/>
      <c r="M100" s="45"/>
      <c r="N100" s="45"/>
      <c r="O100" s="45"/>
      <c r="P100" s="45"/>
      <c r="Q100" s="45"/>
      <c r="R100" s="45"/>
      <c r="S100" s="45"/>
      <c r="T100" s="45"/>
      <c r="U100" s="45"/>
      <c r="V100" s="45"/>
      <c r="W100" s="45"/>
      <c r="X100" s="45"/>
      <c r="Y100" s="45"/>
      <c r="Z100" s="47" t="str">
        <f t="shared" si="2"/>
        <v>Очікую</v>
      </c>
      <c r="AA100" s="47" t="str">
        <f t="shared" si="3"/>
        <v>Очікую</v>
      </c>
      <c r="AB100" s="34"/>
      <c r="AC100" s="40"/>
    </row>
    <row r="101" spans="1:29" s="11" customFormat="1" ht="15" customHeight="1" x14ac:dyDescent="0.25">
      <c r="A101" s="41"/>
      <c r="B101" s="32"/>
      <c r="C101" s="45"/>
      <c r="D101" s="45">
        <v>92</v>
      </c>
      <c r="E101" s="46"/>
      <c r="F101" s="45"/>
      <c r="G101" s="45"/>
      <c r="H101" s="45"/>
      <c r="I101" s="45"/>
      <c r="J101" s="45"/>
      <c r="K101" s="45"/>
      <c r="L101" s="45"/>
      <c r="M101" s="45"/>
      <c r="N101" s="45"/>
      <c r="O101" s="45"/>
      <c r="P101" s="45"/>
      <c r="Q101" s="45"/>
      <c r="R101" s="45"/>
      <c r="S101" s="45"/>
      <c r="T101" s="45"/>
      <c r="U101" s="45"/>
      <c r="V101" s="45"/>
      <c r="W101" s="45"/>
      <c r="X101" s="45"/>
      <c r="Y101" s="45"/>
      <c r="Z101" s="47" t="str">
        <f t="shared" si="2"/>
        <v>Очікую</v>
      </c>
      <c r="AA101" s="47" t="str">
        <f t="shared" si="3"/>
        <v>Очікую</v>
      </c>
      <c r="AB101" s="34"/>
      <c r="AC101" s="40"/>
    </row>
    <row r="102" spans="1:29" s="11" customFormat="1" ht="15" customHeight="1" x14ac:dyDescent="0.25">
      <c r="A102" s="41"/>
      <c r="B102" s="32"/>
      <c r="C102" s="45"/>
      <c r="D102" s="45">
        <v>93</v>
      </c>
      <c r="E102" s="46"/>
      <c r="F102" s="45"/>
      <c r="G102" s="45"/>
      <c r="H102" s="45"/>
      <c r="I102" s="45"/>
      <c r="J102" s="45"/>
      <c r="K102" s="45"/>
      <c r="L102" s="45"/>
      <c r="M102" s="45"/>
      <c r="N102" s="45"/>
      <c r="O102" s="45"/>
      <c r="P102" s="45"/>
      <c r="Q102" s="45"/>
      <c r="R102" s="45"/>
      <c r="S102" s="45"/>
      <c r="T102" s="45"/>
      <c r="U102" s="45"/>
      <c r="V102" s="45"/>
      <c r="W102" s="45"/>
      <c r="X102" s="45"/>
      <c r="Y102" s="45"/>
      <c r="Z102" s="47" t="str">
        <f t="shared" si="2"/>
        <v>Очікую</v>
      </c>
      <c r="AA102" s="47" t="str">
        <f t="shared" si="3"/>
        <v>Очікую</v>
      </c>
      <c r="AB102" s="34"/>
      <c r="AC102" s="40"/>
    </row>
    <row r="103" spans="1:29" s="11" customFormat="1" ht="15" customHeight="1" x14ac:dyDescent="0.25">
      <c r="A103" s="41"/>
      <c r="B103" s="32"/>
      <c r="C103" s="45"/>
      <c r="D103" s="45">
        <v>94</v>
      </c>
      <c r="E103" s="46"/>
      <c r="F103" s="45"/>
      <c r="G103" s="45"/>
      <c r="H103" s="45"/>
      <c r="I103" s="45"/>
      <c r="J103" s="45"/>
      <c r="K103" s="45"/>
      <c r="L103" s="45"/>
      <c r="M103" s="45"/>
      <c r="N103" s="45"/>
      <c r="O103" s="45"/>
      <c r="P103" s="45"/>
      <c r="Q103" s="45"/>
      <c r="R103" s="45"/>
      <c r="S103" s="45"/>
      <c r="T103" s="45"/>
      <c r="U103" s="45"/>
      <c r="V103" s="45"/>
      <c r="W103" s="45"/>
      <c r="X103" s="45"/>
      <c r="Y103" s="45"/>
      <c r="Z103" s="47" t="str">
        <f t="shared" si="2"/>
        <v>Очікую</v>
      </c>
      <c r="AA103" s="47" t="str">
        <f t="shared" si="3"/>
        <v>Очікую</v>
      </c>
      <c r="AB103" s="34"/>
      <c r="AC103" s="40"/>
    </row>
    <row r="104" spans="1:29" s="11" customFormat="1" ht="15" customHeight="1" x14ac:dyDescent="0.25">
      <c r="A104" s="41"/>
      <c r="B104" s="32"/>
      <c r="C104" s="45"/>
      <c r="D104" s="45">
        <v>95</v>
      </c>
      <c r="E104" s="46"/>
      <c r="F104" s="45"/>
      <c r="G104" s="45"/>
      <c r="H104" s="45"/>
      <c r="I104" s="45"/>
      <c r="J104" s="45"/>
      <c r="K104" s="45"/>
      <c r="L104" s="45"/>
      <c r="M104" s="45"/>
      <c r="N104" s="45"/>
      <c r="O104" s="45"/>
      <c r="P104" s="45"/>
      <c r="Q104" s="45"/>
      <c r="R104" s="45"/>
      <c r="S104" s="45"/>
      <c r="T104" s="45"/>
      <c r="U104" s="45"/>
      <c r="V104" s="45"/>
      <c r="W104" s="45"/>
      <c r="X104" s="45"/>
      <c r="Y104" s="45"/>
      <c r="Z104" s="47" t="str">
        <f t="shared" si="2"/>
        <v>Очікую</v>
      </c>
      <c r="AA104" s="47" t="str">
        <f t="shared" si="3"/>
        <v>Очікую</v>
      </c>
      <c r="AB104" s="34"/>
      <c r="AC104" s="40"/>
    </row>
    <row r="105" spans="1:29" s="11" customFormat="1" ht="15" customHeight="1" x14ac:dyDescent="0.25">
      <c r="A105" s="41"/>
      <c r="B105" s="32"/>
      <c r="C105" s="45"/>
      <c r="D105" s="45">
        <v>96</v>
      </c>
      <c r="E105" s="46"/>
      <c r="F105" s="45"/>
      <c r="G105" s="45"/>
      <c r="H105" s="45"/>
      <c r="I105" s="45"/>
      <c r="J105" s="45"/>
      <c r="K105" s="45"/>
      <c r="L105" s="45"/>
      <c r="M105" s="45"/>
      <c r="N105" s="45"/>
      <c r="O105" s="45"/>
      <c r="P105" s="45"/>
      <c r="Q105" s="45"/>
      <c r="R105" s="45"/>
      <c r="S105" s="45"/>
      <c r="T105" s="45"/>
      <c r="U105" s="45"/>
      <c r="V105" s="45"/>
      <c r="W105" s="45"/>
      <c r="X105" s="45"/>
      <c r="Y105" s="45"/>
      <c r="Z105" s="47" t="str">
        <f t="shared" si="2"/>
        <v>Очікую</v>
      </c>
      <c r="AA105" s="47" t="str">
        <f t="shared" si="3"/>
        <v>Очікую</v>
      </c>
      <c r="AB105" s="34"/>
      <c r="AC105" s="40"/>
    </row>
    <row r="106" spans="1:29" s="11" customFormat="1" ht="15" customHeight="1" x14ac:dyDescent="0.25">
      <c r="A106" s="41"/>
      <c r="B106" s="32"/>
      <c r="C106" s="45"/>
      <c r="D106" s="45">
        <v>97</v>
      </c>
      <c r="E106" s="46"/>
      <c r="F106" s="45"/>
      <c r="G106" s="45"/>
      <c r="H106" s="45"/>
      <c r="I106" s="45"/>
      <c r="J106" s="45"/>
      <c r="K106" s="45"/>
      <c r="L106" s="45"/>
      <c r="M106" s="45"/>
      <c r="N106" s="45"/>
      <c r="O106" s="45"/>
      <c r="P106" s="45"/>
      <c r="Q106" s="45"/>
      <c r="R106" s="45"/>
      <c r="S106" s="45"/>
      <c r="T106" s="45"/>
      <c r="U106" s="45"/>
      <c r="V106" s="45"/>
      <c r="W106" s="45"/>
      <c r="X106" s="45"/>
      <c r="Y106" s="45"/>
      <c r="Z106" s="47" t="str">
        <f t="shared" si="2"/>
        <v>Очікую</v>
      </c>
      <c r="AA106" s="47" t="str">
        <f t="shared" si="3"/>
        <v>Очікую</v>
      </c>
      <c r="AB106" s="34"/>
      <c r="AC106" s="40"/>
    </row>
    <row r="107" spans="1:29" s="11" customFormat="1" ht="15" customHeight="1" x14ac:dyDescent="0.25">
      <c r="A107" s="41"/>
      <c r="B107" s="32"/>
      <c r="C107" s="45"/>
      <c r="D107" s="45">
        <v>98</v>
      </c>
      <c r="E107" s="46"/>
      <c r="F107" s="45"/>
      <c r="G107" s="45"/>
      <c r="H107" s="45"/>
      <c r="I107" s="45"/>
      <c r="J107" s="45"/>
      <c r="K107" s="45"/>
      <c r="L107" s="45"/>
      <c r="M107" s="45"/>
      <c r="N107" s="45"/>
      <c r="O107" s="45"/>
      <c r="P107" s="45"/>
      <c r="Q107" s="45"/>
      <c r="R107" s="45"/>
      <c r="S107" s="45"/>
      <c r="T107" s="45"/>
      <c r="U107" s="45"/>
      <c r="V107" s="45"/>
      <c r="W107" s="45"/>
      <c r="X107" s="45"/>
      <c r="Y107" s="45"/>
      <c r="Z107" s="47" t="str">
        <f t="shared" si="2"/>
        <v>Очікую</v>
      </c>
      <c r="AA107" s="47" t="str">
        <f t="shared" si="3"/>
        <v>Очікую</v>
      </c>
      <c r="AB107" s="34"/>
      <c r="AC107" s="40"/>
    </row>
    <row r="108" spans="1:29" s="11" customFormat="1" ht="15" customHeight="1" x14ac:dyDescent="0.25">
      <c r="A108" s="41"/>
      <c r="B108" s="32"/>
      <c r="C108" s="45"/>
      <c r="D108" s="45">
        <v>99</v>
      </c>
      <c r="E108" s="46"/>
      <c r="F108" s="45"/>
      <c r="G108" s="45"/>
      <c r="H108" s="45"/>
      <c r="I108" s="45"/>
      <c r="J108" s="45"/>
      <c r="K108" s="45"/>
      <c r="L108" s="45"/>
      <c r="M108" s="45"/>
      <c r="N108" s="45"/>
      <c r="O108" s="45"/>
      <c r="P108" s="45"/>
      <c r="Q108" s="45"/>
      <c r="R108" s="45"/>
      <c r="S108" s="45"/>
      <c r="T108" s="45"/>
      <c r="U108" s="45"/>
      <c r="V108" s="45"/>
      <c r="W108" s="45"/>
      <c r="X108" s="45"/>
      <c r="Y108" s="45"/>
      <c r="Z108" s="47" t="str">
        <f t="shared" si="2"/>
        <v>Очікую</v>
      </c>
      <c r="AA108" s="47" t="str">
        <f t="shared" si="3"/>
        <v>Очікую</v>
      </c>
      <c r="AB108" s="34"/>
      <c r="AC108" s="40"/>
    </row>
    <row r="109" spans="1:29" s="11" customFormat="1" ht="15" customHeight="1" x14ac:dyDescent="0.25">
      <c r="A109" s="41"/>
      <c r="B109" s="32"/>
      <c r="C109" s="45"/>
      <c r="D109" s="45">
        <v>100</v>
      </c>
      <c r="E109" s="46"/>
      <c r="F109" s="45"/>
      <c r="G109" s="45"/>
      <c r="H109" s="45"/>
      <c r="I109" s="45"/>
      <c r="J109" s="45"/>
      <c r="K109" s="45"/>
      <c r="L109" s="45"/>
      <c r="M109" s="45"/>
      <c r="N109" s="45"/>
      <c r="O109" s="45"/>
      <c r="P109" s="45"/>
      <c r="Q109" s="45"/>
      <c r="R109" s="45"/>
      <c r="S109" s="45"/>
      <c r="T109" s="45"/>
      <c r="U109" s="45"/>
      <c r="V109" s="45"/>
      <c r="W109" s="45"/>
      <c r="X109" s="45"/>
      <c r="Y109" s="45"/>
      <c r="Z109" s="47" t="str">
        <f t="shared" si="2"/>
        <v>Очікую</v>
      </c>
      <c r="AA109" s="47" t="str">
        <f t="shared" si="3"/>
        <v>Очікую</v>
      </c>
      <c r="AB109" s="34"/>
      <c r="AC109" s="40"/>
    </row>
    <row r="110" spans="1:29" ht="15" customHeight="1" x14ac:dyDescent="0.25">
      <c r="A110" s="41"/>
      <c r="B110" s="32"/>
      <c r="C110" s="25"/>
      <c r="D110" s="25"/>
      <c r="E110" s="26" t="s">
        <v>9</v>
      </c>
      <c r="F110" s="5" t="str">
        <f>ЛЗ8!F115</f>
        <v>Очікую</v>
      </c>
      <c r="G110" s="6"/>
      <c r="H110" s="6"/>
      <c r="I110" s="6"/>
      <c r="J110" s="6"/>
      <c r="K110" s="6"/>
      <c r="L110" s="25"/>
      <c r="M110" s="27"/>
      <c r="N110" s="25"/>
      <c r="O110" s="25"/>
      <c r="P110" s="25"/>
      <c r="Q110" s="25"/>
      <c r="R110" s="25"/>
      <c r="S110" s="25"/>
      <c r="T110" s="25"/>
      <c r="U110" s="28"/>
      <c r="V110" s="27"/>
      <c r="W110" s="25"/>
      <c r="X110" s="25"/>
      <c r="Y110" s="25"/>
      <c r="Z110" s="25"/>
      <c r="AA110" s="25"/>
      <c r="AB110" s="33"/>
      <c r="AC110" s="40"/>
    </row>
    <row r="111" spans="1:29" ht="15" customHeight="1" x14ac:dyDescent="0.25">
      <c r="A111" s="41"/>
      <c r="B111" s="32"/>
      <c r="C111" s="25"/>
      <c r="D111" s="25"/>
      <c r="E111" s="26" t="s">
        <v>10</v>
      </c>
      <c r="F111" s="5" t="str">
        <f>ЛЗ8!F116</f>
        <v>Очікую</v>
      </c>
      <c r="G111" s="6"/>
      <c r="H111" s="63" t="s">
        <v>11</v>
      </c>
      <c r="I111" s="6"/>
      <c r="J111" s="6"/>
      <c r="K111" s="6"/>
      <c r="L111" s="25"/>
      <c r="M111" s="27"/>
      <c r="N111" s="63"/>
      <c r="O111" s="63"/>
      <c r="P111" s="63"/>
      <c r="Q111" s="63"/>
      <c r="R111" s="6"/>
      <c r="S111" s="6"/>
      <c r="T111" s="6"/>
      <c r="U111" s="64"/>
      <c r="V111" s="64"/>
      <c r="W111" s="64"/>
      <c r="X111" s="64"/>
      <c r="Y111" s="64"/>
      <c r="Z111" s="64"/>
      <c r="AA111" s="25"/>
      <c r="AB111" s="33"/>
      <c r="AC111" s="40"/>
    </row>
    <row r="112" spans="1:29" ht="15" customHeight="1" x14ac:dyDescent="0.25">
      <c r="A112" s="41"/>
      <c r="B112" s="32"/>
      <c r="C112" s="25"/>
      <c r="D112" s="25"/>
      <c r="E112" s="26" t="s">
        <v>12</v>
      </c>
      <c r="F112" s="5">
        <f>ЛЗ8!F117</f>
        <v>0</v>
      </c>
      <c r="G112" s="6"/>
      <c r="H112" s="10"/>
      <c r="I112" s="6"/>
      <c r="J112" s="6"/>
      <c r="K112" s="6"/>
      <c r="L112" s="25"/>
      <c r="M112" s="27"/>
      <c r="N112" s="6"/>
      <c r="O112" s="6"/>
      <c r="P112" s="6"/>
      <c r="Q112" s="6"/>
      <c r="R112" s="6"/>
      <c r="S112" s="6"/>
      <c r="T112" s="6"/>
      <c r="U112" s="10"/>
      <c r="V112" s="10"/>
      <c r="W112" s="6"/>
      <c r="X112" s="6"/>
      <c r="Y112" s="6"/>
      <c r="Z112" s="6"/>
      <c r="AA112" s="25"/>
      <c r="AB112" s="33"/>
      <c r="AC112" s="40"/>
    </row>
    <row r="113" spans="1:29" ht="15" customHeight="1" x14ac:dyDescent="0.25">
      <c r="A113" s="41"/>
      <c r="B113" s="32"/>
      <c r="C113" s="25"/>
      <c r="D113" s="25"/>
      <c r="E113" s="26" t="s">
        <v>13</v>
      </c>
      <c r="F113" s="5" t="str">
        <f>ЛЗ8!F118</f>
        <v>Очікую</v>
      </c>
      <c r="G113" s="6"/>
      <c r="H113" s="64" t="s">
        <v>14</v>
      </c>
      <c r="I113" s="6"/>
      <c r="J113" s="6"/>
      <c r="K113" s="6"/>
      <c r="L113" s="25"/>
      <c r="M113" s="27"/>
      <c r="N113" s="64"/>
      <c r="O113" s="64"/>
      <c r="P113" s="64"/>
      <c r="Q113" s="64"/>
      <c r="R113" s="6"/>
      <c r="S113" s="6"/>
      <c r="T113" s="6"/>
      <c r="U113" s="64"/>
      <c r="V113" s="64"/>
      <c r="W113" s="64"/>
      <c r="X113" s="64"/>
      <c r="Y113" s="64"/>
      <c r="Z113" s="64"/>
      <c r="AA113" s="25"/>
      <c r="AB113" s="33"/>
      <c r="AC113" s="40"/>
    </row>
    <row r="114" spans="1:29" ht="12" customHeight="1" thickBot="1" x14ac:dyDescent="0.3">
      <c r="A114" s="41"/>
      <c r="B114" s="35"/>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c r="AA114" s="36"/>
      <c r="AB114" s="37"/>
      <c r="AC114" s="40"/>
    </row>
    <row r="115" spans="1:29" ht="12" customHeight="1" x14ac:dyDescent="0.25">
      <c r="A115" s="39"/>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40"/>
    </row>
    <row r="116" spans="1:29" ht="0" hidden="1" customHeight="1" x14ac:dyDescent="0.25">
      <c r="A116" s="42"/>
      <c r="AC116" s="42"/>
    </row>
    <row r="117" spans="1:29" ht="0" hidden="1" customHeight="1" x14ac:dyDescent="0.25">
      <c r="A117" s="42"/>
      <c r="AC117" s="42"/>
    </row>
    <row r="118" spans="1:29" ht="0" hidden="1" customHeight="1" x14ac:dyDescent="0.25">
      <c r="A118" s="42"/>
      <c r="AC118" s="42"/>
    </row>
    <row r="119" spans="1:29" ht="0" hidden="1" customHeight="1" x14ac:dyDescent="0.25">
      <c r="A119" s="42"/>
      <c r="AC119" s="42"/>
    </row>
    <row r="120" spans="1:29" ht="0" hidden="1" customHeight="1" x14ac:dyDescent="0.25">
      <c r="A120" s="42"/>
      <c r="B120" s="42"/>
      <c r="C120" s="42"/>
      <c r="D120" s="42"/>
      <c r="E120" s="42"/>
      <c r="F120" s="42"/>
      <c r="G120" s="42"/>
      <c r="H120" s="42"/>
      <c r="I120" s="42"/>
      <c r="J120" s="42"/>
      <c r="K120" s="42"/>
      <c r="L120" s="42"/>
      <c r="M120" s="42"/>
      <c r="N120" s="42"/>
      <c r="O120" s="42"/>
      <c r="P120" s="42"/>
      <c r="Q120" s="42"/>
      <c r="R120" s="42"/>
      <c r="S120" s="42"/>
      <c r="T120" s="42"/>
      <c r="U120" s="42"/>
      <c r="V120" s="42"/>
      <c r="W120" s="42"/>
      <c r="X120" s="42"/>
      <c r="Y120" s="42"/>
      <c r="Z120" s="42"/>
      <c r="AA120" s="42"/>
      <c r="AB120" s="42"/>
      <c r="AC120" s="42"/>
    </row>
  </sheetData>
  <sheetProtection insertRows="0" deleteRows="0"/>
  <mergeCells count="11">
    <mergeCell ref="C8:C9"/>
    <mergeCell ref="D8:D9"/>
    <mergeCell ref="E8:E9"/>
    <mergeCell ref="F8:Y8"/>
    <mergeCell ref="AA8:AA9"/>
    <mergeCell ref="Z8:Z9"/>
    <mergeCell ref="C3:AA3"/>
    <mergeCell ref="C4:AA4"/>
    <mergeCell ref="C5:AA5"/>
    <mergeCell ref="C6:AA6"/>
    <mergeCell ref="C7:AA7"/>
  </mergeCells>
  <printOptions horizontalCentered="1"/>
  <pageMargins left="0.19685039370078741" right="0.19685039370078741" top="0.19685039370078741" bottom="0.19685039370078741" header="0" footer="0"/>
  <pageSetup paperSize="9" scale="32"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E26B0A"/>
    <pageSetUpPr fitToPage="1"/>
  </sheetPr>
  <dimension ref="A1:BO120"/>
  <sheetViews>
    <sheetView zoomScaleNormal="100" workbookViewId="0"/>
  </sheetViews>
  <sheetFormatPr defaultColWidth="0" defaultRowHeight="0" customHeight="1" zeroHeight="1" x14ac:dyDescent="0.25"/>
  <cols>
    <col min="1" max="2" width="2.7109375" style="1" customWidth="1"/>
    <col min="3" max="3" width="4.140625" style="1" customWidth="1"/>
    <col min="4" max="4" width="6.5703125" style="1" customWidth="1"/>
    <col min="5" max="5" width="40.42578125" style="1" customWidth="1"/>
    <col min="6" max="25" width="6.7109375" style="1" customWidth="1"/>
    <col min="26" max="27" width="11.28515625" style="1" customWidth="1"/>
    <col min="28" max="29" width="2.7109375" style="1" customWidth="1"/>
    <col min="30" max="35" width="14.42578125" style="1" hidden="1" customWidth="1"/>
    <col min="36" max="36" width="14.85546875" style="1" hidden="1" customWidth="1"/>
    <col min="37" max="50" width="3.7109375" style="1" hidden="1" customWidth="1"/>
    <col min="51" max="67" width="5.7109375" style="1" hidden="1" customWidth="1"/>
    <col min="68" max="16384" width="14.42578125" style="1" hidden="1"/>
  </cols>
  <sheetData>
    <row r="1" spans="1:29" ht="12" customHeight="1" thickBot="1" x14ac:dyDescent="0.3">
      <c r="A1" s="38" t="s">
        <v>18</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row>
    <row r="2" spans="1:29" ht="12" customHeight="1" x14ac:dyDescent="0.25">
      <c r="A2" s="41"/>
      <c r="B2" s="29"/>
      <c r="C2" s="30"/>
      <c r="D2" s="30"/>
      <c r="E2" s="30"/>
      <c r="F2" s="30"/>
      <c r="G2" s="30"/>
      <c r="H2" s="30"/>
      <c r="I2" s="30"/>
      <c r="J2" s="30"/>
      <c r="K2" s="30"/>
      <c r="L2" s="30"/>
      <c r="M2" s="30"/>
      <c r="N2" s="30"/>
      <c r="O2" s="30"/>
      <c r="P2" s="30"/>
      <c r="Q2" s="30"/>
      <c r="R2" s="30"/>
      <c r="S2" s="30"/>
      <c r="T2" s="30"/>
      <c r="U2" s="30"/>
      <c r="V2" s="30"/>
      <c r="W2" s="30"/>
      <c r="X2" s="30"/>
      <c r="Y2" s="30"/>
      <c r="Z2" s="30"/>
      <c r="AA2" s="30"/>
      <c r="AB2" s="31"/>
      <c r="AC2" s="40"/>
    </row>
    <row r="3" spans="1:29" s="2" customFormat="1" ht="54.95" customHeight="1" x14ac:dyDescent="0.3">
      <c r="A3" s="41"/>
      <c r="B3" s="32"/>
      <c r="C3" s="85" t="s">
        <v>19</v>
      </c>
      <c r="D3" s="85"/>
      <c r="E3" s="85"/>
      <c r="F3" s="85"/>
      <c r="G3" s="85"/>
      <c r="H3" s="85"/>
      <c r="I3" s="85"/>
      <c r="J3" s="85"/>
      <c r="K3" s="85"/>
      <c r="L3" s="85"/>
      <c r="M3" s="85"/>
      <c r="N3" s="85"/>
      <c r="O3" s="85"/>
      <c r="P3" s="85"/>
      <c r="Q3" s="85"/>
      <c r="R3" s="85"/>
      <c r="S3" s="85"/>
      <c r="T3" s="85"/>
      <c r="U3" s="85"/>
      <c r="V3" s="85"/>
      <c r="W3" s="85"/>
      <c r="X3" s="85"/>
      <c r="Y3" s="85"/>
      <c r="Z3" s="85"/>
      <c r="AA3" s="85"/>
      <c r="AB3" s="33"/>
      <c r="AC3" s="40"/>
    </row>
    <row r="4" spans="1:29" s="3" customFormat="1" ht="15" customHeight="1" x14ac:dyDescent="0.25">
      <c r="A4" s="41"/>
      <c r="B4" s="32"/>
      <c r="C4" s="84" t="s">
        <v>23</v>
      </c>
      <c r="D4" s="84"/>
      <c r="E4" s="84"/>
      <c r="F4" s="84"/>
      <c r="G4" s="84"/>
      <c r="H4" s="84"/>
      <c r="I4" s="84"/>
      <c r="J4" s="84"/>
      <c r="K4" s="84"/>
      <c r="L4" s="84"/>
      <c r="M4" s="84"/>
      <c r="N4" s="84"/>
      <c r="O4" s="84"/>
      <c r="P4" s="84"/>
      <c r="Q4" s="84"/>
      <c r="R4" s="84"/>
      <c r="S4" s="84"/>
      <c r="T4" s="84"/>
      <c r="U4" s="84"/>
      <c r="V4" s="84"/>
      <c r="W4" s="84"/>
      <c r="X4" s="84"/>
      <c r="Y4" s="84"/>
      <c r="Z4" s="84"/>
      <c r="AA4" s="84"/>
      <c r="AB4" s="33"/>
      <c r="AC4" s="40"/>
    </row>
    <row r="5" spans="1:29" s="2" customFormat="1" ht="15" customHeight="1" x14ac:dyDescent="0.25">
      <c r="A5" s="41"/>
      <c r="B5" s="32"/>
      <c r="C5" s="86" t="str">
        <f>ЛЗ9!C5</f>
        <v>Успішності студентів спеціальності XXX «XXXXX»</v>
      </c>
      <c r="D5" s="86"/>
      <c r="E5" s="86"/>
      <c r="F5" s="86"/>
      <c r="G5" s="86"/>
      <c r="H5" s="86"/>
      <c r="I5" s="86"/>
      <c r="J5" s="86"/>
      <c r="K5" s="86"/>
      <c r="L5" s="86"/>
      <c r="M5" s="86"/>
      <c r="N5" s="86"/>
      <c r="O5" s="86"/>
      <c r="P5" s="86"/>
      <c r="Q5" s="86"/>
      <c r="R5" s="86"/>
      <c r="S5" s="86"/>
      <c r="T5" s="86"/>
      <c r="U5" s="86"/>
      <c r="V5" s="86"/>
      <c r="W5" s="86"/>
      <c r="X5" s="86"/>
      <c r="Y5" s="86"/>
      <c r="Z5" s="86"/>
      <c r="AA5" s="86"/>
      <c r="AB5" s="33"/>
      <c r="AC5" s="40"/>
    </row>
    <row r="6" spans="1:29" s="2" customFormat="1" ht="15" customHeight="1" x14ac:dyDescent="0.25">
      <c r="A6" s="41"/>
      <c r="B6" s="32"/>
      <c r="C6" s="86" t="str">
        <f>ЛЗ9!C6</f>
        <v>За X семестр XXXX-XXXX н.р.</v>
      </c>
      <c r="D6" s="86"/>
      <c r="E6" s="86"/>
      <c r="F6" s="86"/>
      <c r="G6" s="86"/>
      <c r="H6" s="86"/>
      <c r="I6" s="86"/>
      <c r="J6" s="86"/>
      <c r="K6" s="86"/>
      <c r="L6" s="86"/>
      <c r="M6" s="86"/>
      <c r="N6" s="86"/>
      <c r="O6" s="86"/>
      <c r="P6" s="86"/>
      <c r="Q6" s="86"/>
      <c r="R6" s="86"/>
      <c r="S6" s="86"/>
      <c r="T6" s="86"/>
      <c r="U6" s="86"/>
      <c r="V6" s="86"/>
      <c r="W6" s="86"/>
      <c r="X6" s="86"/>
      <c r="Y6" s="86"/>
      <c r="Z6" s="86"/>
      <c r="AA6" s="86"/>
      <c r="AB6" s="33"/>
      <c r="AC6" s="40"/>
    </row>
    <row r="7" spans="1:29" s="2" customFormat="1" ht="15" customHeight="1" x14ac:dyDescent="0.25">
      <c r="A7" s="41"/>
      <c r="B7" s="32"/>
      <c r="C7" s="87" t="str">
        <f>ЛЗ9!C7</f>
        <v>Група XXXX курс X</v>
      </c>
      <c r="D7" s="87"/>
      <c r="E7" s="87"/>
      <c r="F7" s="87"/>
      <c r="G7" s="87"/>
      <c r="H7" s="87"/>
      <c r="I7" s="87"/>
      <c r="J7" s="87"/>
      <c r="K7" s="87"/>
      <c r="L7" s="87"/>
      <c r="M7" s="87"/>
      <c r="N7" s="87"/>
      <c r="O7" s="87"/>
      <c r="P7" s="87"/>
      <c r="Q7" s="87"/>
      <c r="R7" s="87"/>
      <c r="S7" s="87"/>
      <c r="T7" s="87"/>
      <c r="U7" s="87"/>
      <c r="V7" s="87"/>
      <c r="W7" s="87"/>
      <c r="X7" s="87"/>
      <c r="Y7" s="87"/>
      <c r="Z7" s="87"/>
      <c r="AA7" s="87"/>
      <c r="AB7" s="33"/>
      <c r="AC7" s="40"/>
    </row>
    <row r="8" spans="1:29" ht="15" customHeight="1" x14ac:dyDescent="0.25">
      <c r="A8" s="41"/>
      <c r="B8" s="32"/>
      <c r="C8" s="88" t="s">
        <v>0</v>
      </c>
      <c r="D8" s="90" t="s">
        <v>1</v>
      </c>
      <c r="E8" s="90" t="s">
        <v>2</v>
      </c>
      <c r="F8" s="91" t="s">
        <v>17</v>
      </c>
      <c r="G8" s="92"/>
      <c r="H8" s="92"/>
      <c r="I8" s="92"/>
      <c r="J8" s="92"/>
      <c r="K8" s="92"/>
      <c r="L8" s="92"/>
      <c r="M8" s="92"/>
      <c r="N8" s="92"/>
      <c r="O8" s="92"/>
      <c r="P8" s="92"/>
      <c r="Q8" s="92"/>
      <c r="R8" s="92"/>
      <c r="S8" s="92"/>
      <c r="T8" s="92"/>
      <c r="U8" s="92"/>
      <c r="V8" s="92"/>
      <c r="W8" s="92"/>
      <c r="X8" s="92"/>
      <c r="Y8" s="93"/>
      <c r="Z8" s="94" t="s">
        <v>3</v>
      </c>
      <c r="AA8" s="94" t="s">
        <v>24</v>
      </c>
      <c r="AB8" s="33"/>
      <c r="AC8" s="40"/>
    </row>
    <row r="9" spans="1:29" ht="125.1" customHeight="1" x14ac:dyDescent="0.25">
      <c r="A9" s="41"/>
      <c r="B9" s="32"/>
      <c r="C9" s="89"/>
      <c r="D9" s="89"/>
      <c r="E9" s="89"/>
      <c r="F9" s="24">
        <v>1</v>
      </c>
      <c r="G9" s="24">
        <v>2</v>
      </c>
      <c r="H9" s="24">
        <v>3</v>
      </c>
      <c r="I9" s="24">
        <v>4</v>
      </c>
      <c r="J9" s="24">
        <v>5</v>
      </c>
      <c r="K9" s="24">
        <v>6</v>
      </c>
      <c r="L9" s="24">
        <v>7</v>
      </c>
      <c r="M9" s="24">
        <v>8</v>
      </c>
      <c r="N9" s="24">
        <v>9</v>
      </c>
      <c r="O9" s="24">
        <v>10</v>
      </c>
      <c r="P9" s="24">
        <v>11</v>
      </c>
      <c r="Q9" s="24">
        <v>12</v>
      </c>
      <c r="R9" s="24">
        <v>13</v>
      </c>
      <c r="S9" s="24">
        <v>14</v>
      </c>
      <c r="T9" s="24">
        <v>15</v>
      </c>
      <c r="U9" s="24">
        <v>16</v>
      </c>
      <c r="V9" s="24">
        <v>17</v>
      </c>
      <c r="W9" s="24">
        <v>18</v>
      </c>
      <c r="X9" s="24">
        <v>19</v>
      </c>
      <c r="Y9" s="24">
        <v>20</v>
      </c>
      <c r="Z9" s="95"/>
      <c r="AA9" s="95"/>
      <c r="AB9" s="33"/>
      <c r="AC9" s="40"/>
    </row>
    <row r="10" spans="1:29" s="11" customFormat="1" ht="15" customHeight="1" x14ac:dyDescent="0.25">
      <c r="A10" s="41"/>
      <c r="B10" s="32"/>
      <c r="C10" s="45"/>
      <c r="D10" s="45">
        <v>1</v>
      </c>
      <c r="E10" s="46"/>
      <c r="F10" s="45"/>
      <c r="G10" s="45"/>
      <c r="H10" s="45"/>
      <c r="I10" s="45"/>
      <c r="J10" s="45"/>
      <c r="K10" s="45"/>
      <c r="L10" s="45"/>
      <c r="M10" s="45"/>
      <c r="N10" s="45"/>
      <c r="O10" s="45"/>
      <c r="P10" s="45"/>
      <c r="Q10" s="45"/>
      <c r="R10" s="45"/>
      <c r="S10" s="45"/>
      <c r="T10" s="45"/>
      <c r="U10" s="45"/>
      <c r="V10" s="45"/>
      <c r="W10" s="45"/>
      <c r="X10" s="45"/>
      <c r="Y10" s="45"/>
      <c r="Z10" s="47" t="str">
        <f>IF(COUNTIF(F10:Y10,"=*")&gt;0,IF($C10="К","-"," - "),IF(COUNTIF(F10:Y10,"&lt;4")&gt;0,IF(C10="К","-"," - "),(IFERROR(AVERAGE(F10:Y10),"Очікую"))))</f>
        <v>Очікую</v>
      </c>
      <c r="AA10" s="47" t="str">
        <f>IFERROR(Z10/12*90,"Очікую")</f>
        <v>Очікую</v>
      </c>
      <c r="AB10" s="34"/>
      <c r="AC10" s="40"/>
    </row>
    <row r="11" spans="1:29" s="11" customFormat="1" ht="15" customHeight="1" x14ac:dyDescent="0.25">
      <c r="A11" s="41"/>
      <c r="B11" s="32"/>
      <c r="C11" s="45"/>
      <c r="D11" s="45">
        <v>2</v>
      </c>
      <c r="E11" s="46"/>
      <c r="F11" s="45"/>
      <c r="G11" s="45"/>
      <c r="H11" s="45"/>
      <c r="I11" s="45"/>
      <c r="J11" s="45"/>
      <c r="K11" s="45"/>
      <c r="L11" s="45"/>
      <c r="M11" s="45"/>
      <c r="N11" s="45"/>
      <c r="O11" s="45"/>
      <c r="P11" s="45"/>
      <c r="Q11" s="45"/>
      <c r="R11" s="45"/>
      <c r="S11" s="45"/>
      <c r="T11" s="45"/>
      <c r="U11" s="45"/>
      <c r="V11" s="45"/>
      <c r="W11" s="45"/>
      <c r="X11" s="45"/>
      <c r="Y11" s="45"/>
      <c r="Z11" s="47" t="str">
        <f t="shared" ref="Z11:Z74" si="0">IF(COUNTIF(F11:Y11,"=*")&gt;0,IF($C11="К","-"," - "),IF(COUNTIF(F11:Y11,"&lt;4")&gt;0,IF(C11="К","-"," - "),(IFERROR(AVERAGE(F11:Y11),"Очікую"))))</f>
        <v>Очікую</v>
      </c>
      <c r="AA11" s="47" t="str">
        <f t="shared" ref="AA11:AA74" si="1">IFERROR(Z11/12*90,"Очікую")</f>
        <v>Очікую</v>
      </c>
      <c r="AB11" s="34"/>
      <c r="AC11" s="40"/>
    </row>
    <row r="12" spans="1:29" s="11" customFormat="1" ht="15" customHeight="1" x14ac:dyDescent="0.25">
      <c r="A12" s="41"/>
      <c r="B12" s="32"/>
      <c r="C12" s="45"/>
      <c r="D12" s="45">
        <v>3</v>
      </c>
      <c r="E12" s="46"/>
      <c r="F12" s="45"/>
      <c r="G12" s="45"/>
      <c r="H12" s="45"/>
      <c r="I12" s="45"/>
      <c r="J12" s="45"/>
      <c r="K12" s="45"/>
      <c r="L12" s="45"/>
      <c r="M12" s="45"/>
      <c r="N12" s="45"/>
      <c r="O12" s="45"/>
      <c r="P12" s="45"/>
      <c r="Q12" s="45"/>
      <c r="R12" s="45"/>
      <c r="S12" s="45"/>
      <c r="T12" s="45"/>
      <c r="U12" s="45"/>
      <c r="V12" s="45"/>
      <c r="W12" s="45"/>
      <c r="X12" s="45"/>
      <c r="Y12" s="45"/>
      <c r="Z12" s="47" t="str">
        <f t="shared" si="0"/>
        <v>Очікую</v>
      </c>
      <c r="AA12" s="47" t="str">
        <f t="shared" si="1"/>
        <v>Очікую</v>
      </c>
      <c r="AB12" s="34"/>
      <c r="AC12" s="40"/>
    </row>
    <row r="13" spans="1:29" s="11" customFormat="1" ht="15" customHeight="1" x14ac:dyDescent="0.25">
      <c r="A13" s="41"/>
      <c r="B13" s="32"/>
      <c r="C13" s="45"/>
      <c r="D13" s="45">
        <v>4</v>
      </c>
      <c r="E13" s="46"/>
      <c r="F13" s="45"/>
      <c r="G13" s="45"/>
      <c r="H13" s="45"/>
      <c r="I13" s="45"/>
      <c r="J13" s="45"/>
      <c r="K13" s="45"/>
      <c r="L13" s="45"/>
      <c r="M13" s="45"/>
      <c r="N13" s="45"/>
      <c r="O13" s="45"/>
      <c r="P13" s="45"/>
      <c r="Q13" s="45"/>
      <c r="R13" s="45"/>
      <c r="S13" s="45"/>
      <c r="T13" s="45"/>
      <c r="U13" s="45"/>
      <c r="V13" s="45"/>
      <c r="W13" s="45"/>
      <c r="X13" s="45"/>
      <c r="Y13" s="45"/>
      <c r="Z13" s="47" t="str">
        <f t="shared" si="0"/>
        <v>Очікую</v>
      </c>
      <c r="AA13" s="47" t="str">
        <f t="shared" si="1"/>
        <v>Очікую</v>
      </c>
      <c r="AB13" s="34"/>
      <c r="AC13" s="40"/>
    </row>
    <row r="14" spans="1:29" s="11" customFormat="1" ht="15" customHeight="1" x14ac:dyDescent="0.25">
      <c r="A14" s="41"/>
      <c r="B14" s="32"/>
      <c r="C14" s="45"/>
      <c r="D14" s="45">
        <v>5</v>
      </c>
      <c r="E14" s="46"/>
      <c r="F14" s="45"/>
      <c r="G14" s="45"/>
      <c r="H14" s="45"/>
      <c r="I14" s="45"/>
      <c r="J14" s="45"/>
      <c r="K14" s="45"/>
      <c r="L14" s="45"/>
      <c r="M14" s="45"/>
      <c r="N14" s="45"/>
      <c r="O14" s="45"/>
      <c r="P14" s="45"/>
      <c r="Q14" s="45"/>
      <c r="R14" s="45"/>
      <c r="S14" s="45"/>
      <c r="T14" s="45"/>
      <c r="U14" s="45"/>
      <c r="V14" s="45"/>
      <c r="W14" s="45"/>
      <c r="X14" s="45"/>
      <c r="Y14" s="45"/>
      <c r="Z14" s="47" t="str">
        <f t="shared" si="0"/>
        <v>Очікую</v>
      </c>
      <c r="AA14" s="47" t="str">
        <f t="shared" si="1"/>
        <v>Очікую</v>
      </c>
      <c r="AB14" s="34"/>
      <c r="AC14" s="40"/>
    </row>
    <row r="15" spans="1:29" s="11" customFormat="1" ht="15" customHeight="1" x14ac:dyDescent="0.25">
      <c r="A15" s="41"/>
      <c r="B15" s="32"/>
      <c r="C15" s="45"/>
      <c r="D15" s="45">
        <v>6</v>
      </c>
      <c r="E15" s="46"/>
      <c r="F15" s="45"/>
      <c r="G15" s="45"/>
      <c r="H15" s="45"/>
      <c r="I15" s="45"/>
      <c r="J15" s="45"/>
      <c r="K15" s="45"/>
      <c r="L15" s="45"/>
      <c r="M15" s="45"/>
      <c r="N15" s="45"/>
      <c r="O15" s="45"/>
      <c r="P15" s="45"/>
      <c r="Q15" s="45"/>
      <c r="R15" s="45"/>
      <c r="S15" s="45"/>
      <c r="T15" s="45"/>
      <c r="U15" s="45"/>
      <c r="V15" s="45"/>
      <c r="W15" s="45"/>
      <c r="X15" s="45"/>
      <c r="Y15" s="45"/>
      <c r="Z15" s="47" t="str">
        <f t="shared" si="0"/>
        <v>Очікую</v>
      </c>
      <c r="AA15" s="47" t="str">
        <f t="shared" si="1"/>
        <v>Очікую</v>
      </c>
      <c r="AB15" s="34"/>
      <c r="AC15" s="40"/>
    </row>
    <row r="16" spans="1:29" s="11" customFormat="1" ht="15" customHeight="1" x14ac:dyDescent="0.25">
      <c r="A16" s="41"/>
      <c r="B16" s="32"/>
      <c r="C16" s="45"/>
      <c r="D16" s="45">
        <v>7</v>
      </c>
      <c r="E16" s="46"/>
      <c r="F16" s="45"/>
      <c r="G16" s="45"/>
      <c r="H16" s="45"/>
      <c r="I16" s="45"/>
      <c r="J16" s="45"/>
      <c r="K16" s="45"/>
      <c r="L16" s="45"/>
      <c r="M16" s="45"/>
      <c r="N16" s="45"/>
      <c r="O16" s="45"/>
      <c r="P16" s="45"/>
      <c r="Q16" s="45"/>
      <c r="R16" s="45"/>
      <c r="S16" s="45"/>
      <c r="T16" s="45"/>
      <c r="U16" s="45"/>
      <c r="V16" s="45"/>
      <c r="W16" s="45"/>
      <c r="X16" s="45"/>
      <c r="Y16" s="45"/>
      <c r="Z16" s="47" t="str">
        <f t="shared" si="0"/>
        <v>Очікую</v>
      </c>
      <c r="AA16" s="47" t="str">
        <f t="shared" si="1"/>
        <v>Очікую</v>
      </c>
      <c r="AB16" s="34"/>
      <c r="AC16" s="40"/>
    </row>
    <row r="17" spans="1:29" s="11" customFormat="1" ht="15" customHeight="1" x14ac:dyDescent="0.25">
      <c r="A17" s="41"/>
      <c r="B17" s="32"/>
      <c r="C17" s="45"/>
      <c r="D17" s="45">
        <v>8</v>
      </c>
      <c r="E17" s="46"/>
      <c r="F17" s="45"/>
      <c r="G17" s="45"/>
      <c r="H17" s="45"/>
      <c r="I17" s="45"/>
      <c r="J17" s="45"/>
      <c r="K17" s="45"/>
      <c r="L17" s="45"/>
      <c r="M17" s="45"/>
      <c r="N17" s="45"/>
      <c r="O17" s="45"/>
      <c r="P17" s="45"/>
      <c r="Q17" s="45"/>
      <c r="R17" s="45"/>
      <c r="S17" s="45"/>
      <c r="T17" s="45"/>
      <c r="U17" s="45"/>
      <c r="V17" s="45"/>
      <c r="W17" s="45"/>
      <c r="X17" s="45"/>
      <c r="Y17" s="45"/>
      <c r="Z17" s="47" t="str">
        <f t="shared" si="0"/>
        <v>Очікую</v>
      </c>
      <c r="AA17" s="47" t="str">
        <f t="shared" si="1"/>
        <v>Очікую</v>
      </c>
      <c r="AB17" s="34"/>
      <c r="AC17" s="40"/>
    </row>
    <row r="18" spans="1:29" s="11" customFormat="1" ht="15" customHeight="1" x14ac:dyDescent="0.25">
      <c r="A18" s="41"/>
      <c r="B18" s="32"/>
      <c r="C18" s="45"/>
      <c r="D18" s="45">
        <v>9</v>
      </c>
      <c r="E18" s="46"/>
      <c r="F18" s="45"/>
      <c r="G18" s="45"/>
      <c r="H18" s="45"/>
      <c r="I18" s="45"/>
      <c r="J18" s="45"/>
      <c r="K18" s="45"/>
      <c r="L18" s="45"/>
      <c r="M18" s="45"/>
      <c r="N18" s="45"/>
      <c r="O18" s="45"/>
      <c r="P18" s="45"/>
      <c r="Q18" s="45"/>
      <c r="R18" s="45"/>
      <c r="S18" s="45"/>
      <c r="T18" s="45"/>
      <c r="U18" s="45"/>
      <c r="V18" s="45"/>
      <c r="W18" s="45"/>
      <c r="X18" s="45"/>
      <c r="Y18" s="45"/>
      <c r="Z18" s="47" t="str">
        <f t="shared" si="0"/>
        <v>Очікую</v>
      </c>
      <c r="AA18" s="47" t="str">
        <f t="shared" si="1"/>
        <v>Очікую</v>
      </c>
      <c r="AB18" s="34"/>
      <c r="AC18" s="40"/>
    </row>
    <row r="19" spans="1:29" s="11" customFormat="1" ht="15" customHeight="1" x14ac:dyDescent="0.25">
      <c r="A19" s="41"/>
      <c r="B19" s="32"/>
      <c r="C19" s="45"/>
      <c r="D19" s="45">
        <v>10</v>
      </c>
      <c r="E19" s="46"/>
      <c r="F19" s="45"/>
      <c r="G19" s="45"/>
      <c r="H19" s="45"/>
      <c r="I19" s="45"/>
      <c r="J19" s="45"/>
      <c r="K19" s="45"/>
      <c r="L19" s="45"/>
      <c r="M19" s="45"/>
      <c r="N19" s="45"/>
      <c r="O19" s="45"/>
      <c r="P19" s="45"/>
      <c r="Q19" s="45"/>
      <c r="R19" s="45"/>
      <c r="S19" s="45"/>
      <c r="T19" s="45"/>
      <c r="U19" s="45"/>
      <c r="V19" s="45"/>
      <c r="W19" s="45"/>
      <c r="X19" s="45"/>
      <c r="Y19" s="45"/>
      <c r="Z19" s="47" t="str">
        <f t="shared" si="0"/>
        <v>Очікую</v>
      </c>
      <c r="AA19" s="47" t="str">
        <f t="shared" si="1"/>
        <v>Очікую</v>
      </c>
      <c r="AB19" s="34"/>
      <c r="AC19" s="40"/>
    </row>
    <row r="20" spans="1:29" s="11" customFormat="1" ht="15" customHeight="1" x14ac:dyDescent="0.25">
      <c r="A20" s="41"/>
      <c r="B20" s="32"/>
      <c r="C20" s="45"/>
      <c r="D20" s="45">
        <v>11</v>
      </c>
      <c r="E20" s="46"/>
      <c r="F20" s="45"/>
      <c r="G20" s="45"/>
      <c r="H20" s="45"/>
      <c r="I20" s="45"/>
      <c r="J20" s="45"/>
      <c r="K20" s="45"/>
      <c r="L20" s="45"/>
      <c r="M20" s="45"/>
      <c r="N20" s="45"/>
      <c r="O20" s="45"/>
      <c r="P20" s="45"/>
      <c r="Q20" s="45"/>
      <c r="R20" s="45"/>
      <c r="S20" s="45"/>
      <c r="T20" s="45"/>
      <c r="U20" s="45"/>
      <c r="V20" s="45"/>
      <c r="W20" s="45"/>
      <c r="X20" s="45"/>
      <c r="Y20" s="45"/>
      <c r="Z20" s="47" t="str">
        <f t="shared" si="0"/>
        <v>Очікую</v>
      </c>
      <c r="AA20" s="47" t="str">
        <f t="shared" si="1"/>
        <v>Очікую</v>
      </c>
      <c r="AB20" s="34"/>
      <c r="AC20" s="40"/>
    </row>
    <row r="21" spans="1:29" s="11" customFormat="1" ht="15" customHeight="1" x14ac:dyDescent="0.25">
      <c r="A21" s="41"/>
      <c r="B21" s="32"/>
      <c r="C21" s="45"/>
      <c r="D21" s="45">
        <v>12</v>
      </c>
      <c r="E21" s="46"/>
      <c r="F21" s="45"/>
      <c r="G21" s="45"/>
      <c r="H21" s="45"/>
      <c r="I21" s="45"/>
      <c r="J21" s="45"/>
      <c r="K21" s="45"/>
      <c r="L21" s="45"/>
      <c r="M21" s="45"/>
      <c r="N21" s="45"/>
      <c r="O21" s="45"/>
      <c r="P21" s="45"/>
      <c r="Q21" s="45"/>
      <c r="R21" s="45"/>
      <c r="S21" s="45"/>
      <c r="T21" s="45"/>
      <c r="U21" s="45"/>
      <c r="V21" s="45"/>
      <c r="W21" s="45"/>
      <c r="X21" s="45"/>
      <c r="Y21" s="45"/>
      <c r="Z21" s="47" t="str">
        <f t="shared" si="0"/>
        <v>Очікую</v>
      </c>
      <c r="AA21" s="47" t="str">
        <f t="shared" si="1"/>
        <v>Очікую</v>
      </c>
      <c r="AB21" s="34"/>
      <c r="AC21" s="40"/>
    </row>
    <row r="22" spans="1:29" s="11" customFormat="1" ht="15" customHeight="1" x14ac:dyDescent="0.25">
      <c r="A22" s="41"/>
      <c r="B22" s="32"/>
      <c r="C22" s="45"/>
      <c r="D22" s="45">
        <v>13</v>
      </c>
      <c r="E22" s="46"/>
      <c r="F22" s="45"/>
      <c r="G22" s="45"/>
      <c r="H22" s="45"/>
      <c r="I22" s="45"/>
      <c r="J22" s="45"/>
      <c r="K22" s="45"/>
      <c r="L22" s="45"/>
      <c r="M22" s="45"/>
      <c r="N22" s="45"/>
      <c r="O22" s="45"/>
      <c r="P22" s="45"/>
      <c r="Q22" s="45"/>
      <c r="R22" s="45"/>
      <c r="S22" s="45"/>
      <c r="T22" s="45"/>
      <c r="U22" s="45"/>
      <c r="V22" s="45"/>
      <c r="W22" s="45"/>
      <c r="X22" s="45"/>
      <c r="Y22" s="45"/>
      <c r="Z22" s="47" t="str">
        <f t="shared" si="0"/>
        <v>Очікую</v>
      </c>
      <c r="AA22" s="47" t="str">
        <f t="shared" si="1"/>
        <v>Очікую</v>
      </c>
      <c r="AB22" s="34"/>
      <c r="AC22" s="40"/>
    </row>
    <row r="23" spans="1:29" s="11" customFormat="1" ht="15" customHeight="1" x14ac:dyDescent="0.25">
      <c r="A23" s="41"/>
      <c r="B23" s="32"/>
      <c r="C23" s="45"/>
      <c r="D23" s="45">
        <v>14</v>
      </c>
      <c r="E23" s="46"/>
      <c r="F23" s="45"/>
      <c r="G23" s="45"/>
      <c r="H23" s="45"/>
      <c r="I23" s="45"/>
      <c r="J23" s="45"/>
      <c r="K23" s="45"/>
      <c r="L23" s="45"/>
      <c r="M23" s="45"/>
      <c r="N23" s="45"/>
      <c r="O23" s="45"/>
      <c r="P23" s="45"/>
      <c r="Q23" s="45"/>
      <c r="R23" s="45"/>
      <c r="S23" s="45"/>
      <c r="T23" s="45"/>
      <c r="U23" s="45"/>
      <c r="V23" s="45"/>
      <c r="W23" s="45"/>
      <c r="X23" s="45"/>
      <c r="Y23" s="45"/>
      <c r="Z23" s="47" t="str">
        <f t="shared" si="0"/>
        <v>Очікую</v>
      </c>
      <c r="AA23" s="47" t="str">
        <f t="shared" si="1"/>
        <v>Очікую</v>
      </c>
      <c r="AB23" s="34"/>
      <c r="AC23" s="40"/>
    </row>
    <row r="24" spans="1:29" s="11" customFormat="1" ht="15" customHeight="1" x14ac:dyDescent="0.25">
      <c r="A24" s="41"/>
      <c r="B24" s="32"/>
      <c r="C24" s="45"/>
      <c r="D24" s="45">
        <v>15</v>
      </c>
      <c r="E24" s="46"/>
      <c r="F24" s="45"/>
      <c r="G24" s="45"/>
      <c r="H24" s="45"/>
      <c r="I24" s="45"/>
      <c r="J24" s="45"/>
      <c r="K24" s="45"/>
      <c r="L24" s="45"/>
      <c r="M24" s="45"/>
      <c r="N24" s="45"/>
      <c r="O24" s="45"/>
      <c r="P24" s="45"/>
      <c r="Q24" s="45"/>
      <c r="R24" s="45"/>
      <c r="S24" s="45"/>
      <c r="T24" s="45"/>
      <c r="U24" s="45"/>
      <c r="V24" s="45"/>
      <c r="W24" s="45"/>
      <c r="X24" s="45"/>
      <c r="Y24" s="45"/>
      <c r="Z24" s="47" t="str">
        <f t="shared" si="0"/>
        <v>Очікую</v>
      </c>
      <c r="AA24" s="47" t="str">
        <f t="shared" si="1"/>
        <v>Очікую</v>
      </c>
      <c r="AB24" s="34"/>
      <c r="AC24" s="40"/>
    </row>
    <row r="25" spans="1:29" s="11" customFormat="1" ht="15" customHeight="1" x14ac:dyDescent="0.25">
      <c r="A25" s="41"/>
      <c r="B25" s="32"/>
      <c r="C25" s="45"/>
      <c r="D25" s="45">
        <v>16</v>
      </c>
      <c r="E25" s="46"/>
      <c r="F25" s="45"/>
      <c r="G25" s="45"/>
      <c r="H25" s="45"/>
      <c r="I25" s="45"/>
      <c r="J25" s="45"/>
      <c r="K25" s="45"/>
      <c r="L25" s="45"/>
      <c r="M25" s="45"/>
      <c r="N25" s="45"/>
      <c r="O25" s="45"/>
      <c r="P25" s="45"/>
      <c r="Q25" s="45"/>
      <c r="R25" s="45"/>
      <c r="S25" s="45"/>
      <c r="T25" s="45"/>
      <c r="U25" s="45"/>
      <c r="V25" s="45"/>
      <c r="W25" s="45"/>
      <c r="X25" s="45"/>
      <c r="Y25" s="45"/>
      <c r="Z25" s="47" t="str">
        <f t="shared" si="0"/>
        <v>Очікую</v>
      </c>
      <c r="AA25" s="47" t="str">
        <f t="shared" si="1"/>
        <v>Очікую</v>
      </c>
      <c r="AB25" s="34"/>
      <c r="AC25" s="40"/>
    </row>
    <row r="26" spans="1:29" s="11" customFormat="1" ht="15" customHeight="1" x14ac:dyDescent="0.25">
      <c r="A26" s="41"/>
      <c r="B26" s="32"/>
      <c r="C26" s="45"/>
      <c r="D26" s="45">
        <v>17</v>
      </c>
      <c r="E26" s="46"/>
      <c r="F26" s="45"/>
      <c r="G26" s="45"/>
      <c r="H26" s="45"/>
      <c r="I26" s="45"/>
      <c r="J26" s="45"/>
      <c r="K26" s="45"/>
      <c r="L26" s="45"/>
      <c r="M26" s="45"/>
      <c r="N26" s="45"/>
      <c r="O26" s="45"/>
      <c r="P26" s="45"/>
      <c r="Q26" s="45"/>
      <c r="R26" s="45"/>
      <c r="S26" s="45"/>
      <c r="T26" s="45"/>
      <c r="U26" s="45"/>
      <c r="V26" s="45"/>
      <c r="W26" s="45"/>
      <c r="X26" s="45"/>
      <c r="Y26" s="45"/>
      <c r="Z26" s="47" t="str">
        <f t="shared" si="0"/>
        <v>Очікую</v>
      </c>
      <c r="AA26" s="47" t="str">
        <f t="shared" si="1"/>
        <v>Очікую</v>
      </c>
      <c r="AB26" s="34"/>
      <c r="AC26" s="40"/>
    </row>
    <row r="27" spans="1:29" s="11" customFormat="1" ht="15" customHeight="1" x14ac:dyDescent="0.25">
      <c r="A27" s="41"/>
      <c r="B27" s="32"/>
      <c r="C27" s="45"/>
      <c r="D27" s="45">
        <v>18</v>
      </c>
      <c r="E27" s="46"/>
      <c r="F27" s="45"/>
      <c r="G27" s="45"/>
      <c r="H27" s="45"/>
      <c r="I27" s="45"/>
      <c r="J27" s="45"/>
      <c r="K27" s="45"/>
      <c r="L27" s="45"/>
      <c r="M27" s="45"/>
      <c r="N27" s="45"/>
      <c r="O27" s="45"/>
      <c r="P27" s="45"/>
      <c r="Q27" s="45"/>
      <c r="R27" s="45"/>
      <c r="S27" s="45"/>
      <c r="T27" s="45"/>
      <c r="U27" s="45"/>
      <c r="V27" s="45"/>
      <c r="W27" s="45"/>
      <c r="X27" s="45"/>
      <c r="Y27" s="45"/>
      <c r="Z27" s="47" t="str">
        <f t="shared" si="0"/>
        <v>Очікую</v>
      </c>
      <c r="AA27" s="47" t="str">
        <f t="shared" si="1"/>
        <v>Очікую</v>
      </c>
      <c r="AB27" s="34"/>
      <c r="AC27" s="40"/>
    </row>
    <row r="28" spans="1:29" s="11" customFormat="1" ht="15" customHeight="1" x14ac:dyDescent="0.25">
      <c r="A28" s="41"/>
      <c r="B28" s="32"/>
      <c r="C28" s="45"/>
      <c r="D28" s="45">
        <v>19</v>
      </c>
      <c r="E28" s="46"/>
      <c r="F28" s="45"/>
      <c r="G28" s="45"/>
      <c r="H28" s="45"/>
      <c r="I28" s="45"/>
      <c r="J28" s="45"/>
      <c r="K28" s="45"/>
      <c r="L28" s="45"/>
      <c r="M28" s="45"/>
      <c r="N28" s="45"/>
      <c r="O28" s="45"/>
      <c r="P28" s="45"/>
      <c r="Q28" s="45"/>
      <c r="R28" s="45"/>
      <c r="S28" s="45"/>
      <c r="T28" s="45"/>
      <c r="U28" s="45"/>
      <c r="V28" s="45"/>
      <c r="W28" s="45"/>
      <c r="X28" s="45"/>
      <c r="Y28" s="45"/>
      <c r="Z28" s="47" t="str">
        <f t="shared" si="0"/>
        <v>Очікую</v>
      </c>
      <c r="AA28" s="47" t="str">
        <f t="shared" si="1"/>
        <v>Очікую</v>
      </c>
      <c r="AB28" s="34"/>
      <c r="AC28" s="40"/>
    </row>
    <row r="29" spans="1:29" s="11" customFormat="1" ht="15" customHeight="1" x14ac:dyDescent="0.25">
      <c r="A29" s="41"/>
      <c r="B29" s="32"/>
      <c r="C29" s="45"/>
      <c r="D29" s="45">
        <v>20</v>
      </c>
      <c r="E29" s="46"/>
      <c r="F29" s="45"/>
      <c r="G29" s="45"/>
      <c r="H29" s="45"/>
      <c r="I29" s="45"/>
      <c r="J29" s="45"/>
      <c r="K29" s="45"/>
      <c r="L29" s="45"/>
      <c r="M29" s="45"/>
      <c r="N29" s="45"/>
      <c r="O29" s="45"/>
      <c r="P29" s="45"/>
      <c r="Q29" s="45"/>
      <c r="R29" s="45"/>
      <c r="S29" s="45"/>
      <c r="T29" s="45"/>
      <c r="U29" s="45"/>
      <c r="V29" s="45"/>
      <c r="W29" s="45"/>
      <c r="X29" s="45"/>
      <c r="Y29" s="45"/>
      <c r="Z29" s="47" t="str">
        <f t="shared" si="0"/>
        <v>Очікую</v>
      </c>
      <c r="AA29" s="47" t="str">
        <f t="shared" si="1"/>
        <v>Очікую</v>
      </c>
      <c r="AB29" s="34"/>
      <c r="AC29" s="40"/>
    </row>
    <row r="30" spans="1:29" s="11" customFormat="1" ht="15" customHeight="1" x14ac:dyDescent="0.25">
      <c r="A30" s="41"/>
      <c r="B30" s="32"/>
      <c r="C30" s="45"/>
      <c r="D30" s="45">
        <v>21</v>
      </c>
      <c r="E30" s="46"/>
      <c r="F30" s="45"/>
      <c r="G30" s="45"/>
      <c r="H30" s="45"/>
      <c r="I30" s="45"/>
      <c r="J30" s="45"/>
      <c r="K30" s="45"/>
      <c r="L30" s="45"/>
      <c r="M30" s="45"/>
      <c r="N30" s="45"/>
      <c r="O30" s="45"/>
      <c r="P30" s="45"/>
      <c r="Q30" s="45"/>
      <c r="R30" s="45"/>
      <c r="S30" s="45"/>
      <c r="T30" s="45"/>
      <c r="U30" s="45"/>
      <c r="V30" s="45"/>
      <c r="W30" s="45"/>
      <c r="X30" s="45"/>
      <c r="Y30" s="45"/>
      <c r="Z30" s="47" t="str">
        <f t="shared" si="0"/>
        <v>Очікую</v>
      </c>
      <c r="AA30" s="47" t="str">
        <f t="shared" si="1"/>
        <v>Очікую</v>
      </c>
      <c r="AB30" s="34"/>
      <c r="AC30" s="40"/>
    </row>
    <row r="31" spans="1:29" s="11" customFormat="1" ht="15" customHeight="1" x14ac:dyDescent="0.25">
      <c r="A31" s="41"/>
      <c r="B31" s="32"/>
      <c r="C31" s="45"/>
      <c r="D31" s="45">
        <v>22</v>
      </c>
      <c r="E31" s="46"/>
      <c r="F31" s="45"/>
      <c r="G31" s="45"/>
      <c r="H31" s="45"/>
      <c r="I31" s="45"/>
      <c r="J31" s="45"/>
      <c r="K31" s="45"/>
      <c r="L31" s="45"/>
      <c r="M31" s="45"/>
      <c r="N31" s="45"/>
      <c r="O31" s="45"/>
      <c r="P31" s="45"/>
      <c r="Q31" s="45"/>
      <c r="R31" s="45"/>
      <c r="S31" s="45"/>
      <c r="T31" s="45"/>
      <c r="U31" s="45"/>
      <c r="V31" s="45"/>
      <c r="W31" s="45"/>
      <c r="X31" s="45"/>
      <c r="Y31" s="45"/>
      <c r="Z31" s="47" t="str">
        <f t="shared" si="0"/>
        <v>Очікую</v>
      </c>
      <c r="AA31" s="47" t="str">
        <f t="shared" si="1"/>
        <v>Очікую</v>
      </c>
      <c r="AB31" s="34"/>
      <c r="AC31" s="40"/>
    </row>
    <row r="32" spans="1:29" s="11" customFormat="1" ht="15" customHeight="1" x14ac:dyDescent="0.25">
      <c r="A32" s="41"/>
      <c r="B32" s="32"/>
      <c r="C32" s="45"/>
      <c r="D32" s="45">
        <v>23</v>
      </c>
      <c r="E32" s="46"/>
      <c r="F32" s="45"/>
      <c r="G32" s="45"/>
      <c r="H32" s="45"/>
      <c r="I32" s="45"/>
      <c r="J32" s="45"/>
      <c r="K32" s="45"/>
      <c r="L32" s="45"/>
      <c r="M32" s="45"/>
      <c r="N32" s="45"/>
      <c r="O32" s="45"/>
      <c r="P32" s="45"/>
      <c r="Q32" s="45"/>
      <c r="R32" s="45"/>
      <c r="S32" s="45"/>
      <c r="T32" s="45"/>
      <c r="U32" s="45"/>
      <c r="V32" s="45"/>
      <c r="W32" s="45"/>
      <c r="X32" s="45"/>
      <c r="Y32" s="45"/>
      <c r="Z32" s="47" t="str">
        <f t="shared" si="0"/>
        <v>Очікую</v>
      </c>
      <c r="AA32" s="47" t="str">
        <f t="shared" si="1"/>
        <v>Очікую</v>
      </c>
      <c r="AB32" s="34"/>
      <c r="AC32" s="40"/>
    </row>
    <row r="33" spans="1:29" s="11" customFormat="1" ht="15" customHeight="1" x14ac:dyDescent="0.25">
      <c r="A33" s="41"/>
      <c r="B33" s="32"/>
      <c r="C33" s="45"/>
      <c r="D33" s="45">
        <v>24</v>
      </c>
      <c r="E33" s="46"/>
      <c r="F33" s="45"/>
      <c r="G33" s="45"/>
      <c r="H33" s="45"/>
      <c r="I33" s="45"/>
      <c r="J33" s="45"/>
      <c r="K33" s="45"/>
      <c r="L33" s="45"/>
      <c r="M33" s="45"/>
      <c r="N33" s="45"/>
      <c r="O33" s="45"/>
      <c r="P33" s="45"/>
      <c r="Q33" s="45"/>
      <c r="R33" s="45"/>
      <c r="S33" s="45"/>
      <c r="T33" s="45"/>
      <c r="U33" s="45"/>
      <c r="V33" s="45"/>
      <c r="W33" s="45"/>
      <c r="X33" s="45"/>
      <c r="Y33" s="45"/>
      <c r="Z33" s="47" t="str">
        <f t="shared" si="0"/>
        <v>Очікую</v>
      </c>
      <c r="AA33" s="47" t="str">
        <f t="shared" si="1"/>
        <v>Очікую</v>
      </c>
      <c r="AB33" s="34"/>
      <c r="AC33" s="40"/>
    </row>
    <row r="34" spans="1:29" s="11" customFormat="1" ht="15" customHeight="1" x14ac:dyDescent="0.25">
      <c r="A34" s="41"/>
      <c r="B34" s="32"/>
      <c r="C34" s="45"/>
      <c r="D34" s="45">
        <v>25</v>
      </c>
      <c r="E34" s="46"/>
      <c r="F34" s="45"/>
      <c r="G34" s="45"/>
      <c r="H34" s="45"/>
      <c r="I34" s="45"/>
      <c r="J34" s="45"/>
      <c r="K34" s="45"/>
      <c r="L34" s="45"/>
      <c r="M34" s="45"/>
      <c r="N34" s="45"/>
      <c r="O34" s="45"/>
      <c r="P34" s="45"/>
      <c r="Q34" s="45"/>
      <c r="R34" s="45"/>
      <c r="S34" s="45"/>
      <c r="T34" s="45"/>
      <c r="U34" s="45"/>
      <c r="V34" s="45"/>
      <c r="W34" s="45"/>
      <c r="X34" s="45"/>
      <c r="Y34" s="45"/>
      <c r="Z34" s="47" t="str">
        <f t="shared" si="0"/>
        <v>Очікую</v>
      </c>
      <c r="AA34" s="47" t="str">
        <f t="shared" si="1"/>
        <v>Очікую</v>
      </c>
      <c r="AB34" s="34"/>
      <c r="AC34" s="40"/>
    </row>
    <row r="35" spans="1:29" s="11" customFormat="1" ht="15" customHeight="1" x14ac:dyDescent="0.25">
      <c r="A35" s="41"/>
      <c r="B35" s="32"/>
      <c r="C35" s="45"/>
      <c r="D35" s="45">
        <v>26</v>
      </c>
      <c r="E35" s="46"/>
      <c r="F35" s="45"/>
      <c r="G35" s="45"/>
      <c r="H35" s="45"/>
      <c r="I35" s="45"/>
      <c r="J35" s="45"/>
      <c r="K35" s="45"/>
      <c r="L35" s="45"/>
      <c r="M35" s="45"/>
      <c r="N35" s="45"/>
      <c r="O35" s="45"/>
      <c r="P35" s="45"/>
      <c r="Q35" s="45"/>
      <c r="R35" s="45"/>
      <c r="S35" s="45"/>
      <c r="T35" s="45"/>
      <c r="U35" s="45"/>
      <c r="V35" s="45"/>
      <c r="W35" s="45"/>
      <c r="X35" s="45"/>
      <c r="Y35" s="45"/>
      <c r="Z35" s="47" t="str">
        <f t="shared" si="0"/>
        <v>Очікую</v>
      </c>
      <c r="AA35" s="47" t="str">
        <f t="shared" si="1"/>
        <v>Очікую</v>
      </c>
      <c r="AB35" s="34"/>
      <c r="AC35" s="40"/>
    </row>
    <row r="36" spans="1:29" s="11" customFormat="1" ht="15" customHeight="1" x14ac:dyDescent="0.25">
      <c r="A36" s="41"/>
      <c r="B36" s="32"/>
      <c r="C36" s="45"/>
      <c r="D36" s="45">
        <v>27</v>
      </c>
      <c r="E36" s="46"/>
      <c r="F36" s="45"/>
      <c r="G36" s="45"/>
      <c r="H36" s="45"/>
      <c r="I36" s="45"/>
      <c r="J36" s="45"/>
      <c r="K36" s="45"/>
      <c r="L36" s="45"/>
      <c r="M36" s="45"/>
      <c r="N36" s="45"/>
      <c r="O36" s="45"/>
      <c r="P36" s="45"/>
      <c r="Q36" s="45"/>
      <c r="R36" s="45"/>
      <c r="S36" s="45"/>
      <c r="T36" s="45"/>
      <c r="U36" s="45"/>
      <c r="V36" s="45"/>
      <c r="W36" s="45"/>
      <c r="X36" s="45"/>
      <c r="Y36" s="45"/>
      <c r="Z36" s="47" t="str">
        <f t="shared" si="0"/>
        <v>Очікую</v>
      </c>
      <c r="AA36" s="47" t="str">
        <f t="shared" si="1"/>
        <v>Очікую</v>
      </c>
      <c r="AB36" s="34"/>
      <c r="AC36" s="40"/>
    </row>
    <row r="37" spans="1:29" s="11" customFormat="1" ht="15" customHeight="1" x14ac:dyDescent="0.25">
      <c r="A37" s="41"/>
      <c r="B37" s="32"/>
      <c r="C37" s="45"/>
      <c r="D37" s="45">
        <v>28</v>
      </c>
      <c r="E37" s="46"/>
      <c r="F37" s="45"/>
      <c r="G37" s="45"/>
      <c r="H37" s="45"/>
      <c r="I37" s="45"/>
      <c r="J37" s="45"/>
      <c r="K37" s="45"/>
      <c r="L37" s="45"/>
      <c r="M37" s="45"/>
      <c r="N37" s="45"/>
      <c r="O37" s="45"/>
      <c r="P37" s="45"/>
      <c r="Q37" s="45"/>
      <c r="R37" s="45"/>
      <c r="S37" s="45"/>
      <c r="T37" s="45"/>
      <c r="U37" s="45"/>
      <c r="V37" s="45"/>
      <c r="W37" s="45"/>
      <c r="X37" s="45"/>
      <c r="Y37" s="45"/>
      <c r="Z37" s="47" t="str">
        <f t="shared" si="0"/>
        <v>Очікую</v>
      </c>
      <c r="AA37" s="47" t="str">
        <f t="shared" si="1"/>
        <v>Очікую</v>
      </c>
      <c r="AB37" s="34"/>
      <c r="AC37" s="40"/>
    </row>
    <row r="38" spans="1:29" s="11" customFormat="1" ht="15" customHeight="1" x14ac:dyDescent="0.25">
      <c r="A38" s="41"/>
      <c r="B38" s="32"/>
      <c r="C38" s="45"/>
      <c r="D38" s="45">
        <v>29</v>
      </c>
      <c r="E38" s="46"/>
      <c r="F38" s="45"/>
      <c r="G38" s="45"/>
      <c r="H38" s="45"/>
      <c r="I38" s="45"/>
      <c r="J38" s="45"/>
      <c r="K38" s="45"/>
      <c r="L38" s="45"/>
      <c r="M38" s="45"/>
      <c r="N38" s="45"/>
      <c r="O38" s="45"/>
      <c r="P38" s="45"/>
      <c r="Q38" s="45"/>
      <c r="R38" s="45"/>
      <c r="S38" s="45"/>
      <c r="T38" s="45"/>
      <c r="U38" s="45"/>
      <c r="V38" s="45"/>
      <c r="W38" s="45"/>
      <c r="X38" s="45"/>
      <c r="Y38" s="45"/>
      <c r="Z38" s="47" t="str">
        <f t="shared" si="0"/>
        <v>Очікую</v>
      </c>
      <c r="AA38" s="47" t="str">
        <f t="shared" si="1"/>
        <v>Очікую</v>
      </c>
      <c r="AB38" s="34"/>
      <c r="AC38" s="40"/>
    </row>
    <row r="39" spans="1:29" s="11" customFormat="1" ht="15" customHeight="1" x14ac:dyDescent="0.25">
      <c r="A39" s="41"/>
      <c r="B39" s="32"/>
      <c r="C39" s="45"/>
      <c r="D39" s="45">
        <v>30</v>
      </c>
      <c r="E39" s="46"/>
      <c r="F39" s="45"/>
      <c r="G39" s="45"/>
      <c r="H39" s="45"/>
      <c r="I39" s="45"/>
      <c r="J39" s="45"/>
      <c r="K39" s="45"/>
      <c r="L39" s="45"/>
      <c r="M39" s="45"/>
      <c r="N39" s="45"/>
      <c r="O39" s="45"/>
      <c r="P39" s="45"/>
      <c r="Q39" s="45"/>
      <c r="R39" s="45"/>
      <c r="S39" s="45"/>
      <c r="T39" s="45"/>
      <c r="U39" s="45"/>
      <c r="V39" s="45"/>
      <c r="W39" s="45"/>
      <c r="X39" s="45"/>
      <c r="Y39" s="45"/>
      <c r="Z39" s="47" t="str">
        <f t="shared" si="0"/>
        <v>Очікую</v>
      </c>
      <c r="AA39" s="47" t="str">
        <f t="shared" si="1"/>
        <v>Очікую</v>
      </c>
      <c r="AB39" s="34"/>
      <c r="AC39" s="40"/>
    </row>
    <row r="40" spans="1:29" s="11" customFormat="1" ht="15" customHeight="1" x14ac:dyDescent="0.25">
      <c r="A40" s="41"/>
      <c r="B40" s="32"/>
      <c r="C40" s="45"/>
      <c r="D40" s="45">
        <v>31</v>
      </c>
      <c r="E40" s="46"/>
      <c r="F40" s="45"/>
      <c r="G40" s="45"/>
      <c r="H40" s="45"/>
      <c r="I40" s="45"/>
      <c r="J40" s="45"/>
      <c r="K40" s="45"/>
      <c r="L40" s="45"/>
      <c r="M40" s="45"/>
      <c r="N40" s="45"/>
      <c r="O40" s="45"/>
      <c r="P40" s="45"/>
      <c r="Q40" s="45"/>
      <c r="R40" s="45"/>
      <c r="S40" s="45"/>
      <c r="T40" s="45"/>
      <c r="U40" s="45"/>
      <c r="V40" s="45"/>
      <c r="W40" s="45"/>
      <c r="X40" s="45"/>
      <c r="Y40" s="45"/>
      <c r="Z40" s="47" t="str">
        <f t="shared" si="0"/>
        <v>Очікую</v>
      </c>
      <c r="AA40" s="47" t="str">
        <f t="shared" si="1"/>
        <v>Очікую</v>
      </c>
      <c r="AB40" s="34"/>
      <c r="AC40" s="40"/>
    </row>
    <row r="41" spans="1:29" s="11" customFormat="1" ht="15" customHeight="1" x14ac:dyDescent="0.25">
      <c r="A41" s="41"/>
      <c r="B41" s="32"/>
      <c r="C41" s="45"/>
      <c r="D41" s="45">
        <v>32</v>
      </c>
      <c r="E41" s="46"/>
      <c r="F41" s="45"/>
      <c r="G41" s="45"/>
      <c r="H41" s="45"/>
      <c r="I41" s="45"/>
      <c r="J41" s="45"/>
      <c r="K41" s="45"/>
      <c r="L41" s="45"/>
      <c r="M41" s="45"/>
      <c r="N41" s="45"/>
      <c r="O41" s="45"/>
      <c r="P41" s="45"/>
      <c r="Q41" s="45"/>
      <c r="R41" s="45"/>
      <c r="S41" s="45"/>
      <c r="T41" s="45"/>
      <c r="U41" s="45"/>
      <c r="V41" s="45"/>
      <c r="W41" s="45"/>
      <c r="X41" s="45"/>
      <c r="Y41" s="45"/>
      <c r="Z41" s="47" t="str">
        <f t="shared" si="0"/>
        <v>Очікую</v>
      </c>
      <c r="AA41" s="47" t="str">
        <f t="shared" si="1"/>
        <v>Очікую</v>
      </c>
      <c r="AB41" s="34"/>
      <c r="AC41" s="40"/>
    </row>
    <row r="42" spans="1:29" s="11" customFormat="1" ht="15" customHeight="1" x14ac:dyDescent="0.25">
      <c r="A42" s="41"/>
      <c r="B42" s="32"/>
      <c r="C42" s="45"/>
      <c r="D42" s="45">
        <v>33</v>
      </c>
      <c r="E42" s="46"/>
      <c r="F42" s="45"/>
      <c r="G42" s="45"/>
      <c r="H42" s="45"/>
      <c r="I42" s="45"/>
      <c r="J42" s="45"/>
      <c r="K42" s="45"/>
      <c r="L42" s="45"/>
      <c r="M42" s="45"/>
      <c r="N42" s="45"/>
      <c r="O42" s="45"/>
      <c r="P42" s="45"/>
      <c r="Q42" s="45"/>
      <c r="R42" s="45"/>
      <c r="S42" s="45"/>
      <c r="T42" s="45"/>
      <c r="U42" s="45"/>
      <c r="V42" s="45"/>
      <c r="W42" s="45"/>
      <c r="X42" s="45"/>
      <c r="Y42" s="45"/>
      <c r="Z42" s="47" t="str">
        <f t="shared" si="0"/>
        <v>Очікую</v>
      </c>
      <c r="AA42" s="47" t="str">
        <f t="shared" si="1"/>
        <v>Очікую</v>
      </c>
      <c r="AB42" s="34"/>
      <c r="AC42" s="40"/>
    </row>
    <row r="43" spans="1:29" s="11" customFormat="1" ht="15" customHeight="1" x14ac:dyDescent="0.25">
      <c r="A43" s="41"/>
      <c r="B43" s="32"/>
      <c r="C43" s="45"/>
      <c r="D43" s="45">
        <v>34</v>
      </c>
      <c r="E43" s="46"/>
      <c r="F43" s="45"/>
      <c r="G43" s="45"/>
      <c r="H43" s="45"/>
      <c r="I43" s="45"/>
      <c r="J43" s="45"/>
      <c r="K43" s="45"/>
      <c r="L43" s="45"/>
      <c r="M43" s="45"/>
      <c r="N43" s="45"/>
      <c r="O43" s="45"/>
      <c r="P43" s="45"/>
      <c r="Q43" s="45"/>
      <c r="R43" s="45"/>
      <c r="S43" s="45"/>
      <c r="T43" s="45"/>
      <c r="U43" s="45"/>
      <c r="V43" s="45"/>
      <c r="W43" s="45"/>
      <c r="X43" s="45"/>
      <c r="Y43" s="45"/>
      <c r="Z43" s="47" t="str">
        <f t="shared" si="0"/>
        <v>Очікую</v>
      </c>
      <c r="AA43" s="47" t="str">
        <f t="shared" si="1"/>
        <v>Очікую</v>
      </c>
      <c r="AB43" s="34"/>
      <c r="AC43" s="40"/>
    </row>
    <row r="44" spans="1:29" s="11" customFormat="1" ht="15" customHeight="1" x14ac:dyDescent="0.25">
      <c r="A44" s="41"/>
      <c r="B44" s="32"/>
      <c r="C44" s="45"/>
      <c r="D44" s="45">
        <v>35</v>
      </c>
      <c r="E44" s="46"/>
      <c r="F44" s="45"/>
      <c r="G44" s="45"/>
      <c r="H44" s="45"/>
      <c r="I44" s="45"/>
      <c r="J44" s="45"/>
      <c r="K44" s="45"/>
      <c r="L44" s="45"/>
      <c r="M44" s="45"/>
      <c r="N44" s="45"/>
      <c r="O44" s="45"/>
      <c r="P44" s="45"/>
      <c r="Q44" s="45"/>
      <c r="R44" s="45"/>
      <c r="S44" s="45"/>
      <c r="T44" s="45"/>
      <c r="U44" s="45"/>
      <c r="V44" s="45"/>
      <c r="W44" s="45"/>
      <c r="X44" s="45"/>
      <c r="Y44" s="45"/>
      <c r="Z44" s="47" t="str">
        <f t="shared" si="0"/>
        <v>Очікую</v>
      </c>
      <c r="AA44" s="47" t="str">
        <f t="shared" si="1"/>
        <v>Очікую</v>
      </c>
      <c r="AB44" s="34"/>
      <c r="AC44" s="40"/>
    </row>
    <row r="45" spans="1:29" s="11" customFormat="1" ht="15" customHeight="1" x14ac:dyDescent="0.25">
      <c r="A45" s="41"/>
      <c r="B45" s="32"/>
      <c r="C45" s="45"/>
      <c r="D45" s="45">
        <v>36</v>
      </c>
      <c r="E45" s="46"/>
      <c r="F45" s="45"/>
      <c r="G45" s="45"/>
      <c r="H45" s="45"/>
      <c r="I45" s="45"/>
      <c r="J45" s="45"/>
      <c r="K45" s="45"/>
      <c r="L45" s="45"/>
      <c r="M45" s="45"/>
      <c r="N45" s="45"/>
      <c r="O45" s="45"/>
      <c r="P45" s="45"/>
      <c r="Q45" s="45"/>
      <c r="R45" s="45"/>
      <c r="S45" s="45"/>
      <c r="T45" s="45"/>
      <c r="U45" s="45"/>
      <c r="V45" s="45"/>
      <c r="W45" s="45"/>
      <c r="X45" s="45"/>
      <c r="Y45" s="45"/>
      <c r="Z45" s="47" t="str">
        <f t="shared" si="0"/>
        <v>Очікую</v>
      </c>
      <c r="AA45" s="47" t="str">
        <f t="shared" si="1"/>
        <v>Очікую</v>
      </c>
      <c r="AB45" s="34"/>
      <c r="AC45" s="40"/>
    </row>
    <row r="46" spans="1:29" s="11" customFormat="1" ht="15" customHeight="1" x14ac:dyDescent="0.25">
      <c r="A46" s="41"/>
      <c r="B46" s="32"/>
      <c r="C46" s="45"/>
      <c r="D46" s="45">
        <v>37</v>
      </c>
      <c r="E46" s="46"/>
      <c r="F46" s="45"/>
      <c r="G46" s="45"/>
      <c r="H46" s="45"/>
      <c r="I46" s="45"/>
      <c r="J46" s="45"/>
      <c r="K46" s="45"/>
      <c r="L46" s="45"/>
      <c r="M46" s="45"/>
      <c r="N46" s="45"/>
      <c r="O46" s="45"/>
      <c r="P46" s="45"/>
      <c r="Q46" s="45"/>
      <c r="R46" s="45"/>
      <c r="S46" s="45"/>
      <c r="T46" s="45"/>
      <c r="U46" s="45"/>
      <c r="V46" s="45"/>
      <c r="W46" s="45"/>
      <c r="X46" s="45"/>
      <c r="Y46" s="45"/>
      <c r="Z46" s="47" t="str">
        <f t="shared" si="0"/>
        <v>Очікую</v>
      </c>
      <c r="AA46" s="47" t="str">
        <f t="shared" si="1"/>
        <v>Очікую</v>
      </c>
      <c r="AB46" s="34"/>
      <c r="AC46" s="40"/>
    </row>
    <row r="47" spans="1:29" s="11" customFormat="1" ht="15" customHeight="1" x14ac:dyDescent="0.25">
      <c r="A47" s="41"/>
      <c r="B47" s="32"/>
      <c r="C47" s="45"/>
      <c r="D47" s="45">
        <v>38</v>
      </c>
      <c r="E47" s="46"/>
      <c r="F47" s="45"/>
      <c r="G47" s="45"/>
      <c r="H47" s="45"/>
      <c r="I47" s="45"/>
      <c r="J47" s="45"/>
      <c r="K47" s="45"/>
      <c r="L47" s="45"/>
      <c r="M47" s="45"/>
      <c r="N47" s="45"/>
      <c r="O47" s="45"/>
      <c r="P47" s="45"/>
      <c r="Q47" s="45"/>
      <c r="R47" s="45"/>
      <c r="S47" s="45"/>
      <c r="T47" s="45"/>
      <c r="U47" s="45"/>
      <c r="V47" s="45"/>
      <c r="W47" s="45"/>
      <c r="X47" s="45"/>
      <c r="Y47" s="45"/>
      <c r="Z47" s="47" t="str">
        <f t="shared" si="0"/>
        <v>Очікую</v>
      </c>
      <c r="AA47" s="47" t="str">
        <f t="shared" si="1"/>
        <v>Очікую</v>
      </c>
      <c r="AB47" s="34"/>
      <c r="AC47" s="40"/>
    </row>
    <row r="48" spans="1:29" s="11" customFormat="1" ht="15" customHeight="1" x14ac:dyDescent="0.25">
      <c r="A48" s="41"/>
      <c r="B48" s="32"/>
      <c r="C48" s="45"/>
      <c r="D48" s="45">
        <v>39</v>
      </c>
      <c r="E48" s="46"/>
      <c r="F48" s="45"/>
      <c r="G48" s="45"/>
      <c r="H48" s="45"/>
      <c r="I48" s="45"/>
      <c r="J48" s="45"/>
      <c r="K48" s="45"/>
      <c r="L48" s="45"/>
      <c r="M48" s="45"/>
      <c r="N48" s="45"/>
      <c r="O48" s="45"/>
      <c r="P48" s="45"/>
      <c r="Q48" s="45"/>
      <c r="R48" s="45"/>
      <c r="S48" s="45"/>
      <c r="T48" s="45"/>
      <c r="U48" s="45"/>
      <c r="V48" s="45"/>
      <c r="W48" s="45"/>
      <c r="X48" s="45"/>
      <c r="Y48" s="45"/>
      <c r="Z48" s="47" t="str">
        <f t="shared" si="0"/>
        <v>Очікую</v>
      </c>
      <c r="AA48" s="47" t="str">
        <f t="shared" si="1"/>
        <v>Очікую</v>
      </c>
      <c r="AB48" s="34"/>
      <c r="AC48" s="40"/>
    </row>
    <row r="49" spans="1:29" s="11" customFormat="1" ht="15" customHeight="1" x14ac:dyDescent="0.25">
      <c r="A49" s="41"/>
      <c r="B49" s="32"/>
      <c r="C49" s="45"/>
      <c r="D49" s="45">
        <v>40</v>
      </c>
      <c r="E49" s="46"/>
      <c r="F49" s="45"/>
      <c r="G49" s="45"/>
      <c r="H49" s="45"/>
      <c r="I49" s="45"/>
      <c r="J49" s="45"/>
      <c r="K49" s="45"/>
      <c r="L49" s="45"/>
      <c r="M49" s="45"/>
      <c r="N49" s="45"/>
      <c r="O49" s="45"/>
      <c r="P49" s="45"/>
      <c r="Q49" s="45"/>
      <c r="R49" s="45"/>
      <c r="S49" s="45"/>
      <c r="T49" s="45"/>
      <c r="U49" s="45"/>
      <c r="V49" s="45"/>
      <c r="W49" s="45"/>
      <c r="X49" s="45"/>
      <c r="Y49" s="45"/>
      <c r="Z49" s="47" t="str">
        <f t="shared" si="0"/>
        <v>Очікую</v>
      </c>
      <c r="AA49" s="47" t="str">
        <f t="shared" si="1"/>
        <v>Очікую</v>
      </c>
      <c r="AB49" s="34"/>
      <c r="AC49" s="40"/>
    </row>
    <row r="50" spans="1:29" s="11" customFormat="1" ht="15" customHeight="1" x14ac:dyDescent="0.25">
      <c r="A50" s="41"/>
      <c r="B50" s="32"/>
      <c r="C50" s="45"/>
      <c r="D50" s="45">
        <v>41</v>
      </c>
      <c r="E50" s="46"/>
      <c r="F50" s="45"/>
      <c r="G50" s="45"/>
      <c r="H50" s="45"/>
      <c r="I50" s="45"/>
      <c r="J50" s="45"/>
      <c r="K50" s="45"/>
      <c r="L50" s="45"/>
      <c r="M50" s="45"/>
      <c r="N50" s="45"/>
      <c r="O50" s="45"/>
      <c r="P50" s="45"/>
      <c r="Q50" s="45"/>
      <c r="R50" s="45"/>
      <c r="S50" s="45"/>
      <c r="T50" s="45"/>
      <c r="U50" s="45"/>
      <c r="V50" s="45"/>
      <c r="W50" s="45"/>
      <c r="X50" s="45"/>
      <c r="Y50" s="45"/>
      <c r="Z50" s="47" t="str">
        <f t="shared" si="0"/>
        <v>Очікую</v>
      </c>
      <c r="AA50" s="47" t="str">
        <f t="shared" si="1"/>
        <v>Очікую</v>
      </c>
      <c r="AB50" s="34"/>
      <c r="AC50" s="40"/>
    </row>
    <row r="51" spans="1:29" s="11" customFormat="1" ht="15" customHeight="1" x14ac:dyDescent="0.25">
      <c r="A51" s="41"/>
      <c r="B51" s="32"/>
      <c r="C51" s="45"/>
      <c r="D51" s="45">
        <v>42</v>
      </c>
      <c r="E51" s="46"/>
      <c r="F51" s="45"/>
      <c r="G51" s="45"/>
      <c r="H51" s="45"/>
      <c r="I51" s="45"/>
      <c r="J51" s="45"/>
      <c r="K51" s="45"/>
      <c r="L51" s="45"/>
      <c r="M51" s="45"/>
      <c r="N51" s="45"/>
      <c r="O51" s="45"/>
      <c r="P51" s="45"/>
      <c r="Q51" s="45"/>
      <c r="R51" s="45"/>
      <c r="S51" s="45"/>
      <c r="T51" s="45"/>
      <c r="U51" s="45"/>
      <c r="V51" s="45"/>
      <c r="W51" s="45"/>
      <c r="X51" s="45"/>
      <c r="Y51" s="45"/>
      <c r="Z51" s="47" t="str">
        <f t="shared" si="0"/>
        <v>Очікую</v>
      </c>
      <c r="AA51" s="47" t="str">
        <f t="shared" si="1"/>
        <v>Очікую</v>
      </c>
      <c r="AB51" s="34"/>
      <c r="AC51" s="40"/>
    </row>
    <row r="52" spans="1:29" s="11" customFormat="1" ht="15" customHeight="1" x14ac:dyDescent="0.25">
      <c r="A52" s="41"/>
      <c r="B52" s="32"/>
      <c r="C52" s="45"/>
      <c r="D52" s="45">
        <v>43</v>
      </c>
      <c r="E52" s="46"/>
      <c r="F52" s="45"/>
      <c r="G52" s="45"/>
      <c r="H52" s="45"/>
      <c r="I52" s="45"/>
      <c r="J52" s="45"/>
      <c r="K52" s="45"/>
      <c r="L52" s="45"/>
      <c r="M52" s="45"/>
      <c r="N52" s="45"/>
      <c r="O52" s="45"/>
      <c r="P52" s="45"/>
      <c r="Q52" s="45"/>
      <c r="R52" s="45"/>
      <c r="S52" s="45"/>
      <c r="T52" s="45"/>
      <c r="U52" s="45"/>
      <c r="V52" s="45"/>
      <c r="W52" s="45"/>
      <c r="X52" s="45"/>
      <c r="Y52" s="45"/>
      <c r="Z52" s="47" t="str">
        <f t="shared" si="0"/>
        <v>Очікую</v>
      </c>
      <c r="AA52" s="47" t="str">
        <f t="shared" si="1"/>
        <v>Очікую</v>
      </c>
      <c r="AB52" s="34"/>
      <c r="AC52" s="40"/>
    </row>
    <row r="53" spans="1:29" s="11" customFormat="1" ht="15" customHeight="1" x14ac:dyDescent="0.25">
      <c r="A53" s="41"/>
      <c r="B53" s="32"/>
      <c r="C53" s="45"/>
      <c r="D53" s="45">
        <v>44</v>
      </c>
      <c r="E53" s="46"/>
      <c r="F53" s="45"/>
      <c r="G53" s="45"/>
      <c r="H53" s="45"/>
      <c r="I53" s="45"/>
      <c r="J53" s="45"/>
      <c r="K53" s="45"/>
      <c r="L53" s="45"/>
      <c r="M53" s="45"/>
      <c r="N53" s="45"/>
      <c r="O53" s="45"/>
      <c r="P53" s="45"/>
      <c r="Q53" s="45"/>
      <c r="R53" s="45"/>
      <c r="S53" s="45"/>
      <c r="T53" s="45"/>
      <c r="U53" s="45"/>
      <c r="V53" s="45"/>
      <c r="W53" s="45"/>
      <c r="X53" s="45"/>
      <c r="Y53" s="45"/>
      <c r="Z53" s="47" t="str">
        <f t="shared" si="0"/>
        <v>Очікую</v>
      </c>
      <c r="AA53" s="47" t="str">
        <f t="shared" si="1"/>
        <v>Очікую</v>
      </c>
      <c r="AB53" s="34"/>
      <c r="AC53" s="40"/>
    </row>
    <row r="54" spans="1:29" s="11" customFormat="1" ht="15" customHeight="1" x14ac:dyDescent="0.25">
      <c r="A54" s="41"/>
      <c r="B54" s="32"/>
      <c r="C54" s="45"/>
      <c r="D54" s="45">
        <v>45</v>
      </c>
      <c r="E54" s="46"/>
      <c r="F54" s="45"/>
      <c r="G54" s="45"/>
      <c r="H54" s="45"/>
      <c r="I54" s="45"/>
      <c r="J54" s="45"/>
      <c r="K54" s="45"/>
      <c r="L54" s="45"/>
      <c r="M54" s="45"/>
      <c r="N54" s="45"/>
      <c r="O54" s="45"/>
      <c r="P54" s="45"/>
      <c r="Q54" s="45"/>
      <c r="R54" s="45"/>
      <c r="S54" s="45"/>
      <c r="T54" s="45"/>
      <c r="U54" s="45"/>
      <c r="V54" s="45"/>
      <c r="W54" s="45"/>
      <c r="X54" s="45"/>
      <c r="Y54" s="45"/>
      <c r="Z54" s="47" t="str">
        <f t="shared" si="0"/>
        <v>Очікую</v>
      </c>
      <c r="AA54" s="47" t="str">
        <f t="shared" si="1"/>
        <v>Очікую</v>
      </c>
      <c r="AB54" s="34"/>
      <c r="AC54" s="40"/>
    </row>
    <row r="55" spans="1:29" s="11" customFormat="1" ht="15" customHeight="1" x14ac:dyDescent="0.25">
      <c r="A55" s="41"/>
      <c r="B55" s="32"/>
      <c r="C55" s="45"/>
      <c r="D55" s="45">
        <v>46</v>
      </c>
      <c r="E55" s="46"/>
      <c r="F55" s="45"/>
      <c r="G55" s="45"/>
      <c r="H55" s="45"/>
      <c r="I55" s="45"/>
      <c r="J55" s="45"/>
      <c r="K55" s="45"/>
      <c r="L55" s="45"/>
      <c r="M55" s="45"/>
      <c r="N55" s="45"/>
      <c r="O55" s="45"/>
      <c r="P55" s="45"/>
      <c r="Q55" s="45"/>
      <c r="R55" s="45"/>
      <c r="S55" s="45"/>
      <c r="T55" s="45"/>
      <c r="U55" s="45"/>
      <c r="V55" s="45"/>
      <c r="W55" s="45"/>
      <c r="X55" s="45"/>
      <c r="Y55" s="45"/>
      <c r="Z55" s="47" t="str">
        <f t="shared" si="0"/>
        <v>Очікую</v>
      </c>
      <c r="AA55" s="47" t="str">
        <f t="shared" si="1"/>
        <v>Очікую</v>
      </c>
      <c r="AB55" s="34"/>
      <c r="AC55" s="40"/>
    </row>
    <row r="56" spans="1:29" s="11" customFormat="1" ht="15" customHeight="1" x14ac:dyDescent="0.25">
      <c r="A56" s="41"/>
      <c r="B56" s="32"/>
      <c r="C56" s="45"/>
      <c r="D56" s="45">
        <v>47</v>
      </c>
      <c r="E56" s="46"/>
      <c r="F56" s="45"/>
      <c r="G56" s="45"/>
      <c r="H56" s="45"/>
      <c r="I56" s="45"/>
      <c r="J56" s="45"/>
      <c r="K56" s="45"/>
      <c r="L56" s="45"/>
      <c r="M56" s="45"/>
      <c r="N56" s="45"/>
      <c r="O56" s="45"/>
      <c r="P56" s="45"/>
      <c r="Q56" s="45"/>
      <c r="R56" s="45"/>
      <c r="S56" s="45"/>
      <c r="T56" s="45"/>
      <c r="U56" s="45"/>
      <c r="V56" s="45"/>
      <c r="W56" s="45"/>
      <c r="X56" s="45"/>
      <c r="Y56" s="45"/>
      <c r="Z56" s="47" t="str">
        <f t="shared" si="0"/>
        <v>Очікую</v>
      </c>
      <c r="AA56" s="47" t="str">
        <f t="shared" si="1"/>
        <v>Очікую</v>
      </c>
      <c r="AB56" s="34"/>
      <c r="AC56" s="40"/>
    </row>
    <row r="57" spans="1:29" s="11" customFormat="1" ht="15" customHeight="1" x14ac:dyDescent="0.25">
      <c r="A57" s="41"/>
      <c r="B57" s="32"/>
      <c r="C57" s="45"/>
      <c r="D57" s="45">
        <v>48</v>
      </c>
      <c r="E57" s="46"/>
      <c r="F57" s="45"/>
      <c r="G57" s="45"/>
      <c r="H57" s="45"/>
      <c r="I57" s="45"/>
      <c r="J57" s="45"/>
      <c r="K57" s="45"/>
      <c r="L57" s="45"/>
      <c r="M57" s="45"/>
      <c r="N57" s="45"/>
      <c r="O57" s="45"/>
      <c r="P57" s="45"/>
      <c r="Q57" s="45"/>
      <c r="R57" s="45"/>
      <c r="S57" s="45"/>
      <c r="T57" s="45"/>
      <c r="U57" s="45"/>
      <c r="V57" s="45"/>
      <c r="W57" s="45"/>
      <c r="X57" s="45"/>
      <c r="Y57" s="45"/>
      <c r="Z57" s="47" t="str">
        <f t="shared" si="0"/>
        <v>Очікую</v>
      </c>
      <c r="AA57" s="47" t="str">
        <f t="shared" si="1"/>
        <v>Очікую</v>
      </c>
      <c r="AB57" s="34"/>
      <c r="AC57" s="40"/>
    </row>
    <row r="58" spans="1:29" s="11" customFormat="1" ht="15" customHeight="1" x14ac:dyDescent="0.25">
      <c r="A58" s="41"/>
      <c r="B58" s="32"/>
      <c r="C58" s="45"/>
      <c r="D58" s="45">
        <v>49</v>
      </c>
      <c r="E58" s="46"/>
      <c r="F58" s="45"/>
      <c r="G58" s="45"/>
      <c r="H58" s="45"/>
      <c r="I58" s="45"/>
      <c r="J58" s="45"/>
      <c r="K58" s="45"/>
      <c r="L58" s="45"/>
      <c r="M58" s="45"/>
      <c r="N58" s="45"/>
      <c r="O58" s="45"/>
      <c r="P58" s="45"/>
      <c r="Q58" s="45"/>
      <c r="R58" s="45"/>
      <c r="S58" s="45"/>
      <c r="T58" s="45"/>
      <c r="U58" s="45"/>
      <c r="V58" s="45"/>
      <c r="W58" s="45"/>
      <c r="X58" s="45"/>
      <c r="Y58" s="45"/>
      <c r="Z58" s="47" t="str">
        <f t="shared" si="0"/>
        <v>Очікую</v>
      </c>
      <c r="AA58" s="47" t="str">
        <f t="shared" si="1"/>
        <v>Очікую</v>
      </c>
      <c r="AB58" s="34"/>
      <c r="AC58" s="40"/>
    </row>
    <row r="59" spans="1:29" s="11" customFormat="1" ht="15" customHeight="1" x14ac:dyDescent="0.25">
      <c r="A59" s="41"/>
      <c r="B59" s="32"/>
      <c r="C59" s="45"/>
      <c r="D59" s="45">
        <v>50</v>
      </c>
      <c r="E59" s="46"/>
      <c r="F59" s="45"/>
      <c r="G59" s="45"/>
      <c r="H59" s="45"/>
      <c r="I59" s="45"/>
      <c r="J59" s="45"/>
      <c r="K59" s="45"/>
      <c r="L59" s="45"/>
      <c r="M59" s="45"/>
      <c r="N59" s="45"/>
      <c r="O59" s="45"/>
      <c r="P59" s="45"/>
      <c r="Q59" s="45"/>
      <c r="R59" s="45"/>
      <c r="S59" s="45"/>
      <c r="T59" s="45"/>
      <c r="U59" s="45"/>
      <c r="V59" s="45"/>
      <c r="W59" s="45"/>
      <c r="X59" s="45"/>
      <c r="Y59" s="45"/>
      <c r="Z59" s="47" t="str">
        <f t="shared" si="0"/>
        <v>Очікую</v>
      </c>
      <c r="AA59" s="47" t="str">
        <f t="shared" si="1"/>
        <v>Очікую</v>
      </c>
      <c r="AB59" s="34"/>
      <c r="AC59" s="40"/>
    </row>
    <row r="60" spans="1:29" s="11" customFormat="1" ht="15" customHeight="1" x14ac:dyDescent="0.25">
      <c r="A60" s="41"/>
      <c r="B60" s="32"/>
      <c r="C60" s="45"/>
      <c r="D60" s="45">
        <v>51</v>
      </c>
      <c r="E60" s="46"/>
      <c r="F60" s="45"/>
      <c r="G60" s="45"/>
      <c r="H60" s="45"/>
      <c r="I60" s="45"/>
      <c r="J60" s="45"/>
      <c r="K60" s="45"/>
      <c r="L60" s="45"/>
      <c r="M60" s="45"/>
      <c r="N60" s="45"/>
      <c r="O60" s="45"/>
      <c r="P60" s="45"/>
      <c r="Q60" s="45"/>
      <c r="R60" s="45"/>
      <c r="S60" s="45"/>
      <c r="T60" s="45"/>
      <c r="U60" s="45"/>
      <c r="V60" s="45"/>
      <c r="W60" s="45"/>
      <c r="X60" s="45"/>
      <c r="Y60" s="45"/>
      <c r="Z60" s="47" t="str">
        <f t="shared" si="0"/>
        <v>Очікую</v>
      </c>
      <c r="AA60" s="47" t="str">
        <f t="shared" si="1"/>
        <v>Очікую</v>
      </c>
      <c r="AB60" s="34"/>
      <c r="AC60" s="40"/>
    </row>
    <row r="61" spans="1:29" s="11" customFormat="1" ht="15" customHeight="1" x14ac:dyDescent="0.25">
      <c r="A61" s="41"/>
      <c r="B61" s="32"/>
      <c r="C61" s="45"/>
      <c r="D61" s="45">
        <v>52</v>
      </c>
      <c r="E61" s="46"/>
      <c r="F61" s="45"/>
      <c r="G61" s="45"/>
      <c r="H61" s="45"/>
      <c r="I61" s="45"/>
      <c r="J61" s="45"/>
      <c r="K61" s="45"/>
      <c r="L61" s="45"/>
      <c r="M61" s="45"/>
      <c r="N61" s="45"/>
      <c r="O61" s="45"/>
      <c r="P61" s="45"/>
      <c r="Q61" s="45"/>
      <c r="R61" s="45"/>
      <c r="S61" s="45"/>
      <c r="T61" s="45"/>
      <c r="U61" s="45"/>
      <c r="V61" s="45"/>
      <c r="W61" s="45"/>
      <c r="X61" s="45"/>
      <c r="Y61" s="45"/>
      <c r="Z61" s="47" t="str">
        <f t="shared" si="0"/>
        <v>Очікую</v>
      </c>
      <c r="AA61" s="47" t="str">
        <f t="shared" si="1"/>
        <v>Очікую</v>
      </c>
      <c r="AB61" s="34"/>
      <c r="AC61" s="40"/>
    </row>
    <row r="62" spans="1:29" s="11" customFormat="1" ht="15" customHeight="1" x14ac:dyDescent="0.25">
      <c r="A62" s="41"/>
      <c r="B62" s="32"/>
      <c r="C62" s="45"/>
      <c r="D62" s="45">
        <v>53</v>
      </c>
      <c r="E62" s="46"/>
      <c r="F62" s="45"/>
      <c r="G62" s="45"/>
      <c r="H62" s="45"/>
      <c r="I62" s="45"/>
      <c r="J62" s="45"/>
      <c r="K62" s="45"/>
      <c r="L62" s="45"/>
      <c r="M62" s="45"/>
      <c r="N62" s="45"/>
      <c r="O62" s="45"/>
      <c r="P62" s="45"/>
      <c r="Q62" s="45"/>
      <c r="R62" s="45"/>
      <c r="S62" s="45"/>
      <c r="T62" s="45"/>
      <c r="U62" s="45"/>
      <c r="V62" s="45"/>
      <c r="W62" s="45"/>
      <c r="X62" s="45"/>
      <c r="Y62" s="45"/>
      <c r="Z62" s="47" t="str">
        <f t="shared" si="0"/>
        <v>Очікую</v>
      </c>
      <c r="AA62" s="47" t="str">
        <f t="shared" si="1"/>
        <v>Очікую</v>
      </c>
      <c r="AB62" s="34"/>
      <c r="AC62" s="40"/>
    </row>
    <row r="63" spans="1:29" s="11" customFormat="1" ht="15" customHeight="1" x14ac:dyDescent="0.25">
      <c r="A63" s="41"/>
      <c r="B63" s="32"/>
      <c r="C63" s="45"/>
      <c r="D63" s="45">
        <v>54</v>
      </c>
      <c r="E63" s="46"/>
      <c r="F63" s="45"/>
      <c r="G63" s="45"/>
      <c r="H63" s="45"/>
      <c r="I63" s="45"/>
      <c r="J63" s="45"/>
      <c r="K63" s="45"/>
      <c r="L63" s="45"/>
      <c r="M63" s="45"/>
      <c r="N63" s="45"/>
      <c r="O63" s="45"/>
      <c r="P63" s="45"/>
      <c r="Q63" s="45"/>
      <c r="R63" s="45"/>
      <c r="S63" s="45"/>
      <c r="T63" s="45"/>
      <c r="U63" s="45"/>
      <c r="V63" s="45"/>
      <c r="W63" s="45"/>
      <c r="X63" s="45"/>
      <c r="Y63" s="45"/>
      <c r="Z63" s="47" t="str">
        <f t="shared" si="0"/>
        <v>Очікую</v>
      </c>
      <c r="AA63" s="47" t="str">
        <f t="shared" si="1"/>
        <v>Очікую</v>
      </c>
      <c r="AB63" s="34"/>
      <c r="AC63" s="40"/>
    </row>
    <row r="64" spans="1:29" s="11" customFormat="1" ht="15" customHeight="1" x14ac:dyDescent="0.25">
      <c r="A64" s="41"/>
      <c r="B64" s="32"/>
      <c r="C64" s="45"/>
      <c r="D64" s="45">
        <v>55</v>
      </c>
      <c r="E64" s="46"/>
      <c r="F64" s="45"/>
      <c r="G64" s="45"/>
      <c r="H64" s="45"/>
      <c r="I64" s="45"/>
      <c r="J64" s="45"/>
      <c r="K64" s="45"/>
      <c r="L64" s="45"/>
      <c r="M64" s="45"/>
      <c r="N64" s="45"/>
      <c r="O64" s="45"/>
      <c r="P64" s="45"/>
      <c r="Q64" s="45"/>
      <c r="R64" s="45"/>
      <c r="S64" s="45"/>
      <c r="T64" s="45"/>
      <c r="U64" s="45"/>
      <c r="V64" s="45"/>
      <c r="W64" s="45"/>
      <c r="X64" s="45"/>
      <c r="Y64" s="45"/>
      <c r="Z64" s="47" t="str">
        <f t="shared" si="0"/>
        <v>Очікую</v>
      </c>
      <c r="AA64" s="47" t="str">
        <f t="shared" si="1"/>
        <v>Очікую</v>
      </c>
      <c r="AB64" s="34"/>
      <c r="AC64" s="40"/>
    </row>
    <row r="65" spans="1:29" s="11" customFormat="1" ht="15" customHeight="1" x14ac:dyDescent="0.25">
      <c r="A65" s="41"/>
      <c r="B65" s="32"/>
      <c r="C65" s="45"/>
      <c r="D65" s="45">
        <v>56</v>
      </c>
      <c r="E65" s="46"/>
      <c r="F65" s="45"/>
      <c r="G65" s="45"/>
      <c r="H65" s="45"/>
      <c r="I65" s="45"/>
      <c r="J65" s="45"/>
      <c r="K65" s="45"/>
      <c r="L65" s="45"/>
      <c r="M65" s="45"/>
      <c r="N65" s="45"/>
      <c r="O65" s="45"/>
      <c r="P65" s="45"/>
      <c r="Q65" s="45"/>
      <c r="R65" s="45"/>
      <c r="S65" s="45"/>
      <c r="T65" s="45"/>
      <c r="U65" s="45"/>
      <c r="V65" s="45"/>
      <c r="W65" s="45"/>
      <c r="X65" s="45"/>
      <c r="Y65" s="45"/>
      <c r="Z65" s="47" t="str">
        <f t="shared" si="0"/>
        <v>Очікую</v>
      </c>
      <c r="AA65" s="47" t="str">
        <f t="shared" si="1"/>
        <v>Очікую</v>
      </c>
      <c r="AB65" s="34"/>
      <c r="AC65" s="40"/>
    </row>
    <row r="66" spans="1:29" s="11" customFormat="1" ht="15" customHeight="1" x14ac:dyDescent="0.25">
      <c r="A66" s="41"/>
      <c r="B66" s="32"/>
      <c r="C66" s="45"/>
      <c r="D66" s="45">
        <v>57</v>
      </c>
      <c r="E66" s="46"/>
      <c r="F66" s="45"/>
      <c r="G66" s="45"/>
      <c r="H66" s="45"/>
      <c r="I66" s="45"/>
      <c r="J66" s="45"/>
      <c r="K66" s="45"/>
      <c r="L66" s="45"/>
      <c r="M66" s="45"/>
      <c r="N66" s="45"/>
      <c r="O66" s="45"/>
      <c r="P66" s="45"/>
      <c r="Q66" s="45"/>
      <c r="R66" s="45"/>
      <c r="S66" s="45"/>
      <c r="T66" s="45"/>
      <c r="U66" s="45"/>
      <c r="V66" s="45"/>
      <c r="W66" s="45"/>
      <c r="X66" s="45"/>
      <c r="Y66" s="45"/>
      <c r="Z66" s="47" t="str">
        <f t="shared" si="0"/>
        <v>Очікую</v>
      </c>
      <c r="AA66" s="47" t="str">
        <f t="shared" si="1"/>
        <v>Очікую</v>
      </c>
      <c r="AB66" s="34"/>
      <c r="AC66" s="40"/>
    </row>
    <row r="67" spans="1:29" s="11" customFormat="1" ht="15" customHeight="1" x14ac:dyDescent="0.25">
      <c r="A67" s="41"/>
      <c r="B67" s="32"/>
      <c r="C67" s="45"/>
      <c r="D67" s="45">
        <v>58</v>
      </c>
      <c r="E67" s="46"/>
      <c r="F67" s="45"/>
      <c r="G67" s="45"/>
      <c r="H67" s="45"/>
      <c r="I67" s="45"/>
      <c r="J67" s="45"/>
      <c r="K67" s="45"/>
      <c r="L67" s="45"/>
      <c r="M67" s="45"/>
      <c r="N67" s="45"/>
      <c r="O67" s="45"/>
      <c r="P67" s="45"/>
      <c r="Q67" s="45"/>
      <c r="R67" s="45"/>
      <c r="S67" s="45"/>
      <c r="T67" s="45"/>
      <c r="U67" s="45"/>
      <c r="V67" s="45"/>
      <c r="W67" s="45"/>
      <c r="X67" s="45"/>
      <c r="Y67" s="45"/>
      <c r="Z67" s="47" t="str">
        <f t="shared" si="0"/>
        <v>Очікую</v>
      </c>
      <c r="AA67" s="47" t="str">
        <f t="shared" si="1"/>
        <v>Очікую</v>
      </c>
      <c r="AB67" s="34"/>
      <c r="AC67" s="40"/>
    </row>
    <row r="68" spans="1:29" s="11" customFormat="1" ht="15" customHeight="1" x14ac:dyDescent="0.25">
      <c r="A68" s="41"/>
      <c r="B68" s="32"/>
      <c r="C68" s="45"/>
      <c r="D68" s="45">
        <v>59</v>
      </c>
      <c r="E68" s="46"/>
      <c r="F68" s="45"/>
      <c r="G68" s="45"/>
      <c r="H68" s="45"/>
      <c r="I68" s="45"/>
      <c r="J68" s="45"/>
      <c r="K68" s="45"/>
      <c r="L68" s="45"/>
      <c r="M68" s="45"/>
      <c r="N68" s="45"/>
      <c r="O68" s="45"/>
      <c r="P68" s="45"/>
      <c r="Q68" s="45"/>
      <c r="R68" s="45"/>
      <c r="S68" s="45"/>
      <c r="T68" s="45"/>
      <c r="U68" s="45"/>
      <c r="V68" s="45"/>
      <c r="W68" s="45"/>
      <c r="X68" s="45"/>
      <c r="Y68" s="45"/>
      <c r="Z68" s="47" t="str">
        <f t="shared" si="0"/>
        <v>Очікую</v>
      </c>
      <c r="AA68" s="47" t="str">
        <f t="shared" si="1"/>
        <v>Очікую</v>
      </c>
      <c r="AB68" s="34"/>
      <c r="AC68" s="40"/>
    </row>
    <row r="69" spans="1:29" s="11" customFormat="1" ht="15" customHeight="1" x14ac:dyDescent="0.25">
      <c r="A69" s="41"/>
      <c r="B69" s="32"/>
      <c r="C69" s="45"/>
      <c r="D69" s="45">
        <v>60</v>
      </c>
      <c r="E69" s="46"/>
      <c r="F69" s="45"/>
      <c r="G69" s="45"/>
      <c r="H69" s="45"/>
      <c r="I69" s="45"/>
      <c r="J69" s="45"/>
      <c r="K69" s="45"/>
      <c r="L69" s="45"/>
      <c r="M69" s="45"/>
      <c r="N69" s="45"/>
      <c r="O69" s="45"/>
      <c r="P69" s="45"/>
      <c r="Q69" s="45"/>
      <c r="R69" s="45"/>
      <c r="S69" s="45"/>
      <c r="T69" s="45"/>
      <c r="U69" s="45"/>
      <c r="V69" s="45"/>
      <c r="W69" s="45"/>
      <c r="X69" s="45"/>
      <c r="Y69" s="45"/>
      <c r="Z69" s="47" t="str">
        <f t="shared" si="0"/>
        <v>Очікую</v>
      </c>
      <c r="AA69" s="47" t="str">
        <f t="shared" si="1"/>
        <v>Очікую</v>
      </c>
      <c r="AB69" s="34"/>
      <c r="AC69" s="40"/>
    </row>
    <row r="70" spans="1:29" s="11" customFormat="1" ht="15" customHeight="1" x14ac:dyDescent="0.25">
      <c r="A70" s="41"/>
      <c r="B70" s="32"/>
      <c r="C70" s="45"/>
      <c r="D70" s="45">
        <v>61</v>
      </c>
      <c r="E70" s="46"/>
      <c r="F70" s="45"/>
      <c r="G70" s="45"/>
      <c r="H70" s="45"/>
      <c r="I70" s="45"/>
      <c r="J70" s="45"/>
      <c r="K70" s="45"/>
      <c r="L70" s="45"/>
      <c r="M70" s="45"/>
      <c r="N70" s="45"/>
      <c r="O70" s="45"/>
      <c r="P70" s="45"/>
      <c r="Q70" s="45"/>
      <c r="R70" s="45"/>
      <c r="S70" s="45"/>
      <c r="T70" s="45"/>
      <c r="U70" s="45"/>
      <c r="V70" s="45"/>
      <c r="W70" s="45"/>
      <c r="X70" s="45"/>
      <c r="Y70" s="45"/>
      <c r="Z70" s="47" t="str">
        <f t="shared" si="0"/>
        <v>Очікую</v>
      </c>
      <c r="AA70" s="47" t="str">
        <f t="shared" si="1"/>
        <v>Очікую</v>
      </c>
      <c r="AB70" s="34"/>
      <c r="AC70" s="40"/>
    </row>
    <row r="71" spans="1:29" s="11" customFormat="1" ht="15" customHeight="1" x14ac:dyDescent="0.25">
      <c r="A71" s="41"/>
      <c r="B71" s="32"/>
      <c r="C71" s="45"/>
      <c r="D71" s="45">
        <v>62</v>
      </c>
      <c r="E71" s="46"/>
      <c r="F71" s="45"/>
      <c r="G71" s="45"/>
      <c r="H71" s="45"/>
      <c r="I71" s="45"/>
      <c r="J71" s="45"/>
      <c r="K71" s="45"/>
      <c r="L71" s="45"/>
      <c r="M71" s="45"/>
      <c r="N71" s="45"/>
      <c r="O71" s="45"/>
      <c r="P71" s="45"/>
      <c r="Q71" s="45"/>
      <c r="R71" s="45"/>
      <c r="S71" s="45"/>
      <c r="T71" s="45"/>
      <c r="U71" s="45"/>
      <c r="V71" s="45"/>
      <c r="W71" s="45"/>
      <c r="X71" s="45"/>
      <c r="Y71" s="45"/>
      <c r="Z71" s="47" t="str">
        <f t="shared" si="0"/>
        <v>Очікую</v>
      </c>
      <c r="AA71" s="47" t="str">
        <f t="shared" si="1"/>
        <v>Очікую</v>
      </c>
      <c r="AB71" s="34"/>
      <c r="AC71" s="40"/>
    </row>
    <row r="72" spans="1:29" s="11" customFormat="1" ht="15" customHeight="1" x14ac:dyDescent="0.25">
      <c r="A72" s="41"/>
      <c r="B72" s="32"/>
      <c r="C72" s="45"/>
      <c r="D72" s="45">
        <v>63</v>
      </c>
      <c r="E72" s="46"/>
      <c r="F72" s="45"/>
      <c r="G72" s="45"/>
      <c r="H72" s="45"/>
      <c r="I72" s="45"/>
      <c r="J72" s="45"/>
      <c r="K72" s="45"/>
      <c r="L72" s="45"/>
      <c r="M72" s="45"/>
      <c r="N72" s="45"/>
      <c r="O72" s="45"/>
      <c r="P72" s="45"/>
      <c r="Q72" s="45"/>
      <c r="R72" s="45"/>
      <c r="S72" s="45"/>
      <c r="T72" s="45"/>
      <c r="U72" s="45"/>
      <c r="V72" s="45"/>
      <c r="W72" s="45"/>
      <c r="X72" s="45"/>
      <c r="Y72" s="45"/>
      <c r="Z72" s="47" t="str">
        <f t="shared" si="0"/>
        <v>Очікую</v>
      </c>
      <c r="AA72" s="47" t="str">
        <f t="shared" si="1"/>
        <v>Очікую</v>
      </c>
      <c r="AB72" s="34"/>
      <c r="AC72" s="40"/>
    </row>
    <row r="73" spans="1:29" s="11" customFormat="1" ht="15" customHeight="1" x14ac:dyDescent="0.25">
      <c r="A73" s="41"/>
      <c r="B73" s="32"/>
      <c r="C73" s="45"/>
      <c r="D73" s="45">
        <v>64</v>
      </c>
      <c r="E73" s="46"/>
      <c r="F73" s="45"/>
      <c r="G73" s="45"/>
      <c r="H73" s="45"/>
      <c r="I73" s="45"/>
      <c r="J73" s="45"/>
      <c r="K73" s="45"/>
      <c r="L73" s="45"/>
      <c r="M73" s="45"/>
      <c r="N73" s="45"/>
      <c r="O73" s="45"/>
      <c r="P73" s="45"/>
      <c r="Q73" s="45"/>
      <c r="R73" s="45"/>
      <c r="S73" s="45"/>
      <c r="T73" s="45"/>
      <c r="U73" s="45"/>
      <c r="V73" s="45"/>
      <c r="W73" s="45"/>
      <c r="X73" s="45"/>
      <c r="Y73" s="45"/>
      <c r="Z73" s="47" t="str">
        <f t="shared" si="0"/>
        <v>Очікую</v>
      </c>
      <c r="AA73" s="47" t="str">
        <f t="shared" si="1"/>
        <v>Очікую</v>
      </c>
      <c r="AB73" s="34"/>
      <c r="AC73" s="40"/>
    </row>
    <row r="74" spans="1:29" s="11" customFormat="1" ht="15" customHeight="1" x14ac:dyDescent="0.25">
      <c r="A74" s="41"/>
      <c r="B74" s="32"/>
      <c r="C74" s="45"/>
      <c r="D74" s="45">
        <v>65</v>
      </c>
      <c r="E74" s="46"/>
      <c r="F74" s="45"/>
      <c r="G74" s="45"/>
      <c r="H74" s="45"/>
      <c r="I74" s="45"/>
      <c r="J74" s="45"/>
      <c r="K74" s="45"/>
      <c r="L74" s="45"/>
      <c r="M74" s="45"/>
      <c r="N74" s="45"/>
      <c r="O74" s="45"/>
      <c r="P74" s="45"/>
      <c r="Q74" s="45"/>
      <c r="R74" s="45"/>
      <c r="S74" s="45"/>
      <c r="T74" s="45"/>
      <c r="U74" s="45"/>
      <c r="V74" s="45"/>
      <c r="W74" s="45"/>
      <c r="X74" s="45"/>
      <c r="Y74" s="45"/>
      <c r="Z74" s="47" t="str">
        <f t="shared" si="0"/>
        <v>Очікую</v>
      </c>
      <c r="AA74" s="47" t="str">
        <f t="shared" si="1"/>
        <v>Очікую</v>
      </c>
      <c r="AB74" s="34"/>
      <c r="AC74" s="40"/>
    </row>
    <row r="75" spans="1:29" s="11" customFormat="1" ht="15" customHeight="1" x14ac:dyDescent="0.25">
      <c r="A75" s="41"/>
      <c r="B75" s="32"/>
      <c r="C75" s="45"/>
      <c r="D75" s="45">
        <v>66</v>
      </c>
      <c r="E75" s="46"/>
      <c r="F75" s="45"/>
      <c r="G75" s="45"/>
      <c r="H75" s="45"/>
      <c r="I75" s="45"/>
      <c r="J75" s="45"/>
      <c r="K75" s="45"/>
      <c r="L75" s="45"/>
      <c r="M75" s="45"/>
      <c r="N75" s="45"/>
      <c r="O75" s="45"/>
      <c r="P75" s="45"/>
      <c r="Q75" s="45"/>
      <c r="R75" s="45"/>
      <c r="S75" s="45"/>
      <c r="T75" s="45"/>
      <c r="U75" s="45"/>
      <c r="V75" s="45"/>
      <c r="W75" s="45"/>
      <c r="X75" s="45"/>
      <c r="Y75" s="45"/>
      <c r="Z75" s="47" t="str">
        <f t="shared" ref="Z75:Z109" si="2">IF(COUNTIF(F75:Y75,"=*")&gt;0,IF($C75="К","-"," - "),IF(COUNTIF(F75:Y75,"&lt;4")&gt;0,IF(C75="К","-"," - "),(IFERROR(AVERAGE(F75:Y75),"Очікую"))))</f>
        <v>Очікую</v>
      </c>
      <c r="AA75" s="47" t="str">
        <f t="shared" ref="AA75:AA109" si="3">IFERROR(Z75/12*90,"Очікую")</f>
        <v>Очікую</v>
      </c>
      <c r="AB75" s="34"/>
      <c r="AC75" s="40"/>
    </row>
    <row r="76" spans="1:29" s="11" customFormat="1" ht="15" customHeight="1" x14ac:dyDescent="0.25">
      <c r="A76" s="41"/>
      <c r="B76" s="32"/>
      <c r="C76" s="45"/>
      <c r="D76" s="45">
        <v>67</v>
      </c>
      <c r="E76" s="46"/>
      <c r="F76" s="45"/>
      <c r="G76" s="45"/>
      <c r="H76" s="45"/>
      <c r="I76" s="45"/>
      <c r="J76" s="45"/>
      <c r="K76" s="45"/>
      <c r="L76" s="45"/>
      <c r="M76" s="45"/>
      <c r="N76" s="45"/>
      <c r="O76" s="45"/>
      <c r="P76" s="45"/>
      <c r="Q76" s="45"/>
      <c r="R76" s="45"/>
      <c r="S76" s="45"/>
      <c r="T76" s="45"/>
      <c r="U76" s="45"/>
      <c r="V76" s="45"/>
      <c r="W76" s="45"/>
      <c r="X76" s="45"/>
      <c r="Y76" s="45"/>
      <c r="Z76" s="47" t="str">
        <f t="shared" si="2"/>
        <v>Очікую</v>
      </c>
      <c r="AA76" s="47" t="str">
        <f t="shared" si="3"/>
        <v>Очікую</v>
      </c>
      <c r="AB76" s="34"/>
      <c r="AC76" s="40"/>
    </row>
    <row r="77" spans="1:29" s="11" customFormat="1" ht="15" customHeight="1" x14ac:dyDescent="0.25">
      <c r="A77" s="41"/>
      <c r="B77" s="32"/>
      <c r="C77" s="45"/>
      <c r="D77" s="45">
        <v>68</v>
      </c>
      <c r="E77" s="46"/>
      <c r="F77" s="45"/>
      <c r="G77" s="45"/>
      <c r="H77" s="45"/>
      <c r="I77" s="45"/>
      <c r="J77" s="45"/>
      <c r="K77" s="45"/>
      <c r="L77" s="45"/>
      <c r="M77" s="45"/>
      <c r="N77" s="45"/>
      <c r="O77" s="45"/>
      <c r="P77" s="45"/>
      <c r="Q77" s="45"/>
      <c r="R77" s="45"/>
      <c r="S77" s="45"/>
      <c r="T77" s="45"/>
      <c r="U77" s="45"/>
      <c r="V77" s="45"/>
      <c r="W77" s="45"/>
      <c r="X77" s="45"/>
      <c r="Y77" s="45"/>
      <c r="Z77" s="47" t="str">
        <f t="shared" si="2"/>
        <v>Очікую</v>
      </c>
      <c r="AA77" s="47" t="str">
        <f t="shared" si="3"/>
        <v>Очікую</v>
      </c>
      <c r="AB77" s="34"/>
      <c r="AC77" s="40"/>
    </row>
    <row r="78" spans="1:29" s="11" customFormat="1" ht="15" customHeight="1" x14ac:dyDescent="0.25">
      <c r="A78" s="41"/>
      <c r="B78" s="32"/>
      <c r="C78" s="45"/>
      <c r="D78" s="45">
        <v>69</v>
      </c>
      <c r="E78" s="46"/>
      <c r="F78" s="45"/>
      <c r="G78" s="45"/>
      <c r="H78" s="45"/>
      <c r="I78" s="45"/>
      <c r="J78" s="45"/>
      <c r="K78" s="45"/>
      <c r="L78" s="45"/>
      <c r="M78" s="45"/>
      <c r="N78" s="45"/>
      <c r="O78" s="45"/>
      <c r="P78" s="45"/>
      <c r="Q78" s="45"/>
      <c r="R78" s="45"/>
      <c r="S78" s="45"/>
      <c r="T78" s="45"/>
      <c r="U78" s="45"/>
      <c r="V78" s="45"/>
      <c r="W78" s="45"/>
      <c r="X78" s="45"/>
      <c r="Y78" s="45"/>
      <c r="Z78" s="47" t="str">
        <f t="shared" si="2"/>
        <v>Очікую</v>
      </c>
      <c r="AA78" s="47" t="str">
        <f t="shared" si="3"/>
        <v>Очікую</v>
      </c>
      <c r="AB78" s="34"/>
      <c r="AC78" s="40"/>
    </row>
    <row r="79" spans="1:29" s="11" customFormat="1" ht="15" customHeight="1" x14ac:dyDescent="0.25">
      <c r="A79" s="41"/>
      <c r="B79" s="32"/>
      <c r="C79" s="45"/>
      <c r="D79" s="45">
        <v>70</v>
      </c>
      <c r="E79" s="46"/>
      <c r="F79" s="45"/>
      <c r="G79" s="45"/>
      <c r="H79" s="45"/>
      <c r="I79" s="45"/>
      <c r="J79" s="45"/>
      <c r="K79" s="45"/>
      <c r="L79" s="45"/>
      <c r="M79" s="45"/>
      <c r="N79" s="45"/>
      <c r="O79" s="45"/>
      <c r="P79" s="45"/>
      <c r="Q79" s="45"/>
      <c r="R79" s="45"/>
      <c r="S79" s="45"/>
      <c r="T79" s="45"/>
      <c r="U79" s="45"/>
      <c r="V79" s="45"/>
      <c r="W79" s="45"/>
      <c r="X79" s="45"/>
      <c r="Y79" s="45"/>
      <c r="Z79" s="47" t="str">
        <f t="shared" si="2"/>
        <v>Очікую</v>
      </c>
      <c r="AA79" s="47" t="str">
        <f t="shared" si="3"/>
        <v>Очікую</v>
      </c>
      <c r="AB79" s="34"/>
      <c r="AC79" s="40"/>
    </row>
    <row r="80" spans="1:29" s="11" customFormat="1" ht="15" customHeight="1" x14ac:dyDescent="0.25">
      <c r="A80" s="41"/>
      <c r="B80" s="32"/>
      <c r="C80" s="45"/>
      <c r="D80" s="45">
        <v>71</v>
      </c>
      <c r="E80" s="46"/>
      <c r="F80" s="45"/>
      <c r="G80" s="45"/>
      <c r="H80" s="45"/>
      <c r="I80" s="45"/>
      <c r="J80" s="45"/>
      <c r="K80" s="45"/>
      <c r="L80" s="45"/>
      <c r="M80" s="45"/>
      <c r="N80" s="45"/>
      <c r="O80" s="45"/>
      <c r="P80" s="45"/>
      <c r="Q80" s="45"/>
      <c r="R80" s="45"/>
      <c r="S80" s="45"/>
      <c r="T80" s="45"/>
      <c r="U80" s="45"/>
      <c r="V80" s="45"/>
      <c r="W80" s="45"/>
      <c r="X80" s="45"/>
      <c r="Y80" s="45"/>
      <c r="Z80" s="47" t="str">
        <f t="shared" si="2"/>
        <v>Очікую</v>
      </c>
      <c r="AA80" s="47" t="str">
        <f t="shared" si="3"/>
        <v>Очікую</v>
      </c>
      <c r="AB80" s="34"/>
      <c r="AC80" s="40"/>
    </row>
    <row r="81" spans="1:29" s="11" customFormat="1" ht="15" customHeight="1" x14ac:dyDescent="0.25">
      <c r="A81" s="41"/>
      <c r="B81" s="32"/>
      <c r="C81" s="45"/>
      <c r="D81" s="45">
        <v>72</v>
      </c>
      <c r="E81" s="46"/>
      <c r="F81" s="45"/>
      <c r="G81" s="45"/>
      <c r="H81" s="45"/>
      <c r="I81" s="45"/>
      <c r="J81" s="45"/>
      <c r="K81" s="45"/>
      <c r="L81" s="45"/>
      <c r="M81" s="45"/>
      <c r="N81" s="45"/>
      <c r="O81" s="45"/>
      <c r="P81" s="45"/>
      <c r="Q81" s="45"/>
      <c r="R81" s="45"/>
      <c r="S81" s="45"/>
      <c r="T81" s="45"/>
      <c r="U81" s="45"/>
      <c r="V81" s="45"/>
      <c r="W81" s="45"/>
      <c r="X81" s="45"/>
      <c r="Y81" s="45"/>
      <c r="Z81" s="47" t="str">
        <f t="shared" si="2"/>
        <v>Очікую</v>
      </c>
      <c r="AA81" s="47" t="str">
        <f t="shared" si="3"/>
        <v>Очікую</v>
      </c>
      <c r="AB81" s="34"/>
      <c r="AC81" s="40"/>
    </row>
    <row r="82" spans="1:29" s="11" customFormat="1" ht="15" customHeight="1" x14ac:dyDescent="0.25">
      <c r="A82" s="41"/>
      <c r="B82" s="32"/>
      <c r="C82" s="45"/>
      <c r="D82" s="45">
        <v>73</v>
      </c>
      <c r="E82" s="46"/>
      <c r="F82" s="45"/>
      <c r="G82" s="45"/>
      <c r="H82" s="45"/>
      <c r="I82" s="45"/>
      <c r="J82" s="45"/>
      <c r="K82" s="45"/>
      <c r="L82" s="45"/>
      <c r="M82" s="45"/>
      <c r="N82" s="45"/>
      <c r="O82" s="45"/>
      <c r="P82" s="45"/>
      <c r="Q82" s="45"/>
      <c r="R82" s="45"/>
      <c r="S82" s="45"/>
      <c r="T82" s="45"/>
      <c r="U82" s="45"/>
      <c r="V82" s="45"/>
      <c r="W82" s="45"/>
      <c r="X82" s="45"/>
      <c r="Y82" s="45"/>
      <c r="Z82" s="47" t="str">
        <f t="shared" si="2"/>
        <v>Очікую</v>
      </c>
      <c r="AA82" s="47" t="str">
        <f t="shared" si="3"/>
        <v>Очікую</v>
      </c>
      <c r="AB82" s="34"/>
      <c r="AC82" s="40"/>
    </row>
    <row r="83" spans="1:29" s="11" customFormat="1" ht="15" customHeight="1" x14ac:dyDescent="0.25">
      <c r="A83" s="41"/>
      <c r="B83" s="32"/>
      <c r="C83" s="45"/>
      <c r="D83" s="45">
        <v>74</v>
      </c>
      <c r="E83" s="46"/>
      <c r="F83" s="45"/>
      <c r="G83" s="45"/>
      <c r="H83" s="45"/>
      <c r="I83" s="45"/>
      <c r="J83" s="45"/>
      <c r="K83" s="45"/>
      <c r="L83" s="45"/>
      <c r="M83" s="45"/>
      <c r="N83" s="45"/>
      <c r="O83" s="45"/>
      <c r="P83" s="45"/>
      <c r="Q83" s="45"/>
      <c r="R83" s="45"/>
      <c r="S83" s="45"/>
      <c r="T83" s="45"/>
      <c r="U83" s="45"/>
      <c r="V83" s="45"/>
      <c r="W83" s="45"/>
      <c r="X83" s="45"/>
      <c r="Y83" s="45"/>
      <c r="Z83" s="47" t="str">
        <f t="shared" si="2"/>
        <v>Очікую</v>
      </c>
      <c r="AA83" s="47" t="str">
        <f t="shared" si="3"/>
        <v>Очікую</v>
      </c>
      <c r="AB83" s="34"/>
      <c r="AC83" s="40"/>
    </row>
    <row r="84" spans="1:29" s="11" customFormat="1" ht="15" customHeight="1" x14ac:dyDescent="0.25">
      <c r="A84" s="41"/>
      <c r="B84" s="32"/>
      <c r="C84" s="45"/>
      <c r="D84" s="45">
        <v>75</v>
      </c>
      <c r="E84" s="46"/>
      <c r="F84" s="45"/>
      <c r="G84" s="45"/>
      <c r="H84" s="45"/>
      <c r="I84" s="45"/>
      <c r="J84" s="45"/>
      <c r="K84" s="45"/>
      <c r="L84" s="45"/>
      <c r="M84" s="45"/>
      <c r="N84" s="45"/>
      <c r="O84" s="45"/>
      <c r="P84" s="45"/>
      <c r="Q84" s="45"/>
      <c r="R84" s="45"/>
      <c r="S84" s="45"/>
      <c r="T84" s="45"/>
      <c r="U84" s="45"/>
      <c r="V84" s="45"/>
      <c r="W84" s="45"/>
      <c r="X84" s="45"/>
      <c r="Y84" s="45"/>
      <c r="Z84" s="47" t="str">
        <f t="shared" si="2"/>
        <v>Очікую</v>
      </c>
      <c r="AA84" s="47" t="str">
        <f t="shared" si="3"/>
        <v>Очікую</v>
      </c>
      <c r="AB84" s="34"/>
      <c r="AC84" s="40"/>
    </row>
    <row r="85" spans="1:29" s="11" customFormat="1" ht="15" customHeight="1" x14ac:dyDescent="0.25">
      <c r="A85" s="41"/>
      <c r="B85" s="32"/>
      <c r="C85" s="45"/>
      <c r="D85" s="45">
        <v>76</v>
      </c>
      <c r="E85" s="46"/>
      <c r="F85" s="45"/>
      <c r="G85" s="45"/>
      <c r="H85" s="45"/>
      <c r="I85" s="45"/>
      <c r="J85" s="45"/>
      <c r="K85" s="45"/>
      <c r="L85" s="45"/>
      <c r="M85" s="45"/>
      <c r="N85" s="45"/>
      <c r="O85" s="45"/>
      <c r="P85" s="45"/>
      <c r="Q85" s="45"/>
      <c r="R85" s="45"/>
      <c r="S85" s="45"/>
      <c r="T85" s="45"/>
      <c r="U85" s="45"/>
      <c r="V85" s="45"/>
      <c r="W85" s="45"/>
      <c r="X85" s="45"/>
      <c r="Y85" s="45"/>
      <c r="Z85" s="47" t="str">
        <f t="shared" si="2"/>
        <v>Очікую</v>
      </c>
      <c r="AA85" s="47" t="str">
        <f t="shared" si="3"/>
        <v>Очікую</v>
      </c>
      <c r="AB85" s="34"/>
      <c r="AC85" s="40"/>
    </row>
    <row r="86" spans="1:29" s="11" customFormat="1" ht="15" customHeight="1" x14ac:dyDescent="0.25">
      <c r="A86" s="41"/>
      <c r="B86" s="32"/>
      <c r="C86" s="45"/>
      <c r="D86" s="45">
        <v>77</v>
      </c>
      <c r="E86" s="46"/>
      <c r="F86" s="45"/>
      <c r="G86" s="45"/>
      <c r="H86" s="45"/>
      <c r="I86" s="45"/>
      <c r="J86" s="45"/>
      <c r="K86" s="45"/>
      <c r="L86" s="45"/>
      <c r="M86" s="45"/>
      <c r="N86" s="45"/>
      <c r="O86" s="45"/>
      <c r="P86" s="45"/>
      <c r="Q86" s="45"/>
      <c r="R86" s="45"/>
      <c r="S86" s="45"/>
      <c r="T86" s="45"/>
      <c r="U86" s="45"/>
      <c r="V86" s="45"/>
      <c r="W86" s="45"/>
      <c r="X86" s="45"/>
      <c r="Y86" s="45"/>
      <c r="Z86" s="47" t="str">
        <f t="shared" si="2"/>
        <v>Очікую</v>
      </c>
      <c r="AA86" s="47" t="str">
        <f t="shared" si="3"/>
        <v>Очікую</v>
      </c>
      <c r="AB86" s="34"/>
      <c r="AC86" s="40"/>
    </row>
    <row r="87" spans="1:29" s="11" customFormat="1" ht="15" customHeight="1" x14ac:dyDescent="0.25">
      <c r="A87" s="41"/>
      <c r="B87" s="32"/>
      <c r="C87" s="45"/>
      <c r="D87" s="45">
        <v>78</v>
      </c>
      <c r="E87" s="46"/>
      <c r="F87" s="45"/>
      <c r="G87" s="45"/>
      <c r="H87" s="45"/>
      <c r="I87" s="45"/>
      <c r="J87" s="45"/>
      <c r="K87" s="45"/>
      <c r="L87" s="45"/>
      <c r="M87" s="45"/>
      <c r="N87" s="45"/>
      <c r="O87" s="45"/>
      <c r="P87" s="45"/>
      <c r="Q87" s="45"/>
      <c r="R87" s="45"/>
      <c r="S87" s="45"/>
      <c r="T87" s="45"/>
      <c r="U87" s="45"/>
      <c r="V87" s="45"/>
      <c r="W87" s="45"/>
      <c r="X87" s="45"/>
      <c r="Y87" s="45"/>
      <c r="Z87" s="47" t="str">
        <f t="shared" si="2"/>
        <v>Очікую</v>
      </c>
      <c r="AA87" s="47" t="str">
        <f t="shared" si="3"/>
        <v>Очікую</v>
      </c>
      <c r="AB87" s="34"/>
      <c r="AC87" s="40"/>
    </row>
    <row r="88" spans="1:29" s="11" customFormat="1" ht="15" customHeight="1" x14ac:dyDescent="0.25">
      <c r="A88" s="41"/>
      <c r="B88" s="32"/>
      <c r="C88" s="45"/>
      <c r="D88" s="45">
        <v>79</v>
      </c>
      <c r="E88" s="46"/>
      <c r="F88" s="45"/>
      <c r="G88" s="45"/>
      <c r="H88" s="45"/>
      <c r="I88" s="45"/>
      <c r="J88" s="45"/>
      <c r="K88" s="45"/>
      <c r="L88" s="45"/>
      <c r="M88" s="45"/>
      <c r="N88" s="45"/>
      <c r="O88" s="45"/>
      <c r="P88" s="45"/>
      <c r="Q88" s="45"/>
      <c r="R88" s="45"/>
      <c r="S88" s="45"/>
      <c r="T88" s="45"/>
      <c r="U88" s="45"/>
      <c r="V88" s="45"/>
      <c r="W88" s="45"/>
      <c r="X88" s="45"/>
      <c r="Y88" s="45"/>
      <c r="Z88" s="47" t="str">
        <f t="shared" si="2"/>
        <v>Очікую</v>
      </c>
      <c r="AA88" s="47" t="str">
        <f t="shared" si="3"/>
        <v>Очікую</v>
      </c>
      <c r="AB88" s="34"/>
      <c r="AC88" s="40"/>
    </row>
    <row r="89" spans="1:29" s="11" customFormat="1" ht="15" customHeight="1" x14ac:dyDescent="0.25">
      <c r="A89" s="41"/>
      <c r="B89" s="32"/>
      <c r="C89" s="45"/>
      <c r="D89" s="45">
        <v>80</v>
      </c>
      <c r="E89" s="46"/>
      <c r="F89" s="45"/>
      <c r="G89" s="45"/>
      <c r="H89" s="45"/>
      <c r="I89" s="45"/>
      <c r="J89" s="45"/>
      <c r="K89" s="45"/>
      <c r="L89" s="45"/>
      <c r="M89" s="45"/>
      <c r="N89" s="45"/>
      <c r="O89" s="45"/>
      <c r="P89" s="45"/>
      <c r="Q89" s="45"/>
      <c r="R89" s="45"/>
      <c r="S89" s="45"/>
      <c r="T89" s="45"/>
      <c r="U89" s="45"/>
      <c r="V89" s="45"/>
      <c r="W89" s="45"/>
      <c r="X89" s="45"/>
      <c r="Y89" s="45"/>
      <c r="Z89" s="47" t="str">
        <f t="shared" si="2"/>
        <v>Очікую</v>
      </c>
      <c r="AA89" s="47" t="str">
        <f t="shared" si="3"/>
        <v>Очікую</v>
      </c>
      <c r="AB89" s="34"/>
      <c r="AC89" s="40"/>
    </row>
    <row r="90" spans="1:29" s="11" customFormat="1" ht="15" customHeight="1" x14ac:dyDescent="0.25">
      <c r="A90" s="41"/>
      <c r="B90" s="32"/>
      <c r="C90" s="45"/>
      <c r="D90" s="45">
        <v>81</v>
      </c>
      <c r="E90" s="46"/>
      <c r="F90" s="45"/>
      <c r="G90" s="45"/>
      <c r="H90" s="45"/>
      <c r="I90" s="45"/>
      <c r="J90" s="45"/>
      <c r="K90" s="45"/>
      <c r="L90" s="45"/>
      <c r="M90" s="45"/>
      <c r="N90" s="45"/>
      <c r="O90" s="45"/>
      <c r="P90" s="45"/>
      <c r="Q90" s="45"/>
      <c r="R90" s="45"/>
      <c r="S90" s="45"/>
      <c r="T90" s="45"/>
      <c r="U90" s="45"/>
      <c r="V90" s="45"/>
      <c r="W90" s="45"/>
      <c r="X90" s="45"/>
      <c r="Y90" s="45"/>
      <c r="Z90" s="47" t="str">
        <f t="shared" si="2"/>
        <v>Очікую</v>
      </c>
      <c r="AA90" s="47" t="str">
        <f t="shared" si="3"/>
        <v>Очікую</v>
      </c>
      <c r="AB90" s="34"/>
      <c r="AC90" s="40"/>
    </row>
    <row r="91" spans="1:29" s="11" customFormat="1" ht="15" customHeight="1" x14ac:dyDescent="0.25">
      <c r="A91" s="41"/>
      <c r="B91" s="32"/>
      <c r="C91" s="45"/>
      <c r="D91" s="45">
        <v>82</v>
      </c>
      <c r="E91" s="46"/>
      <c r="F91" s="45"/>
      <c r="G91" s="45"/>
      <c r="H91" s="45"/>
      <c r="I91" s="45"/>
      <c r="J91" s="45"/>
      <c r="K91" s="45"/>
      <c r="L91" s="45"/>
      <c r="M91" s="45"/>
      <c r="N91" s="45"/>
      <c r="O91" s="45"/>
      <c r="P91" s="45"/>
      <c r="Q91" s="45"/>
      <c r="R91" s="45"/>
      <c r="S91" s="45"/>
      <c r="T91" s="45"/>
      <c r="U91" s="45"/>
      <c r="V91" s="45"/>
      <c r="W91" s="45"/>
      <c r="X91" s="45"/>
      <c r="Y91" s="45"/>
      <c r="Z91" s="47" t="str">
        <f t="shared" si="2"/>
        <v>Очікую</v>
      </c>
      <c r="AA91" s="47" t="str">
        <f t="shared" si="3"/>
        <v>Очікую</v>
      </c>
      <c r="AB91" s="34"/>
      <c r="AC91" s="40"/>
    </row>
    <row r="92" spans="1:29" s="11" customFormat="1" ht="15" customHeight="1" x14ac:dyDescent="0.25">
      <c r="A92" s="41"/>
      <c r="B92" s="32"/>
      <c r="C92" s="45"/>
      <c r="D92" s="45">
        <v>83</v>
      </c>
      <c r="E92" s="46"/>
      <c r="F92" s="45"/>
      <c r="G92" s="45"/>
      <c r="H92" s="45"/>
      <c r="I92" s="45"/>
      <c r="J92" s="45"/>
      <c r="K92" s="45"/>
      <c r="L92" s="45"/>
      <c r="M92" s="45"/>
      <c r="N92" s="45"/>
      <c r="O92" s="45"/>
      <c r="P92" s="45"/>
      <c r="Q92" s="45"/>
      <c r="R92" s="45"/>
      <c r="S92" s="45"/>
      <c r="T92" s="45"/>
      <c r="U92" s="45"/>
      <c r="V92" s="45"/>
      <c r="W92" s="45"/>
      <c r="X92" s="45"/>
      <c r="Y92" s="45"/>
      <c r="Z92" s="47" t="str">
        <f t="shared" si="2"/>
        <v>Очікую</v>
      </c>
      <c r="AA92" s="47" t="str">
        <f t="shared" si="3"/>
        <v>Очікую</v>
      </c>
      <c r="AB92" s="34"/>
      <c r="AC92" s="40"/>
    </row>
    <row r="93" spans="1:29" s="11" customFormat="1" ht="15" customHeight="1" x14ac:dyDescent="0.25">
      <c r="A93" s="41"/>
      <c r="B93" s="32"/>
      <c r="C93" s="45"/>
      <c r="D93" s="45">
        <v>84</v>
      </c>
      <c r="E93" s="46"/>
      <c r="F93" s="45"/>
      <c r="G93" s="45"/>
      <c r="H93" s="45"/>
      <c r="I93" s="45"/>
      <c r="J93" s="45"/>
      <c r="K93" s="45"/>
      <c r="L93" s="45"/>
      <c r="M93" s="45"/>
      <c r="N93" s="45"/>
      <c r="O93" s="45"/>
      <c r="P93" s="45"/>
      <c r="Q93" s="45"/>
      <c r="R93" s="45"/>
      <c r="S93" s="45"/>
      <c r="T93" s="45"/>
      <c r="U93" s="45"/>
      <c r="V93" s="45"/>
      <c r="W93" s="45"/>
      <c r="X93" s="45"/>
      <c r="Y93" s="45"/>
      <c r="Z93" s="47" t="str">
        <f t="shared" si="2"/>
        <v>Очікую</v>
      </c>
      <c r="AA93" s="47" t="str">
        <f t="shared" si="3"/>
        <v>Очікую</v>
      </c>
      <c r="AB93" s="34"/>
      <c r="AC93" s="40"/>
    </row>
    <row r="94" spans="1:29" s="11" customFormat="1" ht="15" customHeight="1" x14ac:dyDescent="0.25">
      <c r="A94" s="41"/>
      <c r="B94" s="32"/>
      <c r="C94" s="45"/>
      <c r="D94" s="45">
        <v>85</v>
      </c>
      <c r="E94" s="46"/>
      <c r="F94" s="45"/>
      <c r="G94" s="45"/>
      <c r="H94" s="45"/>
      <c r="I94" s="45"/>
      <c r="J94" s="45"/>
      <c r="K94" s="45"/>
      <c r="L94" s="45"/>
      <c r="M94" s="45"/>
      <c r="N94" s="45"/>
      <c r="O94" s="45"/>
      <c r="P94" s="45"/>
      <c r="Q94" s="45"/>
      <c r="R94" s="45"/>
      <c r="S94" s="45"/>
      <c r="T94" s="45"/>
      <c r="U94" s="45"/>
      <c r="V94" s="45"/>
      <c r="W94" s="45"/>
      <c r="X94" s="45"/>
      <c r="Y94" s="45"/>
      <c r="Z94" s="47" t="str">
        <f t="shared" si="2"/>
        <v>Очікую</v>
      </c>
      <c r="AA94" s="47" t="str">
        <f t="shared" si="3"/>
        <v>Очікую</v>
      </c>
      <c r="AB94" s="34"/>
      <c r="AC94" s="40"/>
    </row>
    <row r="95" spans="1:29" s="11" customFormat="1" ht="15" customHeight="1" x14ac:dyDescent="0.25">
      <c r="A95" s="41"/>
      <c r="B95" s="32"/>
      <c r="C95" s="45"/>
      <c r="D95" s="45">
        <v>86</v>
      </c>
      <c r="E95" s="46"/>
      <c r="F95" s="45"/>
      <c r="G95" s="45"/>
      <c r="H95" s="45"/>
      <c r="I95" s="45"/>
      <c r="J95" s="45"/>
      <c r="K95" s="45"/>
      <c r="L95" s="45"/>
      <c r="M95" s="45"/>
      <c r="N95" s="45"/>
      <c r="O95" s="45"/>
      <c r="P95" s="45"/>
      <c r="Q95" s="45"/>
      <c r="R95" s="45"/>
      <c r="S95" s="45"/>
      <c r="T95" s="45"/>
      <c r="U95" s="45"/>
      <c r="V95" s="45"/>
      <c r="W95" s="45"/>
      <c r="X95" s="45"/>
      <c r="Y95" s="45"/>
      <c r="Z95" s="47" t="str">
        <f t="shared" si="2"/>
        <v>Очікую</v>
      </c>
      <c r="AA95" s="47" t="str">
        <f t="shared" si="3"/>
        <v>Очікую</v>
      </c>
      <c r="AB95" s="34"/>
      <c r="AC95" s="40"/>
    </row>
    <row r="96" spans="1:29" s="11" customFormat="1" ht="15" customHeight="1" x14ac:dyDescent="0.25">
      <c r="A96" s="41"/>
      <c r="B96" s="32"/>
      <c r="C96" s="45"/>
      <c r="D96" s="45">
        <v>87</v>
      </c>
      <c r="E96" s="46"/>
      <c r="F96" s="45"/>
      <c r="G96" s="45"/>
      <c r="H96" s="45"/>
      <c r="I96" s="45"/>
      <c r="J96" s="45"/>
      <c r="K96" s="45"/>
      <c r="L96" s="45"/>
      <c r="M96" s="45"/>
      <c r="N96" s="45"/>
      <c r="O96" s="45"/>
      <c r="P96" s="45"/>
      <c r="Q96" s="45"/>
      <c r="R96" s="45"/>
      <c r="S96" s="45"/>
      <c r="T96" s="45"/>
      <c r="U96" s="45"/>
      <c r="V96" s="45"/>
      <c r="W96" s="45"/>
      <c r="X96" s="45"/>
      <c r="Y96" s="45"/>
      <c r="Z96" s="47" t="str">
        <f t="shared" si="2"/>
        <v>Очікую</v>
      </c>
      <c r="AA96" s="47" t="str">
        <f t="shared" si="3"/>
        <v>Очікую</v>
      </c>
      <c r="AB96" s="34"/>
      <c r="AC96" s="40"/>
    </row>
    <row r="97" spans="1:29" s="11" customFormat="1" ht="15" customHeight="1" x14ac:dyDescent="0.25">
      <c r="A97" s="41"/>
      <c r="B97" s="32"/>
      <c r="C97" s="45"/>
      <c r="D97" s="45">
        <v>88</v>
      </c>
      <c r="E97" s="46"/>
      <c r="F97" s="45"/>
      <c r="G97" s="45"/>
      <c r="H97" s="45"/>
      <c r="I97" s="45"/>
      <c r="J97" s="45"/>
      <c r="K97" s="45"/>
      <c r="L97" s="45"/>
      <c r="M97" s="45"/>
      <c r="N97" s="45"/>
      <c r="O97" s="45"/>
      <c r="P97" s="45"/>
      <c r="Q97" s="45"/>
      <c r="R97" s="45"/>
      <c r="S97" s="45"/>
      <c r="T97" s="45"/>
      <c r="U97" s="45"/>
      <c r="V97" s="45"/>
      <c r="W97" s="45"/>
      <c r="X97" s="45"/>
      <c r="Y97" s="45"/>
      <c r="Z97" s="47" t="str">
        <f t="shared" si="2"/>
        <v>Очікую</v>
      </c>
      <c r="AA97" s="47" t="str">
        <f t="shared" si="3"/>
        <v>Очікую</v>
      </c>
      <c r="AB97" s="34"/>
      <c r="AC97" s="40"/>
    </row>
    <row r="98" spans="1:29" s="11" customFormat="1" ht="15" customHeight="1" x14ac:dyDescent="0.25">
      <c r="A98" s="41"/>
      <c r="B98" s="32"/>
      <c r="C98" s="45"/>
      <c r="D98" s="45">
        <v>89</v>
      </c>
      <c r="E98" s="46"/>
      <c r="F98" s="45"/>
      <c r="G98" s="45"/>
      <c r="H98" s="45"/>
      <c r="I98" s="45"/>
      <c r="J98" s="45"/>
      <c r="K98" s="45"/>
      <c r="L98" s="45"/>
      <c r="M98" s="45"/>
      <c r="N98" s="45"/>
      <c r="O98" s="45"/>
      <c r="P98" s="45"/>
      <c r="Q98" s="45"/>
      <c r="R98" s="45"/>
      <c r="S98" s="45"/>
      <c r="T98" s="45"/>
      <c r="U98" s="45"/>
      <c r="V98" s="45"/>
      <c r="W98" s="45"/>
      <c r="X98" s="45"/>
      <c r="Y98" s="45"/>
      <c r="Z98" s="47" t="str">
        <f t="shared" si="2"/>
        <v>Очікую</v>
      </c>
      <c r="AA98" s="47" t="str">
        <f t="shared" si="3"/>
        <v>Очікую</v>
      </c>
      <c r="AB98" s="34"/>
      <c r="AC98" s="40"/>
    </row>
    <row r="99" spans="1:29" s="11" customFormat="1" ht="15" customHeight="1" x14ac:dyDescent="0.25">
      <c r="A99" s="41"/>
      <c r="B99" s="32"/>
      <c r="C99" s="45"/>
      <c r="D99" s="45">
        <v>90</v>
      </c>
      <c r="E99" s="46"/>
      <c r="F99" s="45"/>
      <c r="G99" s="45"/>
      <c r="H99" s="45"/>
      <c r="I99" s="45"/>
      <c r="J99" s="45"/>
      <c r="K99" s="45"/>
      <c r="L99" s="45"/>
      <c r="M99" s="45"/>
      <c r="N99" s="45"/>
      <c r="O99" s="45"/>
      <c r="P99" s="45"/>
      <c r="Q99" s="45"/>
      <c r="R99" s="45"/>
      <c r="S99" s="45"/>
      <c r="T99" s="45"/>
      <c r="U99" s="45"/>
      <c r="V99" s="45"/>
      <c r="W99" s="45"/>
      <c r="X99" s="45"/>
      <c r="Y99" s="45"/>
      <c r="Z99" s="47" t="str">
        <f t="shared" si="2"/>
        <v>Очікую</v>
      </c>
      <c r="AA99" s="47" t="str">
        <f t="shared" si="3"/>
        <v>Очікую</v>
      </c>
      <c r="AB99" s="34"/>
      <c r="AC99" s="40"/>
    </row>
    <row r="100" spans="1:29" s="11" customFormat="1" ht="15" customHeight="1" x14ac:dyDescent="0.25">
      <c r="A100" s="41"/>
      <c r="B100" s="32"/>
      <c r="C100" s="45"/>
      <c r="D100" s="45">
        <v>91</v>
      </c>
      <c r="E100" s="46"/>
      <c r="F100" s="45"/>
      <c r="G100" s="45"/>
      <c r="H100" s="45"/>
      <c r="I100" s="45"/>
      <c r="J100" s="45"/>
      <c r="K100" s="45"/>
      <c r="L100" s="45"/>
      <c r="M100" s="45"/>
      <c r="N100" s="45"/>
      <c r="O100" s="45"/>
      <c r="P100" s="45"/>
      <c r="Q100" s="45"/>
      <c r="R100" s="45"/>
      <c r="S100" s="45"/>
      <c r="T100" s="45"/>
      <c r="U100" s="45"/>
      <c r="V100" s="45"/>
      <c r="W100" s="45"/>
      <c r="X100" s="45"/>
      <c r="Y100" s="45"/>
      <c r="Z100" s="47" t="str">
        <f t="shared" si="2"/>
        <v>Очікую</v>
      </c>
      <c r="AA100" s="47" t="str">
        <f t="shared" si="3"/>
        <v>Очікую</v>
      </c>
      <c r="AB100" s="34"/>
      <c r="AC100" s="40"/>
    </row>
    <row r="101" spans="1:29" s="11" customFormat="1" ht="15" customHeight="1" x14ac:dyDescent="0.25">
      <c r="A101" s="41"/>
      <c r="B101" s="32"/>
      <c r="C101" s="45"/>
      <c r="D101" s="45">
        <v>92</v>
      </c>
      <c r="E101" s="46"/>
      <c r="F101" s="45"/>
      <c r="G101" s="45"/>
      <c r="H101" s="45"/>
      <c r="I101" s="45"/>
      <c r="J101" s="45"/>
      <c r="K101" s="45"/>
      <c r="L101" s="45"/>
      <c r="M101" s="45"/>
      <c r="N101" s="45"/>
      <c r="O101" s="45"/>
      <c r="P101" s="45"/>
      <c r="Q101" s="45"/>
      <c r="R101" s="45"/>
      <c r="S101" s="45"/>
      <c r="T101" s="45"/>
      <c r="U101" s="45"/>
      <c r="V101" s="45"/>
      <c r="W101" s="45"/>
      <c r="X101" s="45"/>
      <c r="Y101" s="45"/>
      <c r="Z101" s="47" t="str">
        <f t="shared" si="2"/>
        <v>Очікую</v>
      </c>
      <c r="AA101" s="47" t="str">
        <f t="shared" si="3"/>
        <v>Очікую</v>
      </c>
      <c r="AB101" s="34"/>
      <c r="AC101" s="40"/>
    </row>
    <row r="102" spans="1:29" s="11" customFormat="1" ht="15" customHeight="1" x14ac:dyDescent="0.25">
      <c r="A102" s="41"/>
      <c r="B102" s="32"/>
      <c r="C102" s="45"/>
      <c r="D102" s="45">
        <v>93</v>
      </c>
      <c r="E102" s="46"/>
      <c r="F102" s="45"/>
      <c r="G102" s="45"/>
      <c r="H102" s="45"/>
      <c r="I102" s="45"/>
      <c r="J102" s="45"/>
      <c r="K102" s="45"/>
      <c r="L102" s="45"/>
      <c r="M102" s="45"/>
      <c r="N102" s="45"/>
      <c r="O102" s="45"/>
      <c r="P102" s="45"/>
      <c r="Q102" s="45"/>
      <c r="R102" s="45"/>
      <c r="S102" s="45"/>
      <c r="T102" s="45"/>
      <c r="U102" s="45"/>
      <c r="V102" s="45"/>
      <c r="W102" s="45"/>
      <c r="X102" s="45"/>
      <c r="Y102" s="45"/>
      <c r="Z102" s="47" t="str">
        <f t="shared" si="2"/>
        <v>Очікую</v>
      </c>
      <c r="AA102" s="47" t="str">
        <f t="shared" si="3"/>
        <v>Очікую</v>
      </c>
      <c r="AB102" s="34"/>
      <c r="AC102" s="40"/>
    </row>
    <row r="103" spans="1:29" s="11" customFormat="1" ht="15" customHeight="1" x14ac:dyDescent="0.25">
      <c r="A103" s="41"/>
      <c r="B103" s="32"/>
      <c r="C103" s="45"/>
      <c r="D103" s="45">
        <v>94</v>
      </c>
      <c r="E103" s="46"/>
      <c r="F103" s="45"/>
      <c r="G103" s="45"/>
      <c r="H103" s="45"/>
      <c r="I103" s="45"/>
      <c r="J103" s="45"/>
      <c r="K103" s="45"/>
      <c r="L103" s="45"/>
      <c r="M103" s="45"/>
      <c r="N103" s="45"/>
      <c r="O103" s="45"/>
      <c r="P103" s="45"/>
      <c r="Q103" s="45"/>
      <c r="R103" s="45"/>
      <c r="S103" s="45"/>
      <c r="T103" s="45"/>
      <c r="U103" s="45"/>
      <c r="V103" s="45"/>
      <c r="W103" s="45"/>
      <c r="X103" s="45"/>
      <c r="Y103" s="45"/>
      <c r="Z103" s="47" t="str">
        <f t="shared" si="2"/>
        <v>Очікую</v>
      </c>
      <c r="AA103" s="47" t="str">
        <f t="shared" si="3"/>
        <v>Очікую</v>
      </c>
      <c r="AB103" s="34"/>
      <c r="AC103" s="40"/>
    </row>
    <row r="104" spans="1:29" s="11" customFormat="1" ht="15" customHeight="1" x14ac:dyDescent="0.25">
      <c r="A104" s="41"/>
      <c r="B104" s="32"/>
      <c r="C104" s="45"/>
      <c r="D104" s="45">
        <v>95</v>
      </c>
      <c r="E104" s="46"/>
      <c r="F104" s="45"/>
      <c r="G104" s="45"/>
      <c r="H104" s="45"/>
      <c r="I104" s="45"/>
      <c r="J104" s="45"/>
      <c r="K104" s="45"/>
      <c r="L104" s="45"/>
      <c r="M104" s="45"/>
      <c r="N104" s="45"/>
      <c r="O104" s="45"/>
      <c r="P104" s="45"/>
      <c r="Q104" s="45"/>
      <c r="R104" s="45"/>
      <c r="S104" s="45"/>
      <c r="T104" s="45"/>
      <c r="U104" s="45"/>
      <c r="V104" s="45"/>
      <c r="W104" s="45"/>
      <c r="X104" s="45"/>
      <c r="Y104" s="45"/>
      <c r="Z104" s="47" t="str">
        <f t="shared" si="2"/>
        <v>Очікую</v>
      </c>
      <c r="AA104" s="47" t="str">
        <f t="shared" si="3"/>
        <v>Очікую</v>
      </c>
      <c r="AB104" s="34"/>
      <c r="AC104" s="40"/>
    </row>
    <row r="105" spans="1:29" s="11" customFormat="1" ht="15" customHeight="1" x14ac:dyDescent="0.25">
      <c r="A105" s="41"/>
      <c r="B105" s="32"/>
      <c r="C105" s="45"/>
      <c r="D105" s="45">
        <v>96</v>
      </c>
      <c r="E105" s="46"/>
      <c r="F105" s="45"/>
      <c r="G105" s="45"/>
      <c r="H105" s="45"/>
      <c r="I105" s="45"/>
      <c r="J105" s="45"/>
      <c r="K105" s="45"/>
      <c r="L105" s="45"/>
      <c r="M105" s="45"/>
      <c r="N105" s="45"/>
      <c r="O105" s="45"/>
      <c r="P105" s="45"/>
      <c r="Q105" s="45"/>
      <c r="R105" s="45"/>
      <c r="S105" s="45"/>
      <c r="T105" s="45"/>
      <c r="U105" s="45"/>
      <c r="V105" s="45"/>
      <c r="W105" s="45"/>
      <c r="X105" s="45"/>
      <c r="Y105" s="45"/>
      <c r="Z105" s="47" t="str">
        <f t="shared" si="2"/>
        <v>Очікую</v>
      </c>
      <c r="AA105" s="47" t="str">
        <f t="shared" si="3"/>
        <v>Очікую</v>
      </c>
      <c r="AB105" s="34"/>
      <c r="AC105" s="40"/>
    </row>
    <row r="106" spans="1:29" s="11" customFormat="1" ht="15" customHeight="1" x14ac:dyDescent="0.25">
      <c r="A106" s="41"/>
      <c r="B106" s="32"/>
      <c r="C106" s="45"/>
      <c r="D106" s="45">
        <v>97</v>
      </c>
      <c r="E106" s="46"/>
      <c r="F106" s="45"/>
      <c r="G106" s="45"/>
      <c r="H106" s="45"/>
      <c r="I106" s="45"/>
      <c r="J106" s="45"/>
      <c r="K106" s="45"/>
      <c r="L106" s="45"/>
      <c r="M106" s="45"/>
      <c r="N106" s="45"/>
      <c r="O106" s="45"/>
      <c r="P106" s="45"/>
      <c r="Q106" s="45"/>
      <c r="R106" s="45"/>
      <c r="S106" s="45"/>
      <c r="T106" s="45"/>
      <c r="U106" s="45"/>
      <c r="V106" s="45"/>
      <c r="W106" s="45"/>
      <c r="X106" s="45"/>
      <c r="Y106" s="45"/>
      <c r="Z106" s="47" t="str">
        <f t="shared" si="2"/>
        <v>Очікую</v>
      </c>
      <c r="AA106" s="47" t="str">
        <f t="shared" si="3"/>
        <v>Очікую</v>
      </c>
      <c r="AB106" s="34"/>
      <c r="AC106" s="40"/>
    </row>
    <row r="107" spans="1:29" s="11" customFormat="1" ht="15" customHeight="1" x14ac:dyDescent="0.25">
      <c r="A107" s="41"/>
      <c r="B107" s="32"/>
      <c r="C107" s="45"/>
      <c r="D107" s="45">
        <v>98</v>
      </c>
      <c r="E107" s="46"/>
      <c r="F107" s="45"/>
      <c r="G107" s="45"/>
      <c r="H107" s="45"/>
      <c r="I107" s="45"/>
      <c r="J107" s="45"/>
      <c r="K107" s="45"/>
      <c r="L107" s="45"/>
      <c r="M107" s="45"/>
      <c r="N107" s="45"/>
      <c r="O107" s="45"/>
      <c r="P107" s="45"/>
      <c r="Q107" s="45"/>
      <c r="R107" s="45"/>
      <c r="S107" s="45"/>
      <c r="T107" s="45"/>
      <c r="U107" s="45"/>
      <c r="V107" s="45"/>
      <c r="W107" s="45"/>
      <c r="X107" s="45"/>
      <c r="Y107" s="45"/>
      <c r="Z107" s="47" t="str">
        <f t="shared" si="2"/>
        <v>Очікую</v>
      </c>
      <c r="AA107" s="47" t="str">
        <f t="shared" si="3"/>
        <v>Очікую</v>
      </c>
      <c r="AB107" s="34"/>
      <c r="AC107" s="40"/>
    </row>
    <row r="108" spans="1:29" s="11" customFormat="1" ht="15" customHeight="1" x14ac:dyDescent="0.25">
      <c r="A108" s="41"/>
      <c r="B108" s="32"/>
      <c r="C108" s="45"/>
      <c r="D108" s="45">
        <v>99</v>
      </c>
      <c r="E108" s="46"/>
      <c r="F108" s="45"/>
      <c r="G108" s="45"/>
      <c r="H108" s="45"/>
      <c r="I108" s="45"/>
      <c r="J108" s="45"/>
      <c r="K108" s="45"/>
      <c r="L108" s="45"/>
      <c r="M108" s="45"/>
      <c r="N108" s="45"/>
      <c r="O108" s="45"/>
      <c r="P108" s="45"/>
      <c r="Q108" s="45"/>
      <c r="R108" s="45"/>
      <c r="S108" s="45"/>
      <c r="T108" s="45"/>
      <c r="U108" s="45"/>
      <c r="V108" s="45"/>
      <c r="W108" s="45"/>
      <c r="X108" s="45"/>
      <c r="Y108" s="45"/>
      <c r="Z108" s="47" t="str">
        <f t="shared" si="2"/>
        <v>Очікую</v>
      </c>
      <c r="AA108" s="47" t="str">
        <f t="shared" si="3"/>
        <v>Очікую</v>
      </c>
      <c r="AB108" s="34"/>
      <c r="AC108" s="40"/>
    </row>
    <row r="109" spans="1:29" s="11" customFormat="1" ht="15" customHeight="1" x14ac:dyDescent="0.25">
      <c r="A109" s="41"/>
      <c r="B109" s="32"/>
      <c r="C109" s="45"/>
      <c r="D109" s="45">
        <v>100</v>
      </c>
      <c r="E109" s="46"/>
      <c r="F109" s="45"/>
      <c r="G109" s="45"/>
      <c r="H109" s="45"/>
      <c r="I109" s="45"/>
      <c r="J109" s="45"/>
      <c r="K109" s="45"/>
      <c r="L109" s="45"/>
      <c r="M109" s="45"/>
      <c r="N109" s="45"/>
      <c r="O109" s="45"/>
      <c r="P109" s="45"/>
      <c r="Q109" s="45"/>
      <c r="R109" s="45"/>
      <c r="S109" s="45"/>
      <c r="T109" s="45"/>
      <c r="U109" s="45"/>
      <c r="V109" s="45"/>
      <c r="W109" s="45"/>
      <c r="X109" s="45"/>
      <c r="Y109" s="45"/>
      <c r="Z109" s="47" t="str">
        <f t="shared" si="2"/>
        <v>Очікую</v>
      </c>
      <c r="AA109" s="47" t="str">
        <f t="shared" si="3"/>
        <v>Очікую</v>
      </c>
      <c r="AB109" s="34"/>
      <c r="AC109" s="40"/>
    </row>
    <row r="110" spans="1:29" ht="15" customHeight="1" x14ac:dyDescent="0.25">
      <c r="A110" s="41"/>
      <c r="B110" s="32"/>
      <c r="C110" s="25"/>
      <c r="D110" s="25"/>
      <c r="E110" s="26" t="s">
        <v>9</v>
      </c>
      <c r="F110" s="5" t="str">
        <f>ЛЗ9!F115</f>
        <v>Очікую</v>
      </c>
      <c r="G110" s="6"/>
      <c r="H110" s="6"/>
      <c r="I110" s="6"/>
      <c r="J110" s="6"/>
      <c r="K110" s="6"/>
      <c r="L110" s="25"/>
      <c r="M110" s="27"/>
      <c r="N110" s="25"/>
      <c r="O110" s="25"/>
      <c r="P110" s="25"/>
      <c r="Q110" s="25"/>
      <c r="R110" s="25"/>
      <c r="S110" s="25"/>
      <c r="T110" s="25"/>
      <c r="U110" s="28"/>
      <c r="V110" s="27"/>
      <c r="W110" s="25"/>
      <c r="X110" s="25"/>
      <c r="Y110" s="25"/>
      <c r="Z110" s="25"/>
      <c r="AA110" s="25"/>
      <c r="AB110" s="33"/>
      <c r="AC110" s="40"/>
    </row>
    <row r="111" spans="1:29" ht="15" customHeight="1" x14ac:dyDescent="0.25">
      <c r="A111" s="41"/>
      <c r="B111" s="32"/>
      <c r="C111" s="25"/>
      <c r="D111" s="25"/>
      <c r="E111" s="26" t="s">
        <v>10</v>
      </c>
      <c r="F111" s="5" t="str">
        <f>ЛЗ9!F116</f>
        <v>Очікую</v>
      </c>
      <c r="G111" s="6"/>
      <c r="H111" s="63" t="s">
        <v>11</v>
      </c>
      <c r="I111" s="6"/>
      <c r="J111" s="6"/>
      <c r="K111" s="6"/>
      <c r="L111" s="25"/>
      <c r="M111" s="27"/>
      <c r="N111" s="63"/>
      <c r="O111" s="63"/>
      <c r="P111" s="63"/>
      <c r="Q111" s="63"/>
      <c r="R111" s="6"/>
      <c r="S111" s="6"/>
      <c r="T111" s="6"/>
      <c r="U111" s="64"/>
      <c r="V111" s="64"/>
      <c r="W111" s="64"/>
      <c r="X111" s="64"/>
      <c r="Y111" s="64"/>
      <c r="Z111" s="64"/>
      <c r="AA111" s="25"/>
      <c r="AB111" s="33"/>
      <c r="AC111" s="40"/>
    </row>
    <row r="112" spans="1:29" ht="15" customHeight="1" x14ac:dyDescent="0.25">
      <c r="A112" s="41"/>
      <c r="B112" s="32"/>
      <c r="C112" s="25"/>
      <c r="D112" s="25"/>
      <c r="E112" s="26" t="s">
        <v>12</v>
      </c>
      <c r="F112" s="5">
        <f>ЛЗ9!F117</f>
        <v>0</v>
      </c>
      <c r="G112" s="6"/>
      <c r="H112" s="10"/>
      <c r="I112" s="6"/>
      <c r="J112" s="6"/>
      <c r="K112" s="6"/>
      <c r="L112" s="25"/>
      <c r="M112" s="27"/>
      <c r="N112" s="6"/>
      <c r="O112" s="6"/>
      <c r="P112" s="6"/>
      <c r="Q112" s="6"/>
      <c r="R112" s="6"/>
      <c r="S112" s="6"/>
      <c r="T112" s="6"/>
      <c r="U112" s="10"/>
      <c r="V112" s="10"/>
      <c r="W112" s="6"/>
      <c r="X112" s="6"/>
      <c r="Y112" s="6"/>
      <c r="Z112" s="6"/>
      <c r="AA112" s="25"/>
      <c r="AB112" s="33"/>
      <c r="AC112" s="40"/>
    </row>
    <row r="113" spans="1:29" ht="15" customHeight="1" x14ac:dyDescent="0.25">
      <c r="A113" s="41"/>
      <c r="B113" s="32"/>
      <c r="C113" s="25"/>
      <c r="D113" s="25"/>
      <c r="E113" s="26" t="s">
        <v>13</v>
      </c>
      <c r="F113" s="5" t="str">
        <f>ЛЗ9!F118</f>
        <v>Очікую</v>
      </c>
      <c r="G113" s="6"/>
      <c r="H113" s="64" t="s">
        <v>14</v>
      </c>
      <c r="I113" s="6"/>
      <c r="J113" s="6"/>
      <c r="K113" s="6"/>
      <c r="L113" s="25"/>
      <c r="M113" s="27"/>
      <c r="N113" s="64"/>
      <c r="O113" s="64"/>
      <c r="P113" s="64"/>
      <c r="Q113" s="64"/>
      <c r="R113" s="6"/>
      <c r="S113" s="6"/>
      <c r="T113" s="6"/>
      <c r="U113" s="64"/>
      <c r="V113" s="64"/>
      <c r="W113" s="64"/>
      <c r="X113" s="64"/>
      <c r="Y113" s="64"/>
      <c r="Z113" s="64"/>
      <c r="AA113" s="25"/>
      <c r="AB113" s="33"/>
      <c r="AC113" s="40"/>
    </row>
    <row r="114" spans="1:29" ht="12" customHeight="1" thickBot="1" x14ac:dyDescent="0.3">
      <c r="A114" s="41"/>
      <c r="B114" s="35"/>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c r="AA114" s="36"/>
      <c r="AB114" s="37"/>
      <c r="AC114" s="40"/>
    </row>
    <row r="115" spans="1:29" ht="12" customHeight="1" x14ac:dyDescent="0.25">
      <c r="A115" s="39"/>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40"/>
    </row>
    <row r="116" spans="1:29" ht="0" hidden="1" customHeight="1" x14ac:dyDescent="0.25">
      <c r="A116" s="42"/>
      <c r="AC116" s="42"/>
    </row>
    <row r="117" spans="1:29" ht="0" hidden="1" customHeight="1" x14ac:dyDescent="0.25">
      <c r="A117" s="42"/>
      <c r="AC117" s="42"/>
    </row>
    <row r="118" spans="1:29" ht="0" hidden="1" customHeight="1" x14ac:dyDescent="0.25">
      <c r="A118" s="42"/>
      <c r="AC118" s="42"/>
    </row>
    <row r="119" spans="1:29" ht="0" hidden="1" customHeight="1" x14ac:dyDescent="0.25">
      <c r="A119" s="42"/>
      <c r="AC119" s="42"/>
    </row>
    <row r="120" spans="1:29" ht="0" hidden="1" customHeight="1" x14ac:dyDescent="0.25">
      <c r="A120" s="42"/>
      <c r="B120" s="42"/>
      <c r="C120" s="42"/>
      <c r="D120" s="42"/>
      <c r="E120" s="42"/>
      <c r="F120" s="42"/>
      <c r="G120" s="42"/>
      <c r="H120" s="42"/>
      <c r="I120" s="42"/>
      <c r="J120" s="42"/>
      <c r="K120" s="42"/>
      <c r="L120" s="42"/>
      <c r="M120" s="42"/>
      <c r="N120" s="42"/>
      <c r="O120" s="42"/>
      <c r="P120" s="42"/>
      <c r="Q120" s="42"/>
      <c r="R120" s="42"/>
      <c r="S120" s="42"/>
      <c r="T120" s="42"/>
      <c r="U120" s="42"/>
      <c r="V120" s="42"/>
      <c r="W120" s="42"/>
      <c r="X120" s="42"/>
      <c r="Y120" s="42"/>
      <c r="Z120" s="42"/>
      <c r="AA120" s="42"/>
      <c r="AB120" s="42"/>
      <c r="AC120" s="42"/>
    </row>
  </sheetData>
  <sheetProtection insertRows="0" deleteRows="0"/>
  <mergeCells count="11">
    <mergeCell ref="C8:C9"/>
    <mergeCell ref="D8:D9"/>
    <mergeCell ref="E8:E9"/>
    <mergeCell ref="F8:Y8"/>
    <mergeCell ref="AA8:AA9"/>
    <mergeCell ref="Z8:Z9"/>
    <mergeCell ref="C3:AA3"/>
    <mergeCell ref="C4:AA4"/>
    <mergeCell ref="C5:AA5"/>
    <mergeCell ref="C6:AA6"/>
    <mergeCell ref="C7:AA7"/>
  </mergeCells>
  <printOptions horizontalCentered="1"/>
  <pageMargins left="0.19685039370078741" right="0.19685039370078741" top="0.19685039370078741" bottom="0.19685039370078741" header="0" footer="0"/>
  <pageSetup paperSize="9" scale="32"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20</vt:i4>
      </vt:variant>
      <vt:variant>
        <vt:lpstr>Именованные диапазоны</vt:lpstr>
      </vt:variant>
      <vt:variant>
        <vt:i4>20</vt:i4>
      </vt:variant>
    </vt:vector>
  </HeadingPairs>
  <TitlesOfParts>
    <vt:vector size="40" baseType="lpstr">
      <vt:lpstr>Приклад</vt:lpstr>
      <vt:lpstr>Л_Загальна</vt:lpstr>
      <vt:lpstr>ЛЗ1</vt:lpstr>
      <vt:lpstr>ЛЗ2</vt:lpstr>
      <vt:lpstr>ЛЗ3</vt:lpstr>
      <vt:lpstr>ЛЗ4</vt:lpstr>
      <vt:lpstr>ЛЗ5</vt:lpstr>
      <vt:lpstr>ЛЗ6</vt:lpstr>
      <vt:lpstr>ЛЗ7</vt:lpstr>
      <vt:lpstr>ЛЗ8</vt:lpstr>
      <vt:lpstr>ЛЗ9</vt:lpstr>
      <vt:lpstr>ЛР1</vt:lpstr>
      <vt:lpstr>ЛР2</vt:lpstr>
      <vt:lpstr>ЛР3</vt:lpstr>
      <vt:lpstr>ЛР4</vt:lpstr>
      <vt:lpstr>ЛР5</vt:lpstr>
      <vt:lpstr>ЛР6</vt:lpstr>
      <vt:lpstr>ЛР7</vt:lpstr>
      <vt:lpstr>ЛР8</vt:lpstr>
      <vt:lpstr>ЛР9</vt:lpstr>
      <vt:lpstr>Л_Загальна!Область_печати</vt:lpstr>
      <vt:lpstr>ЛЗ1!Область_печати</vt:lpstr>
      <vt:lpstr>ЛЗ2!Область_печати</vt:lpstr>
      <vt:lpstr>ЛЗ3!Область_печати</vt:lpstr>
      <vt:lpstr>ЛЗ4!Область_печати</vt:lpstr>
      <vt:lpstr>ЛЗ5!Область_печати</vt:lpstr>
      <vt:lpstr>ЛЗ6!Область_печати</vt:lpstr>
      <vt:lpstr>ЛЗ7!Область_печати</vt:lpstr>
      <vt:lpstr>ЛЗ8!Область_печати</vt:lpstr>
      <vt:lpstr>ЛЗ9!Область_печати</vt:lpstr>
      <vt:lpstr>ЛР1!Область_печати</vt:lpstr>
      <vt:lpstr>ЛР2!Область_печати</vt:lpstr>
      <vt:lpstr>ЛР3!Область_печати</vt:lpstr>
      <vt:lpstr>ЛР4!Область_печати</vt:lpstr>
      <vt:lpstr>ЛР5!Область_печати</vt:lpstr>
      <vt:lpstr>ЛР6!Область_печати</vt:lpstr>
      <vt:lpstr>ЛР7!Область_печати</vt:lpstr>
      <vt:lpstr>ЛР8!Область_печати</vt:lpstr>
      <vt:lpstr>ЛР9!Область_печати</vt:lpstr>
      <vt:lpstr>Приклад!Область_печати</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37063</dc:creator>
  <cp:keywords/>
  <dc:description/>
  <cp:lastModifiedBy>Maxim Surkov</cp:lastModifiedBy>
  <cp:lastPrinted>2026-01-07T15:30:50Z</cp:lastPrinted>
  <dcterms:created xsi:type="dcterms:W3CDTF">2006-09-28T05:33:49Z</dcterms:created>
  <dcterms:modified xsi:type="dcterms:W3CDTF">2026-04-26T10:46:26Z</dcterms:modified>
  <cp:category/>
  <cp:contentStatus/>
</cp:coreProperties>
</file>