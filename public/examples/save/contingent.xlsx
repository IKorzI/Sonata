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filterPrivacy="1" defaultThemeVersion="124226"/>
  <xr:revisionPtr revIDLastSave="0" documentId="13_ncr:1_{4B70646C-7685-488B-BFAD-001E5F84EF97}" xr6:coauthVersionLast="47" xr6:coauthVersionMax="47" xr10:uidLastSave="{00000000-0000-0000-0000-000000000000}"/>
  <bookViews>
    <workbookView xWindow="-120" yWindow="-120" windowWidth="38640" windowHeight="21120" activeTab="1" xr2:uid="{00000000-000D-0000-FFFF-FFFF00000000}"/>
  </bookViews>
  <sheets>
    <sheet name="Приклад" sheetId="2" r:id="rId1"/>
    <sheet name="ХХХ" sheetId="4" r:id="rId2"/>
  </sheets>
  <definedNames>
    <definedName name="A1048577" localSheetId="0">#REF!</definedName>
    <definedName name="A1048577" localSheetId="1">#REF!</definedName>
    <definedName name="A1048577">#REF!</definedName>
    <definedName name="_xlnm.Print_Area" localSheetId="0">Приклад!$C$3:$G$57</definedName>
    <definedName name="_xlnm.Print_Area" localSheetId="1">ХХХ!$C$3:$G$45</definedName>
    <definedName name="Ф80" localSheetId="0">#REF!</definedName>
    <definedName name="Ф80" localSheetId="1">#REF!</definedName>
    <definedName name="Ф80">#REF!</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4" i="4" l="1"/>
  <c r="F42" i="4"/>
  <c r="D42" i="4"/>
  <c r="F54" i="2"/>
  <c r="F56" i="2"/>
  <c r="D54" i="2"/>
</calcChain>
</file>

<file path=xl/sharedStrings.xml><?xml version="1.0" encoding="utf-8"?>
<sst xmlns="http://schemas.openxmlformats.org/spreadsheetml/2006/main" count="111" uniqueCount="61">
  <si>
    <t>S</t>
  </si>
  <si>
    <t>1 курс</t>
  </si>
  <si>
    <t>№</t>
  </si>
  <si>
    <t>П.І.Б.</t>
  </si>
  <si>
    <t>Дата народження</t>
  </si>
  <si>
    <t>Примітка</t>
  </si>
  <si>
    <t>Б</t>
  </si>
  <si>
    <t>К</t>
  </si>
  <si>
    <r>
      <t xml:space="preserve">Для роботи програми </t>
    </r>
    <r>
      <rPr>
        <b/>
        <sz val="12"/>
        <color rgb="FFFF0000"/>
        <rFont val="Times New Roman"/>
        <family val="1"/>
        <charset val="204"/>
      </rPr>
      <t>S</t>
    </r>
    <r>
      <rPr>
        <b/>
        <sz val="12"/>
        <color rgb="FF000000"/>
        <rFont val="Times New Roman"/>
        <family val="1"/>
        <charset val="204"/>
      </rPr>
      <t xml:space="preserve">onata
У цьому документі повинні бути </t>
    </r>
    <r>
      <rPr>
        <b/>
        <u/>
        <sz val="12"/>
        <color rgb="FF000000"/>
        <rFont val="Times New Roman"/>
        <family val="1"/>
        <charset val="204"/>
      </rPr>
      <t xml:space="preserve"> ТІЛЬКИ </t>
    </r>
    <r>
      <rPr>
        <b/>
        <sz val="12"/>
        <color rgb="FF000000"/>
        <rFont val="Times New Roman"/>
        <family val="1"/>
        <charset val="204"/>
      </rPr>
      <t xml:space="preserve"> </t>
    </r>
    <r>
      <rPr>
        <b/>
        <sz val="12"/>
        <color rgb="FFFF0000"/>
        <rFont val="Times New Roman"/>
        <family val="1"/>
        <charset val="204"/>
      </rPr>
      <t>контингенти</t>
    </r>
    <r>
      <rPr>
        <b/>
        <sz val="12"/>
        <color rgb="FF000000"/>
        <rFont val="Times New Roman"/>
        <family val="1"/>
        <charset val="204"/>
      </rPr>
      <t xml:space="preserve"> усіх груп з усіма спеціальностями всередині
Назви листів повинні бути "ХХХ", де ХХХ - код групи (23-4 або 25-1 та інші)
Не повинно бути порожніх клітинок ПІБ
Значення, де записано ікси (Х) потрібно заповнювати
Формули не чипати. Текст "Очікую" говорить про те, що формула очікує значення для рахунку
Лист "Приклад" можна не видаляти але йому неможна змінювати назву</t>
    </r>
  </si>
  <si>
    <t>Група 25-1</t>
  </si>
  <si>
    <t>Бернік Поліна Костянтинівна</t>
  </si>
  <si>
    <t>Бучацька Олександра</t>
  </si>
  <si>
    <t>Важельський Серафим Олександрович</t>
  </si>
  <si>
    <t>Варивода Станіслава Михайлівна</t>
  </si>
  <si>
    <t>Жумайло Дар`я Юріївна</t>
  </si>
  <si>
    <t>Залогін Володимир Євгенійович</t>
  </si>
  <si>
    <t>Кірон Ангеліна Петрівна</t>
  </si>
  <si>
    <t>Кісельова Аріна Вадимівна</t>
  </si>
  <si>
    <t>Леженко Серафим Русланович</t>
  </si>
  <si>
    <t>Овсяннікова Анастасія Віталіївна</t>
  </si>
  <si>
    <t>Полягошко Вероніка Миколаївна</t>
  </si>
  <si>
    <t>Поляков Михайло Олександрович</t>
  </si>
  <si>
    <t>Поплавських Єлизавета Іванівна</t>
  </si>
  <si>
    <t>Примаченко Інга Антонівна</t>
  </si>
  <si>
    <t>Проценко Микита Сергійович</t>
  </si>
  <si>
    <t>Русу Альона Ігорівна</t>
  </si>
  <si>
    <t>Соценко Ольга Олександрівна</t>
  </si>
  <si>
    <t>Тимошенко Владислав Романович</t>
  </si>
  <si>
    <t>Черепаха Арсеній Андрійович</t>
  </si>
  <si>
    <t>Шкут Іван Андрійович</t>
  </si>
  <si>
    <t>Пер.бюд.</t>
  </si>
  <si>
    <t>Рижиков Василь Володимирович</t>
  </si>
  <si>
    <t>Дзюбка Мирослава Володимирівна</t>
  </si>
  <si>
    <t>Господарюк Юрій Михайлович</t>
  </si>
  <si>
    <t>Русєв Дмитро Георгійович</t>
  </si>
  <si>
    <t>Брітіков Сергій Сергійович</t>
  </si>
  <si>
    <t>Вальчук Богдан Олександрович</t>
  </si>
  <si>
    <t>Єсипович Володимир Іванович</t>
  </si>
  <si>
    <t>Катеринюк Юрій Юрійович</t>
  </si>
  <si>
    <t>Криворучко Олександр Степанович</t>
  </si>
  <si>
    <t>Маркітан Станіслав Ігорович</t>
  </si>
  <si>
    <t>Новицький Руслан Віталійович</t>
  </si>
  <si>
    <t>Помазан Валерій Миколайович</t>
  </si>
  <si>
    <t>Примха Павло Павлович</t>
  </si>
  <si>
    <t>Ракович Дмитро Вікторович</t>
  </si>
  <si>
    <t>Рибинський Іван Іванович</t>
  </si>
  <si>
    <t>Станчєв Віталій Васильович</t>
  </si>
  <si>
    <t>Шрамов`ят Михайло Ігорович</t>
  </si>
  <si>
    <t>Спеціальності D5, E2, G13, J2, J3</t>
  </si>
  <si>
    <t>«Маркетинг»,
«Екологія»,
«Харчові технології»,
«Готельно-ресторанна справа та кейтеринг»,
«Туризм та рекреація»</t>
  </si>
  <si>
    <t>D5</t>
  </si>
  <si>
    <t>G13</t>
  </si>
  <si>
    <t>J2</t>
  </si>
  <si>
    <t>J3</t>
  </si>
  <si>
    <t>E2</t>
  </si>
  <si>
    <t xml:space="preserve">    Класний керівник Вєра МЄШКОВА</t>
  </si>
  <si>
    <t>Спеціальності ХХХ</t>
  </si>
  <si>
    <t>ХХХ,
ХХХ,
ХХХ</t>
  </si>
  <si>
    <t>Група ХХХ</t>
  </si>
  <si>
    <t>ХХХ</t>
  </si>
  <si>
    <t xml:space="preserve">    Класний керівник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</si>
</sst>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000000"/>
      <name val="Calibri"/>
      <family val="2"/>
      <charset val="204"/>
    </font>
    <font>
      <b/>
      <sz val="11"/>
      <color rgb="FFFF0000"/>
      <name val="Times New Roman"/>
      <family val="1"/>
      <charset val="204"/>
    </font>
    <font>
      <sz val="12"/>
      <color rgb="FF000000"/>
      <name val="Times New Roman"/>
      <family val="1"/>
      <charset val="204"/>
    </font>
    <font>
      <sz val="12"/>
      <name val="Times New Roman"/>
      <family val="1"/>
      <charset val="204"/>
    </font>
    <font>
      <sz val="14"/>
      <color rgb="FF000000"/>
      <name val="Times New Roman"/>
      <family val="1"/>
      <charset val="204"/>
    </font>
    <font>
      <b/>
      <sz val="12"/>
      <color rgb="FF000000"/>
      <name val="Times New Roman"/>
      <family val="1"/>
      <charset val="204"/>
    </font>
    <font>
      <sz val="14"/>
      <color theme="1"/>
      <name val="Times New Roman"/>
      <family val="1"/>
      <charset val="204"/>
    </font>
    <font>
      <b/>
      <sz val="12"/>
      <color rgb="FFFF0000"/>
      <name val="Times New Roman"/>
      <family val="1"/>
      <charset val="204"/>
    </font>
    <font>
      <b/>
      <u/>
      <sz val="12"/>
      <color rgb="FF000000"/>
      <name val="Times New Roman"/>
      <family val="1"/>
      <charset val="204"/>
    </font>
  </fonts>
  <fills count="6">
    <fill>
      <patternFill patternType="none"/>
    </fill>
    <fill>
      <patternFill patternType="gray125"/>
    </fill>
    <fill>
      <patternFill patternType="solid">
        <fgColor rgb="FFBFBFBF"/>
        <bgColor indexed="64"/>
      </patternFill>
    </fill>
    <fill>
      <patternFill patternType="solid">
        <fgColor theme="0" tint="-0.249977111117893"/>
        <bgColor indexed="64"/>
      </patternFill>
    </fill>
    <fill>
      <patternFill patternType="solid">
        <fgColor rgb="FFFFFFFF"/>
        <bgColor indexed="64"/>
      </patternFill>
    </fill>
    <fill>
      <patternFill patternType="solid">
        <fgColor theme="0"/>
        <bgColor indexed="64"/>
      </patternFill>
    </fill>
  </fills>
  <borders count="20">
    <border>
      <left/>
      <right/>
      <top/>
      <bottom/>
      <diagonal/>
    </border>
    <border>
      <left/>
      <right style="mediumDashed">
        <color auto="1"/>
      </right>
      <top/>
      <bottom/>
      <diagonal/>
    </border>
    <border>
      <left style="mediumDashed">
        <color auto="1"/>
      </left>
      <right/>
      <top style="mediumDashed">
        <color auto="1"/>
      </top>
      <bottom/>
      <diagonal/>
    </border>
    <border>
      <left/>
      <right/>
      <top style="mediumDashed">
        <color auto="1"/>
      </top>
      <bottom/>
      <diagonal/>
    </border>
    <border>
      <left/>
      <right style="mediumDashed">
        <color auto="1"/>
      </right>
      <top style="mediumDashed">
        <color auto="1"/>
      </top>
      <bottom/>
      <diagonal/>
    </border>
    <border>
      <left style="mediumDashed">
        <color auto="1"/>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Dashed">
        <color auto="1"/>
      </left>
      <right/>
      <top/>
      <bottom style="mediumDashed">
        <color auto="1"/>
      </bottom>
      <diagonal/>
    </border>
    <border>
      <left/>
      <right/>
      <top/>
      <bottom style="mediumDashed">
        <color auto="1"/>
      </bottom>
      <diagonal/>
    </border>
    <border>
      <left/>
      <right style="mediumDashed">
        <color auto="1"/>
      </right>
      <top/>
      <bottom style="mediumDashed">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40">
    <xf numFmtId="0" fontId="0" fillId="0" borderId="0" xfId="0"/>
    <xf numFmtId="0" fontId="2" fillId="2" borderId="0" xfId="1" applyFont="1" applyFill="1" applyAlignment="1" applyProtection="1">
      <alignment horizontal="center" vertical="center"/>
      <protection hidden="1"/>
    </xf>
    <xf numFmtId="0" fontId="3" fillId="2" borderId="0" xfId="1" applyFont="1" applyFill="1" applyAlignment="1" applyProtection="1">
      <alignment vertical="center"/>
      <protection hidden="1"/>
    </xf>
    <xf numFmtId="0" fontId="4" fillId="3" borderId="0" xfId="1" applyFont="1" applyFill="1" applyAlignment="1">
      <alignment horizontal="center" vertical="center"/>
    </xf>
    <xf numFmtId="0" fontId="3" fillId="2" borderId="1" xfId="1" applyFont="1" applyFill="1" applyBorder="1" applyAlignment="1" applyProtection="1">
      <alignment vertical="center"/>
      <protection locked="0" hidden="1"/>
    </xf>
    <xf numFmtId="0" fontId="3" fillId="4" borderId="2" xfId="1" applyFont="1" applyFill="1" applyBorder="1" applyAlignment="1" applyProtection="1">
      <alignment vertical="center"/>
      <protection hidden="1"/>
    </xf>
    <xf numFmtId="0" fontId="3" fillId="4" borderId="3" xfId="1" applyFont="1" applyFill="1" applyBorder="1" applyAlignment="1" applyProtection="1">
      <alignment vertical="center"/>
      <protection hidden="1"/>
    </xf>
    <xf numFmtId="0" fontId="3" fillId="4" borderId="4" xfId="1" applyFont="1" applyFill="1" applyBorder="1" applyAlignment="1" applyProtection="1">
      <alignment vertical="center"/>
      <protection hidden="1"/>
    </xf>
    <xf numFmtId="0" fontId="3" fillId="2" borderId="0" xfId="1" applyFont="1" applyFill="1" applyAlignment="1" applyProtection="1">
      <alignment vertical="center"/>
      <protection locked="0" hidden="1"/>
    </xf>
    <xf numFmtId="0" fontId="5" fillId="4" borderId="5" xfId="1" applyFont="1" applyFill="1" applyBorder="1" applyAlignment="1" applyProtection="1">
      <alignment vertical="center"/>
      <protection locked="0" hidden="1"/>
    </xf>
    <xf numFmtId="0" fontId="3" fillId="4" borderId="1" xfId="1" applyFont="1" applyFill="1" applyBorder="1" applyAlignment="1" applyProtection="1">
      <alignment vertical="center"/>
      <protection locked="0" hidden="1"/>
    </xf>
    <xf numFmtId="0" fontId="4" fillId="3" borderId="0" xfId="1" applyFont="1" applyFill="1" applyAlignment="1" applyProtection="1">
      <alignment horizontal="center" vertical="center"/>
      <protection locked="0" hidden="1"/>
    </xf>
    <xf numFmtId="0" fontId="5" fillId="4" borderId="8" xfId="1" applyFont="1" applyFill="1" applyBorder="1" applyAlignment="1" applyProtection="1">
      <alignment vertical="center"/>
      <protection locked="0" hidden="1"/>
    </xf>
    <xf numFmtId="0" fontId="3" fillId="4" borderId="9" xfId="1" applyFont="1" applyFill="1" applyBorder="1" applyAlignment="1" applyProtection="1">
      <alignment vertical="center"/>
      <protection hidden="1"/>
    </xf>
    <xf numFmtId="0" fontId="3" fillId="4" borderId="10" xfId="1" applyFont="1" applyFill="1" applyBorder="1" applyAlignment="1" applyProtection="1">
      <alignment vertical="center"/>
      <protection hidden="1"/>
    </xf>
    <xf numFmtId="0" fontId="7" fillId="4" borderId="0" xfId="1" applyFont="1" applyFill="1" applyAlignment="1">
      <alignment horizontal="center" vertical="center"/>
    </xf>
    <xf numFmtId="0" fontId="7" fillId="4" borderId="0" xfId="1" applyFont="1" applyFill="1" applyAlignment="1">
      <alignment horizontal="left" vertical="center"/>
    </xf>
    <xf numFmtId="0" fontId="7" fillId="4" borderId="7" xfId="1" applyFont="1" applyFill="1" applyBorder="1" applyAlignment="1">
      <alignment horizontal="center" vertical="center"/>
    </xf>
    <xf numFmtId="0" fontId="7" fillId="4" borderId="7" xfId="1" applyFont="1" applyFill="1" applyBorder="1" applyAlignment="1">
      <alignment horizontal="left" vertical="center"/>
    </xf>
    <xf numFmtId="0" fontId="7" fillId="4" borderId="11" xfId="1" applyFont="1" applyFill="1" applyBorder="1" applyAlignment="1">
      <alignment horizontal="center" vertical="center"/>
    </xf>
    <xf numFmtId="0" fontId="7" fillId="4" borderId="12" xfId="1" applyFont="1" applyFill="1" applyBorder="1" applyAlignment="1">
      <alignment horizontal="center" vertical="center"/>
    </xf>
    <xf numFmtId="0" fontId="7" fillId="4" borderId="13" xfId="1" applyFont="1" applyFill="1" applyBorder="1" applyAlignment="1">
      <alignment horizontal="center" vertical="center"/>
    </xf>
    <xf numFmtId="0" fontId="7" fillId="4" borderId="14" xfId="1" applyFont="1" applyFill="1" applyBorder="1" applyAlignment="1">
      <alignment horizontal="center" vertical="center"/>
    </xf>
    <xf numFmtId="0" fontId="7" fillId="4" borderId="15" xfId="1" applyFont="1" applyFill="1" applyBorder="1" applyAlignment="1">
      <alignment horizontal="center" vertical="center"/>
    </xf>
    <xf numFmtId="0" fontId="7" fillId="4" borderId="16" xfId="1" applyFont="1" applyFill="1" applyBorder="1" applyAlignment="1">
      <alignment horizontal="center" vertical="center"/>
    </xf>
    <xf numFmtId="0" fontId="7" fillId="4" borderId="6" xfId="1" applyFont="1" applyFill="1" applyBorder="1" applyAlignment="1">
      <alignment horizontal="center" vertical="center"/>
    </xf>
    <xf numFmtId="0" fontId="7" fillId="4" borderId="17" xfId="1" applyFont="1" applyFill="1" applyBorder="1" applyAlignment="1">
      <alignment horizontal="center" vertical="center"/>
    </xf>
    <xf numFmtId="14" fontId="7" fillId="5" borderId="7" xfId="0" applyNumberFormat="1" applyFont="1" applyFill="1" applyBorder="1" applyAlignment="1">
      <alignment horizontal="center" vertical="center" wrapText="1"/>
    </xf>
    <xf numFmtId="0" fontId="7" fillId="5" borderId="19" xfId="0" applyFont="1" applyFill="1" applyBorder="1" applyAlignment="1">
      <alignment horizontal="right" vertical="top" wrapText="1"/>
    </xf>
    <xf numFmtId="0" fontId="7" fillId="5" borderId="18" xfId="0" applyFont="1" applyFill="1" applyBorder="1" applyAlignment="1">
      <alignment horizontal="left" wrapText="1"/>
    </xf>
    <xf numFmtId="0" fontId="7" fillId="4" borderId="7" xfId="1" applyFont="1" applyFill="1" applyBorder="1" applyAlignment="1">
      <alignment horizontal="center" vertical="center"/>
    </xf>
    <xf numFmtId="0" fontId="7" fillId="4" borderId="0" xfId="1" applyFont="1" applyFill="1" applyAlignment="1">
      <alignment horizontal="right" vertical="center"/>
    </xf>
    <xf numFmtId="0" fontId="7" fillId="4" borderId="0" xfId="1" applyFont="1" applyFill="1" applyAlignment="1">
      <alignment horizontal="left" vertical="center"/>
    </xf>
    <xf numFmtId="0" fontId="6" fillId="2" borderId="9" xfId="1" applyFont="1" applyFill="1" applyBorder="1" applyAlignment="1" applyProtection="1">
      <alignment horizontal="left" vertical="top" wrapText="1"/>
      <protection hidden="1"/>
    </xf>
    <xf numFmtId="0" fontId="7" fillId="4" borderId="0" xfId="1" applyFont="1" applyFill="1" applyAlignment="1">
      <alignment horizontal="center" vertical="center"/>
    </xf>
    <xf numFmtId="0" fontId="7" fillId="4" borderId="0" xfId="1" applyFont="1" applyFill="1" applyAlignment="1">
      <alignment horizontal="center" vertical="center" wrapText="1"/>
    </xf>
    <xf numFmtId="0" fontId="7" fillId="4" borderId="18" xfId="1" applyFont="1" applyFill="1" applyBorder="1" applyAlignment="1">
      <alignment horizontal="center" vertical="center"/>
    </xf>
    <xf numFmtId="0" fontId="7" fillId="4" borderId="19" xfId="1" applyFont="1" applyFill="1" applyBorder="1" applyAlignment="1">
      <alignment horizontal="center" vertical="center"/>
    </xf>
    <xf numFmtId="0" fontId="7" fillId="4" borderId="18" xfId="1" applyFont="1" applyFill="1" applyBorder="1" applyAlignment="1">
      <alignment horizontal="center" vertical="center" wrapText="1"/>
    </xf>
    <xf numFmtId="0" fontId="7" fillId="4" borderId="19" xfId="1" applyFont="1" applyFill="1" applyBorder="1" applyAlignment="1">
      <alignment horizontal="center" vertical="center" wrapText="1"/>
    </xf>
  </cellXfs>
  <cellStyles count="2">
    <cellStyle name="Обычный" xfId="0" builtinId="0"/>
    <cellStyle name="Обычный 11 2"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0</xdr:colOff>
      <xdr:row>6</xdr:row>
      <xdr:rowOff>0</xdr:rowOff>
    </xdr:from>
    <xdr:to>
      <xdr:col>5</xdr:col>
      <xdr:colOff>3464</xdr:colOff>
      <xdr:row>8</xdr:row>
      <xdr:rowOff>0</xdr:rowOff>
    </xdr:to>
    <xdr:cxnSp macro="">
      <xdr:nvCxnSpPr>
        <xdr:cNvPr id="2" name="Прямая соединительная линия 1">
          <a:extLst>
            <a:ext uri="{FF2B5EF4-FFF2-40B4-BE49-F238E27FC236}">
              <a16:creationId xmlns:a16="http://schemas.microsoft.com/office/drawing/2014/main" id="{2F6C521D-63B8-4D90-998A-9000281454EC}"/>
            </a:ext>
          </a:extLst>
        </xdr:cNvPr>
        <xdr:cNvCxnSpPr/>
      </xdr:nvCxnSpPr>
      <xdr:spPr>
        <a:xfrm flipH="1">
          <a:off x="4057650" y="1743075"/>
          <a:ext cx="317789" cy="465483"/>
        </a:xfrm>
        <a:prstGeom prst="line">
          <a:avLst/>
        </a:prstGeom>
        <a:ln w="3175">
          <a:solidFill>
            <a:schemeClr val="tx1"/>
          </a:solidFill>
          <a:miter lim="800000"/>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6</xdr:row>
      <xdr:rowOff>0</xdr:rowOff>
    </xdr:from>
    <xdr:to>
      <xdr:col>5</xdr:col>
      <xdr:colOff>3464</xdr:colOff>
      <xdr:row>8</xdr:row>
      <xdr:rowOff>8283</xdr:rowOff>
    </xdr:to>
    <xdr:cxnSp macro="">
      <xdr:nvCxnSpPr>
        <xdr:cNvPr id="2" name="Прямая соединительная линия 1">
          <a:extLst>
            <a:ext uri="{FF2B5EF4-FFF2-40B4-BE49-F238E27FC236}">
              <a16:creationId xmlns:a16="http://schemas.microsoft.com/office/drawing/2014/main" id="{37A70654-B778-46FC-BDF1-2E4EF96E21B9}"/>
            </a:ext>
          </a:extLst>
        </xdr:cNvPr>
        <xdr:cNvCxnSpPr/>
      </xdr:nvCxnSpPr>
      <xdr:spPr>
        <a:xfrm flipH="1">
          <a:off x="4057650" y="1743075"/>
          <a:ext cx="317789" cy="427383"/>
        </a:xfrm>
        <a:prstGeom prst="line">
          <a:avLst/>
        </a:prstGeom>
        <a:ln w="3175">
          <a:solidFill>
            <a:schemeClr val="tx1"/>
          </a:solidFill>
          <a:miter lim="800000"/>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pageSetUpPr fitToPage="1"/>
  </sheetPr>
  <dimension ref="A1:BH59"/>
  <sheetViews>
    <sheetView topLeftCell="A34" zoomScaleNormal="100" workbookViewId="0">
      <selection activeCell="F55" sqref="F55"/>
    </sheetView>
  </sheetViews>
  <sheetFormatPr defaultColWidth="0" defaultRowHeight="0" customHeight="1" zeroHeight="1" x14ac:dyDescent="0.25"/>
  <cols>
    <col min="1" max="2" width="2.7109375" style="3" customWidth="1"/>
    <col min="3" max="3" width="4.7109375" style="3" customWidth="1"/>
    <col min="4" max="4" width="50.7109375" style="3" customWidth="1"/>
    <col min="5" max="5" width="4.7109375" style="3" customWidth="1"/>
    <col min="6" max="6" width="15.7109375" style="3" customWidth="1"/>
    <col min="7" max="7" width="12.7109375" style="3" customWidth="1"/>
    <col min="8" max="9" width="2.7109375" style="3" customWidth="1"/>
    <col min="10" max="15" width="14.42578125" style="3" hidden="1" customWidth="1"/>
    <col min="16" max="16" width="14.85546875" style="3" hidden="1" customWidth="1"/>
    <col min="17" max="30" width="3.7109375" style="3" hidden="1" customWidth="1"/>
    <col min="31" max="60" width="5.7109375" style="3" hidden="1" customWidth="1"/>
    <col min="61" max="16384" width="14.42578125" style="3" hidden="1"/>
  </cols>
  <sheetData>
    <row r="1" spans="1:9" ht="159.94999999999999" customHeight="1" thickBot="1" x14ac:dyDescent="0.3">
      <c r="A1" s="1" t="s">
        <v>0</v>
      </c>
      <c r="B1" s="33" t="s">
        <v>8</v>
      </c>
      <c r="C1" s="33"/>
      <c r="D1" s="33"/>
      <c r="E1" s="33"/>
      <c r="F1" s="33"/>
      <c r="G1" s="33"/>
      <c r="H1" s="33"/>
      <c r="I1" s="2"/>
    </row>
    <row r="2" spans="1:9" ht="12" customHeight="1" x14ac:dyDescent="0.25">
      <c r="A2" s="4"/>
      <c r="B2" s="5"/>
      <c r="C2" s="6"/>
      <c r="D2" s="6"/>
      <c r="E2" s="6"/>
      <c r="F2" s="6"/>
      <c r="G2" s="6"/>
      <c r="H2" s="7"/>
      <c r="I2" s="8"/>
    </row>
    <row r="3" spans="1:9" s="11" customFormat="1" ht="20.100000000000001" customHeight="1" x14ac:dyDescent="0.25">
      <c r="A3" s="4"/>
      <c r="B3" s="9"/>
      <c r="C3" s="34" t="s">
        <v>48</v>
      </c>
      <c r="D3" s="34"/>
      <c r="E3" s="34"/>
      <c r="F3" s="34"/>
      <c r="G3" s="34"/>
      <c r="H3" s="10"/>
      <c r="I3" s="8"/>
    </row>
    <row r="4" spans="1:9" s="11" customFormat="1" ht="95.1" customHeight="1" x14ac:dyDescent="0.25">
      <c r="A4" s="4"/>
      <c r="B4" s="9"/>
      <c r="C4" s="35" t="s">
        <v>49</v>
      </c>
      <c r="D4" s="34"/>
      <c r="E4" s="34"/>
      <c r="F4" s="34"/>
      <c r="G4" s="34"/>
      <c r="H4" s="10"/>
      <c r="I4" s="8"/>
    </row>
    <row r="5" spans="1:9" s="11" customFormat="1" ht="20.100000000000001" customHeight="1" x14ac:dyDescent="0.25">
      <c r="A5" s="4"/>
      <c r="B5" s="9"/>
      <c r="C5" s="34" t="s">
        <v>1</v>
      </c>
      <c r="D5" s="34"/>
      <c r="E5" s="34"/>
      <c r="F5" s="34"/>
      <c r="G5" s="34"/>
      <c r="H5" s="10"/>
      <c r="I5" s="8"/>
    </row>
    <row r="6" spans="1:9" s="11" customFormat="1" ht="20.100000000000001" customHeight="1" x14ac:dyDescent="0.25">
      <c r="A6" s="4"/>
      <c r="B6" s="9"/>
      <c r="C6" s="34" t="s">
        <v>9</v>
      </c>
      <c r="D6" s="34"/>
      <c r="E6" s="34"/>
      <c r="F6" s="34"/>
      <c r="G6" s="34"/>
      <c r="H6" s="10"/>
      <c r="I6" s="8"/>
    </row>
    <row r="7" spans="1:9" s="11" customFormat="1" ht="18" customHeight="1" x14ac:dyDescent="0.3">
      <c r="A7" s="4"/>
      <c r="B7" s="9"/>
      <c r="C7" s="36" t="s">
        <v>2</v>
      </c>
      <c r="D7" s="36" t="s">
        <v>3</v>
      </c>
      <c r="E7" s="29" t="s">
        <v>6</v>
      </c>
      <c r="F7" s="38" t="s">
        <v>4</v>
      </c>
      <c r="G7" s="36" t="s">
        <v>5</v>
      </c>
      <c r="H7" s="10"/>
      <c r="I7" s="8"/>
    </row>
    <row r="8" spans="1:9" s="11" customFormat="1" ht="18" customHeight="1" x14ac:dyDescent="0.25">
      <c r="A8" s="4"/>
      <c r="B8" s="9"/>
      <c r="C8" s="37"/>
      <c r="D8" s="37"/>
      <c r="E8" s="28" t="s">
        <v>7</v>
      </c>
      <c r="F8" s="39"/>
      <c r="G8" s="37"/>
      <c r="H8" s="10"/>
      <c r="I8" s="8"/>
    </row>
    <row r="9" spans="1:9" s="11" customFormat="1" ht="20.100000000000001" customHeight="1" x14ac:dyDescent="0.25">
      <c r="A9" s="4"/>
      <c r="B9" s="9"/>
      <c r="C9" s="30" t="s">
        <v>50</v>
      </c>
      <c r="D9" s="30"/>
      <c r="E9" s="30"/>
      <c r="F9" s="30"/>
      <c r="G9" s="30"/>
      <c r="H9" s="10"/>
      <c r="I9" s="8"/>
    </row>
    <row r="10" spans="1:9" s="11" customFormat="1" ht="20.100000000000001" customHeight="1" x14ac:dyDescent="0.25">
      <c r="A10" s="4"/>
      <c r="B10" s="9"/>
      <c r="C10" s="17">
        <v>1</v>
      </c>
      <c r="D10" s="18" t="s">
        <v>10</v>
      </c>
      <c r="E10" s="17" t="s">
        <v>6</v>
      </c>
      <c r="F10" s="27">
        <v>40245</v>
      </c>
      <c r="G10" s="17"/>
      <c r="H10" s="10"/>
      <c r="I10" s="8"/>
    </row>
    <row r="11" spans="1:9" s="11" customFormat="1" ht="20.100000000000001" customHeight="1" x14ac:dyDescent="0.25">
      <c r="A11" s="4"/>
      <c r="B11" s="9"/>
      <c r="C11" s="17">
        <v>2</v>
      </c>
      <c r="D11" s="18" t="s">
        <v>11</v>
      </c>
      <c r="E11" s="17" t="s">
        <v>6</v>
      </c>
      <c r="F11" s="27">
        <v>39942</v>
      </c>
      <c r="G11" s="17"/>
      <c r="H11" s="10"/>
      <c r="I11" s="8"/>
    </row>
    <row r="12" spans="1:9" s="11" customFormat="1" ht="20.100000000000001" customHeight="1" x14ac:dyDescent="0.25">
      <c r="A12" s="4"/>
      <c r="B12" s="9"/>
      <c r="C12" s="17">
        <v>3</v>
      </c>
      <c r="D12" s="18" t="s">
        <v>12</v>
      </c>
      <c r="E12" s="17" t="s">
        <v>6</v>
      </c>
      <c r="F12" s="27">
        <v>40290</v>
      </c>
      <c r="G12" s="17"/>
      <c r="H12" s="10"/>
      <c r="I12" s="8"/>
    </row>
    <row r="13" spans="1:9" s="11" customFormat="1" ht="20.100000000000001" customHeight="1" x14ac:dyDescent="0.25">
      <c r="A13" s="4"/>
      <c r="B13" s="9"/>
      <c r="C13" s="17">
        <v>4</v>
      </c>
      <c r="D13" s="18" t="s">
        <v>13</v>
      </c>
      <c r="E13" s="17" t="s">
        <v>6</v>
      </c>
      <c r="F13" s="27">
        <v>40220</v>
      </c>
      <c r="G13" s="17"/>
      <c r="H13" s="10"/>
      <c r="I13" s="8"/>
    </row>
    <row r="14" spans="1:9" s="11" customFormat="1" ht="20.100000000000001" customHeight="1" x14ac:dyDescent="0.25">
      <c r="A14" s="4"/>
      <c r="B14" s="9"/>
      <c r="C14" s="17">
        <v>5</v>
      </c>
      <c r="D14" s="18" t="s">
        <v>14</v>
      </c>
      <c r="E14" s="17" t="s">
        <v>6</v>
      </c>
      <c r="F14" s="27">
        <v>40346</v>
      </c>
      <c r="G14" s="17"/>
      <c r="H14" s="10"/>
      <c r="I14" s="8"/>
    </row>
    <row r="15" spans="1:9" s="11" customFormat="1" ht="20.100000000000001" customHeight="1" x14ac:dyDescent="0.25">
      <c r="A15" s="4"/>
      <c r="B15" s="9"/>
      <c r="C15" s="17">
        <v>6</v>
      </c>
      <c r="D15" s="18" t="s">
        <v>15</v>
      </c>
      <c r="E15" s="17" t="s">
        <v>7</v>
      </c>
      <c r="F15" s="27">
        <v>40068</v>
      </c>
      <c r="G15" s="17"/>
      <c r="H15" s="10"/>
      <c r="I15" s="8"/>
    </row>
    <row r="16" spans="1:9" s="11" customFormat="1" ht="20.100000000000001" customHeight="1" x14ac:dyDescent="0.25">
      <c r="A16" s="4"/>
      <c r="B16" s="9"/>
      <c r="C16" s="17">
        <v>7</v>
      </c>
      <c r="D16" s="18" t="s">
        <v>16</v>
      </c>
      <c r="E16" s="17" t="s">
        <v>6</v>
      </c>
      <c r="F16" s="27">
        <v>40418</v>
      </c>
      <c r="G16" s="17"/>
      <c r="H16" s="10"/>
      <c r="I16" s="8"/>
    </row>
    <row r="17" spans="1:9" s="11" customFormat="1" ht="20.100000000000001" customHeight="1" x14ac:dyDescent="0.25">
      <c r="A17" s="4"/>
      <c r="B17" s="9"/>
      <c r="C17" s="17">
        <v>8</v>
      </c>
      <c r="D17" s="18" t="s">
        <v>17</v>
      </c>
      <c r="E17" s="17" t="s">
        <v>6</v>
      </c>
      <c r="F17" s="27">
        <v>40296</v>
      </c>
      <c r="G17" s="17"/>
      <c r="H17" s="10"/>
      <c r="I17" s="8"/>
    </row>
    <row r="18" spans="1:9" s="11" customFormat="1" ht="20.100000000000001" customHeight="1" x14ac:dyDescent="0.25">
      <c r="A18" s="4"/>
      <c r="B18" s="9"/>
      <c r="C18" s="17">
        <v>9</v>
      </c>
      <c r="D18" s="18" t="s">
        <v>18</v>
      </c>
      <c r="E18" s="17" t="s">
        <v>6</v>
      </c>
      <c r="F18" s="27">
        <v>40066</v>
      </c>
      <c r="G18" s="17"/>
      <c r="H18" s="10"/>
      <c r="I18" s="8"/>
    </row>
    <row r="19" spans="1:9" s="11" customFormat="1" ht="20.100000000000001" customHeight="1" x14ac:dyDescent="0.25">
      <c r="A19" s="4"/>
      <c r="B19" s="9"/>
      <c r="C19" s="17">
        <v>10</v>
      </c>
      <c r="D19" s="18" t="s">
        <v>19</v>
      </c>
      <c r="E19" s="17" t="s">
        <v>6</v>
      </c>
      <c r="F19" s="27">
        <v>40165</v>
      </c>
      <c r="G19" s="17" t="s">
        <v>30</v>
      </c>
      <c r="H19" s="10"/>
      <c r="I19" s="8"/>
    </row>
    <row r="20" spans="1:9" s="11" customFormat="1" ht="20.100000000000001" customHeight="1" x14ac:dyDescent="0.25">
      <c r="A20" s="4"/>
      <c r="B20" s="9"/>
      <c r="C20" s="17">
        <v>11</v>
      </c>
      <c r="D20" s="18" t="s">
        <v>20</v>
      </c>
      <c r="E20" s="17" t="s">
        <v>7</v>
      </c>
      <c r="F20" s="27">
        <v>40086</v>
      </c>
      <c r="G20" s="17"/>
      <c r="H20" s="10"/>
      <c r="I20" s="8"/>
    </row>
    <row r="21" spans="1:9" s="11" customFormat="1" ht="20.100000000000001" customHeight="1" x14ac:dyDescent="0.25">
      <c r="A21" s="4"/>
      <c r="B21" s="9"/>
      <c r="C21" s="17">
        <v>12</v>
      </c>
      <c r="D21" s="18" t="s">
        <v>21</v>
      </c>
      <c r="E21" s="17" t="s">
        <v>6</v>
      </c>
      <c r="F21" s="27">
        <v>40341</v>
      </c>
      <c r="G21" s="17"/>
      <c r="H21" s="10"/>
      <c r="I21" s="8"/>
    </row>
    <row r="22" spans="1:9" s="11" customFormat="1" ht="20.100000000000001" customHeight="1" x14ac:dyDescent="0.25">
      <c r="A22" s="4"/>
      <c r="B22" s="9"/>
      <c r="C22" s="17">
        <v>13</v>
      </c>
      <c r="D22" s="18" t="s">
        <v>22</v>
      </c>
      <c r="E22" s="17" t="s">
        <v>6</v>
      </c>
      <c r="F22" s="27">
        <v>40160</v>
      </c>
      <c r="G22" s="17"/>
      <c r="H22" s="10"/>
      <c r="I22" s="8"/>
    </row>
    <row r="23" spans="1:9" s="11" customFormat="1" ht="20.100000000000001" customHeight="1" x14ac:dyDescent="0.25">
      <c r="A23" s="4"/>
      <c r="B23" s="9"/>
      <c r="C23" s="17">
        <v>14</v>
      </c>
      <c r="D23" s="18" t="s">
        <v>23</v>
      </c>
      <c r="E23" s="17" t="s">
        <v>6</v>
      </c>
      <c r="F23" s="27">
        <v>40055</v>
      </c>
      <c r="G23" s="17" t="s">
        <v>30</v>
      </c>
      <c r="H23" s="10"/>
      <c r="I23" s="8"/>
    </row>
    <row r="24" spans="1:9" s="11" customFormat="1" ht="20.100000000000001" customHeight="1" x14ac:dyDescent="0.25">
      <c r="A24" s="4"/>
      <c r="B24" s="9"/>
      <c r="C24" s="17">
        <v>15</v>
      </c>
      <c r="D24" s="18" t="s">
        <v>24</v>
      </c>
      <c r="E24" s="17" t="s">
        <v>7</v>
      </c>
      <c r="F24" s="27">
        <v>39975</v>
      </c>
      <c r="G24" s="17"/>
      <c r="H24" s="10"/>
      <c r="I24" s="8"/>
    </row>
    <row r="25" spans="1:9" s="11" customFormat="1" ht="20.100000000000001" customHeight="1" x14ac:dyDescent="0.25">
      <c r="A25" s="4"/>
      <c r="B25" s="9"/>
      <c r="C25" s="17">
        <v>16</v>
      </c>
      <c r="D25" s="18" t="s">
        <v>25</v>
      </c>
      <c r="E25" s="17" t="s">
        <v>6</v>
      </c>
      <c r="F25" s="27">
        <v>40057</v>
      </c>
      <c r="G25" s="17"/>
      <c r="H25" s="10"/>
      <c r="I25" s="8"/>
    </row>
    <row r="26" spans="1:9" s="11" customFormat="1" ht="20.100000000000001" customHeight="1" x14ac:dyDescent="0.25">
      <c r="A26" s="4"/>
      <c r="B26" s="9"/>
      <c r="C26" s="17">
        <v>17</v>
      </c>
      <c r="D26" s="18" t="s">
        <v>26</v>
      </c>
      <c r="E26" s="17" t="s">
        <v>7</v>
      </c>
      <c r="F26" s="27">
        <v>40059</v>
      </c>
      <c r="G26" s="17"/>
      <c r="H26" s="10"/>
      <c r="I26" s="8"/>
    </row>
    <row r="27" spans="1:9" s="11" customFormat="1" ht="20.100000000000001" customHeight="1" x14ac:dyDescent="0.25">
      <c r="A27" s="4"/>
      <c r="B27" s="9"/>
      <c r="C27" s="17">
        <v>18</v>
      </c>
      <c r="D27" s="18" t="s">
        <v>27</v>
      </c>
      <c r="E27" s="17" t="s">
        <v>6</v>
      </c>
      <c r="F27" s="27">
        <v>39944</v>
      </c>
      <c r="G27" s="17"/>
      <c r="H27" s="10"/>
      <c r="I27" s="8"/>
    </row>
    <row r="28" spans="1:9" s="11" customFormat="1" ht="20.100000000000001" customHeight="1" x14ac:dyDescent="0.25">
      <c r="A28" s="4"/>
      <c r="B28" s="9"/>
      <c r="C28" s="17">
        <v>19</v>
      </c>
      <c r="D28" s="18" t="s">
        <v>28</v>
      </c>
      <c r="E28" s="17" t="s">
        <v>6</v>
      </c>
      <c r="F28" s="27">
        <v>40400</v>
      </c>
      <c r="G28" s="17"/>
      <c r="H28" s="10"/>
      <c r="I28" s="8"/>
    </row>
    <row r="29" spans="1:9" s="11" customFormat="1" ht="20.100000000000001" customHeight="1" x14ac:dyDescent="0.25">
      <c r="A29" s="4"/>
      <c r="B29" s="9"/>
      <c r="C29" s="17">
        <v>20</v>
      </c>
      <c r="D29" s="18" t="s">
        <v>29</v>
      </c>
      <c r="E29" s="17" t="s">
        <v>6</v>
      </c>
      <c r="F29" s="27">
        <v>40246</v>
      </c>
      <c r="G29" s="17"/>
      <c r="H29" s="10"/>
      <c r="I29" s="8"/>
    </row>
    <row r="30" spans="1:9" s="11" customFormat="1" ht="20.100000000000001" customHeight="1" x14ac:dyDescent="0.25">
      <c r="A30" s="4"/>
      <c r="B30" s="9"/>
      <c r="C30" s="30" t="s">
        <v>54</v>
      </c>
      <c r="D30" s="30"/>
      <c r="E30" s="30"/>
      <c r="F30" s="30"/>
      <c r="G30" s="30"/>
      <c r="H30" s="10"/>
      <c r="I30" s="8"/>
    </row>
    <row r="31" spans="1:9" s="11" customFormat="1" ht="20.100000000000001" customHeight="1" x14ac:dyDescent="0.25">
      <c r="A31" s="4"/>
      <c r="B31" s="9"/>
      <c r="C31" s="17">
        <v>21</v>
      </c>
      <c r="D31" s="18" t="s">
        <v>35</v>
      </c>
      <c r="E31" s="17" t="s">
        <v>7</v>
      </c>
      <c r="F31" s="27">
        <v>28964</v>
      </c>
      <c r="G31" s="17"/>
      <c r="H31" s="10"/>
      <c r="I31" s="8"/>
    </row>
    <row r="32" spans="1:9" s="11" customFormat="1" ht="20.100000000000001" customHeight="1" x14ac:dyDescent="0.25">
      <c r="A32" s="4"/>
      <c r="B32" s="9"/>
      <c r="C32" s="17">
        <v>22</v>
      </c>
      <c r="D32" s="18" t="s">
        <v>36</v>
      </c>
      <c r="E32" s="17" t="s">
        <v>7</v>
      </c>
      <c r="F32" s="27">
        <v>37547</v>
      </c>
      <c r="G32" s="17"/>
      <c r="H32" s="10"/>
      <c r="I32" s="8"/>
    </row>
    <row r="33" spans="1:9" s="11" customFormat="1" ht="20.100000000000001" customHeight="1" x14ac:dyDescent="0.25">
      <c r="A33" s="4"/>
      <c r="B33" s="9"/>
      <c r="C33" s="17">
        <v>23</v>
      </c>
      <c r="D33" s="18" t="s">
        <v>37</v>
      </c>
      <c r="E33" s="17" t="s">
        <v>7</v>
      </c>
      <c r="F33" s="27">
        <v>29882</v>
      </c>
      <c r="G33" s="17"/>
      <c r="H33" s="10"/>
      <c r="I33" s="8"/>
    </row>
    <row r="34" spans="1:9" s="11" customFormat="1" ht="20.100000000000001" customHeight="1" x14ac:dyDescent="0.25">
      <c r="A34" s="4"/>
      <c r="B34" s="9"/>
      <c r="C34" s="17">
        <v>24</v>
      </c>
      <c r="D34" s="18" t="s">
        <v>38</v>
      </c>
      <c r="E34" s="17" t="s">
        <v>7</v>
      </c>
      <c r="F34" s="27">
        <v>25471</v>
      </c>
      <c r="G34" s="17"/>
      <c r="H34" s="10"/>
      <c r="I34" s="8"/>
    </row>
    <row r="35" spans="1:9" s="11" customFormat="1" ht="20.100000000000001" customHeight="1" x14ac:dyDescent="0.25">
      <c r="A35" s="4"/>
      <c r="B35" s="9"/>
      <c r="C35" s="17">
        <v>25</v>
      </c>
      <c r="D35" s="18" t="s">
        <v>39</v>
      </c>
      <c r="E35" s="17" t="s">
        <v>7</v>
      </c>
      <c r="F35" s="27">
        <v>29416</v>
      </c>
      <c r="G35" s="17"/>
      <c r="H35" s="10"/>
      <c r="I35" s="8"/>
    </row>
    <row r="36" spans="1:9" s="11" customFormat="1" ht="20.100000000000001" customHeight="1" x14ac:dyDescent="0.25">
      <c r="A36" s="4"/>
      <c r="B36" s="9"/>
      <c r="C36" s="17">
        <v>26</v>
      </c>
      <c r="D36" s="18" t="s">
        <v>40</v>
      </c>
      <c r="E36" s="17" t="s">
        <v>7</v>
      </c>
      <c r="F36" s="27">
        <v>32150</v>
      </c>
      <c r="G36" s="17"/>
      <c r="H36" s="10"/>
      <c r="I36" s="8"/>
    </row>
    <row r="37" spans="1:9" s="11" customFormat="1" ht="20.100000000000001" customHeight="1" x14ac:dyDescent="0.25">
      <c r="A37" s="4"/>
      <c r="B37" s="9"/>
      <c r="C37" s="17">
        <v>27</v>
      </c>
      <c r="D37" s="18" t="s">
        <v>41</v>
      </c>
      <c r="E37" s="17" t="s">
        <v>7</v>
      </c>
      <c r="F37" s="27">
        <v>32417</v>
      </c>
      <c r="G37" s="17"/>
      <c r="H37" s="10"/>
      <c r="I37" s="8"/>
    </row>
    <row r="38" spans="1:9" s="11" customFormat="1" ht="20.100000000000001" customHeight="1" x14ac:dyDescent="0.25">
      <c r="A38" s="4"/>
      <c r="B38" s="9"/>
      <c r="C38" s="17">
        <v>28</v>
      </c>
      <c r="D38" s="18" t="s">
        <v>42</v>
      </c>
      <c r="E38" s="17" t="s">
        <v>7</v>
      </c>
      <c r="F38" s="27">
        <v>29045</v>
      </c>
      <c r="G38" s="17"/>
      <c r="H38" s="10"/>
      <c r="I38" s="8"/>
    </row>
    <row r="39" spans="1:9" s="11" customFormat="1" ht="20.100000000000001" customHeight="1" x14ac:dyDescent="0.25">
      <c r="A39" s="4"/>
      <c r="B39" s="9"/>
      <c r="C39" s="17">
        <v>29</v>
      </c>
      <c r="D39" s="18" t="s">
        <v>43</v>
      </c>
      <c r="E39" s="17" t="s">
        <v>7</v>
      </c>
      <c r="F39" s="27">
        <v>31743</v>
      </c>
      <c r="G39" s="17"/>
      <c r="H39" s="10"/>
      <c r="I39" s="8"/>
    </row>
    <row r="40" spans="1:9" s="11" customFormat="1" ht="20.100000000000001" customHeight="1" x14ac:dyDescent="0.25">
      <c r="A40" s="4"/>
      <c r="B40" s="9"/>
      <c r="C40" s="17">
        <v>30</v>
      </c>
      <c r="D40" s="18" t="s">
        <v>44</v>
      </c>
      <c r="E40" s="17" t="s">
        <v>7</v>
      </c>
      <c r="F40" s="27">
        <v>28236</v>
      </c>
      <c r="G40" s="17"/>
      <c r="H40" s="10"/>
      <c r="I40" s="8"/>
    </row>
    <row r="41" spans="1:9" s="11" customFormat="1" ht="20.100000000000001" customHeight="1" x14ac:dyDescent="0.25">
      <c r="A41" s="4"/>
      <c r="B41" s="9"/>
      <c r="C41" s="17">
        <v>31</v>
      </c>
      <c r="D41" s="18" t="s">
        <v>45</v>
      </c>
      <c r="E41" s="17" t="s">
        <v>7</v>
      </c>
      <c r="F41" s="27">
        <v>27897</v>
      </c>
      <c r="G41" s="17"/>
      <c r="H41" s="10"/>
      <c r="I41" s="8"/>
    </row>
    <row r="42" spans="1:9" s="11" customFormat="1" ht="20.100000000000001" customHeight="1" x14ac:dyDescent="0.25">
      <c r="A42" s="4"/>
      <c r="B42" s="9"/>
      <c r="C42" s="17">
        <v>32</v>
      </c>
      <c r="D42" s="18" t="s">
        <v>46</v>
      </c>
      <c r="E42" s="17" t="s">
        <v>7</v>
      </c>
      <c r="F42" s="27">
        <v>36506</v>
      </c>
      <c r="G42" s="17"/>
      <c r="H42" s="10"/>
      <c r="I42" s="8"/>
    </row>
    <row r="43" spans="1:9" s="11" customFormat="1" ht="20.100000000000001" customHeight="1" x14ac:dyDescent="0.25">
      <c r="A43" s="4"/>
      <c r="B43" s="9"/>
      <c r="C43" s="17">
        <v>33</v>
      </c>
      <c r="D43" s="18" t="s">
        <v>47</v>
      </c>
      <c r="E43" s="17" t="s">
        <v>7</v>
      </c>
      <c r="F43" s="27">
        <v>27714</v>
      </c>
      <c r="G43" s="17"/>
      <c r="H43" s="10"/>
      <c r="I43" s="8"/>
    </row>
    <row r="44" spans="1:9" s="11" customFormat="1" ht="20.100000000000001" customHeight="1" x14ac:dyDescent="0.25">
      <c r="A44" s="4"/>
      <c r="B44" s="9"/>
      <c r="C44" s="30" t="s">
        <v>51</v>
      </c>
      <c r="D44" s="30"/>
      <c r="E44" s="30"/>
      <c r="F44" s="30"/>
      <c r="G44" s="30"/>
      <c r="H44" s="10"/>
      <c r="I44" s="8"/>
    </row>
    <row r="45" spans="1:9" s="11" customFormat="1" ht="20.100000000000001" customHeight="1" x14ac:dyDescent="0.25">
      <c r="A45" s="4"/>
      <c r="B45" s="9"/>
      <c r="C45" s="17">
        <v>34</v>
      </c>
      <c r="D45" s="18" t="s">
        <v>31</v>
      </c>
      <c r="E45" s="17" t="s">
        <v>7</v>
      </c>
      <c r="F45" s="27"/>
      <c r="G45" s="17"/>
      <c r="H45" s="10"/>
      <c r="I45" s="8"/>
    </row>
    <row r="46" spans="1:9" s="11" customFormat="1" ht="20.100000000000001" customHeight="1" x14ac:dyDescent="0.25">
      <c r="A46" s="4"/>
      <c r="B46" s="9"/>
      <c r="C46" s="30" t="s">
        <v>52</v>
      </c>
      <c r="D46" s="30"/>
      <c r="E46" s="30"/>
      <c r="F46" s="30"/>
      <c r="G46" s="30"/>
      <c r="H46" s="10"/>
      <c r="I46" s="8"/>
    </row>
    <row r="47" spans="1:9" s="11" customFormat="1" ht="20.100000000000001" customHeight="1" x14ac:dyDescent="0.25">
      <c r="A47" s="4"/>
      <c r="B47" s="9"/>
      <c r="C47" s="17">
        <v>35</v>
      </c>
      <c r="D47" s="18" t="s">
        <v>32</v>
      </c>
      <c r="E47" s="17" t="s">
        <v>7</v>
      </c>
      <c r="F47" s="27">
        <v>39898</v>
      </c>
      <c r="G47" s="17"/>
      <c r="H47" s="10"/>
      <c r="I47" s="8"/>
    </row>
    <row r="48" spans="1:9" s="11" customFormat="1" ht="20.100000000000001" customHeight="1" x14ac:dyDescent="0.25">
      <c r="A48" s="4"/>
      <c r="B48" s="9"/>
      <c r="C48" s="30" t="s">
        <v>53</v>
      </c>
      <c r="D48" s="30"/>
      <c r="E48" s="30"/>
      <c r="F48" s="30"/>
      <c r="G48" s="30"/>
      <c r="H48" s="10"/>
      <c r="I48" s="8"/>
    </row>
    <row r="49" spans="1:9" s="11" customFormat="1" ht="20.100000000000001" customHeight="1" x14ac:dyDescent="0.25">
      <c r="A49" s="4"/>
      <c r="B49" s="9"/>
      <c r="C49" s="17">
        <v>36</v>
      </c>
      <c r="D49" s="18" t="s">
        <v>33</v>
      </c>
      <c r="E49" s="17" t="s">
        <v>7</v>
      </c>
      <c r="F49" s="27">
        <v>26625</v>
      </c>
      <c r="G49" s="17"/>
      <c r="H49" s="10"/>
      <c r="I49" s="8"/>
    </row>
    <row r="50" spans="1:9" s="11" customFormat="1" ht="20.100000000000001" customHeight="1" x14ac:dyDescent="0.25">
      <c r="A50" s="4"/>
      <c r="B50" s="9"/>
      <c r="C50" s="17">
        <v>37</v>
      </c>
      <c r="D50" s="18" t="s">
        <v>34</v>
      </c>
      <c r="E50" s="17" t="s">
        <v>7</v>
      </c>
      <c r="F50" s="27"/>
      <c r="G50" s="17"/>
      <c r="H50" s="10"/>
      <c r="I50" s="8"/>
    </row>
    <row r="51" spans="1:9" s="11" customFormat="1" ht="9.9499999999999993" customHeight="1" x14ac:dyDescent="0.25">
      <c r="A51" s="4"/>
      <c r="B51" s="9"/>
      <c r="C51" s="19"/>
      <c r="D51" s="20"/>
      <c r="E51" s="20"/>
      <c r="F51" s="20"/>
      <c r="G51" s="21"/>
      <c r="H51" s="10"/>
      <c r="I51" s="8"/>
    </row>
    <row r="52" spans="1:9" s="11" customFormat="1" ht="20.100000000000001" customHeight="1" x14ac:dyDescent="0.25">
      <c r="A52" s="4"/>
      <c r="B52" s="9"/>
      <c r="C52" s="22"/>
      <c r="D52" s="32" t="s">
        <v>55</v>
      </c>
      <c r="E52" s="32"/>
      <c r="F52" s="32"/>
      <c r="G52" s="23"/>
      <c r="H52" s="10"/>
      <c r="I52" s="8"/>
    </row>
    <row r="53" spans="1:9" s="11" customFormat="1" ht="9.9499999999999993" customHeight="1" x14ac:dyDescent="0.25">
      <c r="A53" s="4"/>
      <c r="B53" s="9"/>
      <c r="C53" s="22"/>
      <c r="D53" s="15"/>
      <c r="E53" s="15"/>
      <c r="F53" s="15"/>
      <c r="G53" s="23"/>
      <c r="H53" s="10"/>
      <c r="I53" s="8"/>
    </row>
    <row r="54" spans="1:9" s="11" customFormat="1" ht="20.100000000000001" customHeight="1" x14ac:dyDescent="0.25">
      <c r="A54" s="4"/>
      <c r="B54" s="9"/>
      <c r="C54" s="22"/>
      <c r="D54" s="31" t="str">
        <f>IF(COUNTBLANK(C10:C50)&gt;0,"Очікую","Всього " &amp; COUNT(C10:C50) &amp; " студентів(а):")</f>
        <v>Всього 37 студентів(а):</v>
      </c>
      <c r="E54" s="31"/>
      <c r="F54" s="16" t="str">
        <f>IF(D54="Очікую","Очікую","на контракті "&amp;COUNTIF(E10:E50,"=К"))</f>
        <v>на контракті 21</v>
      </c>
      <c r="G54" s="23"/>
      <c r="H54" s="10"/>
      <c r="I54" s="8"/>
    </row>
    <row r="55" spans="1:9" s="11" customFormat="1" ht="9.9499999999999993" customHeight="1" x14ac:dyDescent="0.25">
      <c r="A55" s="4"/>
      <c r="B55" s="9"/>
      <c r="C55" s="22"/>
      <c r="D55" s="15"/>
      <c r="E55" s="15"/>
      <c r="F55" s="15"/>
      <c r="G55" s="23"/>
      <c r="H55" s="10"/>
      <c r="I55" s="8"/>
    </row>
    <row r="56" spans="1:9" s="11" customFormat="1" ht="20.100000000000001" customHeight="1" x14ac:dyDescent="0.25">
      <c r="A56" s="4"/>
      <c r="B56" s="9"/>
      <c r="C56" s="22"/>
      <c r="D56" s="15"/>
      <c r="E56" s="15"/>
      <c r="F56" s="16" t="str">
        <f>IF(D54="Очікую","Очікую","на бюджеті "&amp;COUNTIF(E10:E50,"=Б"))</f>
        <v>на бюджеті 16</v>
      </c>
      <c r="G56" s="23"/>
      <c r="H56" s="10"/>
      <c r="I56" s="8"/>
    </row>
    <row r="57" spans="1:9" s="11" customFormat="1" ht="9.9499999999999993" customHeight="1" x14ac:dyDescent="0.25">
      <c r="A57" s="4"/>
      <c r="B57" s="9"/>
      <c r="C57" s="24"/>
      <c r="D57" s="25"/>
      <c r="E57" s="25"/>
      <c r="F57" s="25"/>
      <c r="G57" s="26"/>
      <c r="H57" s="10"/>
      <c r="I57" s="8"/>
    </row>
    <row r="58" spans="1:9" ht="12" customHeight="1" thickBot="1" x14ac:dyDescent="0.3">
      <c r="A58" s="4"/>
      <c r="B58" s="12"/>
      <c r="C58" s="13"/>
      <c r="D58" s="13"/>
      <c r="E58" s="13"/>
      <c r="F58" s="13"/>
      <c r="G58" s="13"/>
      <c r="H58" s="14"/>
      <c r="I58" s="8"/>
    </row>
    <row r="59" spans="1:9" ht="12" customHeight="1" x14ac:dyDescent="0.25">
      <c r="A59" s="2"/>
      <c r="B59" s="2"/>
      <c r="C59" s="2"/>
      <c r="D59" s="2"/>
      <c r="E59" s="2"/>
      <c r="F59" s="2"/>
      <c r="G59" s="2"/>
      <c r="H59" s="2"/>
      <c r="I59" s="8"/>
    </row>
  </sheetData>
  <sheetProtection insertRows="0" deleteRows="0"/>
  <mergeCells count="16">
    <mergeCell ref="B1:H1"/>
    <mergeCell ref="C9:G9"/>
    <mergeCell ref="C3:G3"/>
    <mergeCell ref="C4:G4"/>
    <mergeCell ref="C5:G5"/>
    <mergeCell ref="C6:G6"/>
    <mergeCell ref="C7:C8"/>
    <mergeCell ref="D7:D8"/>
    <mergeCell ref="F7:F8"/>
    <mergeCell ref="G7:G8"/>
    <mergeCell ref="C30:G30"/>
    <mergeCell ref="D54:E54"/>
    <mergeCell ref="C48:G48"/>
    <mergeCell ref="C46:G46"/>
    <mergeCell ref="C44:G44"/>
    <mergeCell ref="D52:F52"/>
  </mergeCells>
  <printOptions horizontalCentered="1"/>
  <pageMargins left="0.19685039370078741" right="0.19685039370078741" top="0.19685039370078741" bottom="0.19685039370078741"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pageSetUpPr fitToPage="1"/>
  </sheetPr>
  <dimension ref="A1:BH47"/>
  <sheetViews>
    <sheetView tabSelected="1" zoomScaleNormal="100" workbookViewId="0"/>
  </sheetViews>
  <sheetFormatPr defaultColWidth="0" defaultRowHeight="0" customHeight="1" zeroHeight="1" x14ac:dyDescent="0.25"/>
  <cols>
    <col min="1" max="2" width="2.7109375" style="3" customWidth="1"/>
    <col min="3" max="3" width="4.7109375" style="3" customWidth="1"/>
    <col min="4" max="4" width="50.7109375" style="3" customWidth="1"/>
    <col min="5" max="5" width="4.7109375" style="3" customWidth="1"/>
    <col min="6" max="6" width="15.7109375" style="3" customWidth="1"/>
    <col min="7" max="7" width="12.7109375" style="3" customWidth="1"/>
    <col min="8" max="9" width="2.7109375" style="3" customWidth="1"/>
    <col min="10" max="15" width="14.42578125" style="3" hidden="1" customWidth="1"/>
    <col min="16" max="16" width="14.85546875" style="3" hidden="1" customWidth="1"/>
    <col min="17" max="30" width="3.7109375" style="3" hidden="1" customWidth="1"/>
    <col min="31" max="60" width="5.7109375" style="3" hidden="1" customWidth="1"/>
    <col min="61" max="16384" width="14.42578125" style="3" hidden="1"/>
  </cols>
  <sheetData>
    <row r="1" spans="1:9" ht="12" customHeight="1" thickBot="1" x14ac:dyDescent="0.3">
      <c r="A1" s="1" t="s">
        <v>0</v>
      </c>
      <c r="B1" s="2"/>
      <c r="C1" s="2"/>
      <c r="D1" s="2"/>
      <c r="E1" s="2"/>
      <c r="F1" s="2"/>
      <c r="G1" s="2"/>
      <c r="H1" s="2"/>
      <c r="I1" s="2"/>
    </row>
    <row r="2" spans="1:9" ht="12" customHeight="1" x14ac:dyDescent="0.25">
      <c r="A2" s="4"/>
      <c r="B2" s="5"/>
      <c r="C2" s="6"/>
      <c r="D2" s="6"/>
      <c r="E2" s="6"/>
      <c r="F2" s="6"/>
      <c r="G2" s="6"/>
      <c r="H2" s="7"/>
      <c r="I2" s="8"/>
    </row>
    <row r="3" spans="1:9" s="11" customFormat="1" ht="20.100000000000001" customHeight="1" x14ac:dyDescent="0.25">
      <c r="A3" s="4"/>
      <c r="B3" s="9"/>
      <c r="C3" s="34" t="s">
        <v>56</v>
      </c>
      <c r="D3" s="34"/>
      <c r="E3" s="34"/>
      <c r="F3" s="34"/>
      <c r="G3" s="34"/>
      <c r="H3" s="10"/>
      <c r="I3" s="8"/>
    </row>
    <row r="4" spans="1:9" s="11" customFormat="1" ht="54.95" customHeight="1" x14ac:dyDescent="0.25">
      <c r="A4" s="4"/>
      <c r="B4" s="9"/>
      <c r="C4" s="35" t="s">
        <v>57</v>
      </c>
      <c r="D4" s="34"/>
      <c r="E4" s="34"/>
      <c r="F4" s="34"/>
      <c r="G4" s="34"/>
      <c r="H4" s="10"/>
      <c r="I4" s="8"/>
    </row>
    <row r="5" spans="1:9" s="11" customFormat="1" ht="20.100000000000001" customHeight="1" x14ac:dyDescent="0.25">
      <c r="A5" s="4"/>
      <c r="B5" s="9"/>
      <c r="C5" s="34" t="s">
        <v>1</v>
      </c>
      <c r="D5" s="34"/>
      <c r="E5" s="34"/>
      <c r="F5" s="34"/>
      <c r="G5" s="34"/>
      <c r="H5" s="10"/>
      <c r="I5" s="8"/>
    </row>
    <row r="6" spans="1:9" s="11" customFormat="1" ht="20.100000000000001" customHeight="1" x14ac:dyDescent="0.25">
      <c r="A6" s="4"/>
      <c r="B6" s="9"/>
      <c r="C6" s="34" t="s">
        <v>58</v>
      </c>
      <c r="D6" s="34"/>
      <c r="E6" s="34"/>
      <c r="F6" s="34"/>
      <c r="G6" s="34"/>
      <c r="H6" s="10"/>
      <c r="I6" s="8"/>
    </row>
    <row r="7" spans="1:9" s="11" customFormat="1" ht="18" customHeight="1" x14ac:dyDescent="0.3">
      <c r="A7" s="4"/>
      <c r="B7" s="9"/>
      <c r="C7" s="36" t="s">
        <v>2</v>
      </c>
      <c r="D7" s="36" t="s">
        <v>3</v>
      </c>
      <c r="E7" s="29" t="s">
        <v>6</v>
      </c>
      <c r="F7" s="38" t="s">
        <v>4</v>
      </c>
      <c r="G7" s="36" t="s">
        <v>5</v>
      </c>
      <c r="H7" s="10"/>
      <c r="I7" s="8"/>
    </row>
    <row r="8" spans="1:9" s="11" customFormat="1" ht="18" customHeight="1" x14ac:dyDescent="0.25">
      <c r="A8" s="4"/>
      <c r="B8" s="9"/>
      <c r="C8" s="37"/>
      <c r="D8" s="37"/>
      <c r="E8" s="28" t="s">
        <v>7</v>
      </c>
      <c r="F8" s="39"/>
      <c r="G8" s="37"/>
      <c r="H8" s="10"/>
      <c r="I8" s="8"/>
    </row>
    <row r="9" spans="1:9" s="11" customFormat="1" ht="20.100000000000001" customHeight="1" x14ac:dyDescent="0.25">
      <c r="A9" s="4"/>
      <c r="B9" s="9"/>
      <c r="C9" s="30" t="s">
        <v>59</v>
      </c>
      <c r="D9" s="30"/>
      <c r="E9" s="30"/>
      <c r="F9" s="30"/>
      <c r="G9" s="30"/>
      <c r="H9" s="10"/>
      <c r="I9" s="8"/>
    </row>
    <row r="10" spans="1:9" s="11" customFormat="1" ht="20.100000000000001" customHeight="1" x14ac:dyDescent="0.25">
      <c r="A10" s="4"/>
      <c r="B10" s="9"/>
      <c r="C10" s="17">
        <v>1</v>
      </c>
      <c r="D10" s="18"/>
      <c r="E10" s="17"/>
      <c r="F10" s="27"/>
      <c r="G10" s="17"/>
      <c r="H10" s="10"/>
      <c r="I10" s="8"/>
    </row>
    <row r="11" spans="1:9" s="11" customFormat="1" ht="20.100000000000001" customHeight="1" x14ac:dyDescent="0.25">
      <c r="A11" s="4"/>
      <c r="B11" s="9"/>
      <c r="C11" s="17">
        <v>2</v>
      </c>
      <c r="D11" s="18"/>
      <c r="E11" s="17"/>
      <c r="F11" s="27"/>
      <c r="G11" s="17"/>
      <c r="H11" s="10"/>
      <c r="I11" s="8"/>
    </row>
    <row r="12" spans="1:9" s="11" customFormat="1" ht="20.100000000000001" customHeight="1" x14ac:dyDescent="0.25">
      <c r="A12" s="4"/>
      <c r="B12" s="9"/>
      <c r="C12" s="17">
        <v>3</v>
      </c>
      <c r="D12" s="18"/>
      <c r="E12" s="17"/>
      <c r="F12" s="27"/>
      <c r="G12" s="17"/>
      <c r="H12" s="10"/>
      <c r="I12" s="8"/>
    </row>
    <row r="13" spans="1:9" s="11" customFormat="1" ht="20.100000000000001" customHeight="1" x14ac:dyDescent="0.25">
      <c r="A13" s="4"/>
      <c r="B13" s="9"/>
      <c r="C13" s="17">
        <v>4</v>
      </c>
      <c r="D13" s="18"/>
      <c r="E13" s="17"/>
      <c r="F13" s="27"/>
      <c r="G13" s="17"/>
      <c r="H13" s="10"/>
      <c r="I13" s="8"/>
    </row>
    <row r="14" spans="1:9" s="11" customFormat="1" ht="20.100000000000001" customHeight="1" x14ac:dyDescent="0.25">
      <c r="A14" s="4"/>
      <c r="B14" s="9"/>
      <c r="C14" s="17">
        <v>5</v>
      </c>
      <c r="D14" s="18"/>
      <c r="E14" s="17"/>
      <c r="F14" s="27"/>
      <c r="G14" s="17"/>
      <c r="H14" s="10"/>
      <c r="I14" s="8"/>
    </row>
    <row r="15" spans="1:9" s="11" customFormat="1" ht="20.100000000000001" customHeight="1" x14ac:dyDescent="0.25">
      <c r="A15" s="4"/>
      <c r="B15" s="9"/>
      <c r="C15" s="30" t="s">
        <v>59</v>
      </c>
      <c r="D15" s="30"/>
      <c r="E15" s="30"/>
      <c r="F15" s="30"/>
      <c r="G15" s="30"/>
      <c r="H15" s="10"/>
      <c r="I15" s="8"/>
    </row>
    <row r="16" spans="1:9" s="11" customFormat="1" ht="20.100000000000001" customHeight="1" x14ac:dyDescent="0.25">
      <c r="A16" s="4"/>
      <c r="B16" s="9"/>
      <c r="C16" s="17">
        <v>5</v>
      </c>
      <c r="D16" s="18"/>
      <c r="E16" s="17"/>
      <c r="F16" s="27"/>
      <c r="G16" s="17"/>
      <c r="H16" s="10"/>
      <c r="I16" s="8"/>
    </row>
    <row r="17" spans="1:9" s="11" customFormat="1" ht="20.100000000000001" customHeight="1" x14ac:dyDescent="0.25">
      <c r="A17" s="4"/>
      <c r="B17" s="9"/>
      <c r="C17" s="17">
        <v>6</v>
      </c>
      <c r="D17" s="18"/>
      <c r="E17" s="17"/>
      <c r="F17" s="27"/>
      <c r="G17" s="17"/>
      <c r="H17" s="10"/>
      <c r="I17" s="8"/>
    </row>
    <row r="18" spans="1:9" s="11" customFormat="1" ht="20.100000000000001" customHeight="1" x14ac:dyDescent="0.25">
      <c r="A18" s="4"/>
      <c r="B18" s="9"/>
      <c r="C18" s="17">
        <v>7</v>
      </c>
      <c r="D18" s="18"/>
      <c r="E18" s="17"/>
      <c r="F18" s="27"/>
      <c r="G18" s="17"/>
      <c r="H18" s="10"/>
      <c r="I18" s="8"/>
    </row>
    <row r="19" spans="1:9" s="11" customFormat="1" ht="20.100000000000001" customHeight="1" x14ac:dyDescent="0.25">
      <c r="A19" s="4"/>
      <c r="B19" s="9"/>
      <c r="C19" s="17">
        <v>8</v>
      </c>
      <c r="D19" s="18"/>
      <c r="E19" s="17"/>
      <c r="F19" s="27"/>
      <c r="G19" s="17"/>
      <c r="H19" s="10"/>
      <c r="I19" s="8"/>
    </row>
    <row r="20" spans="1:9" s="11" customFormat="1" ht="20.100000000000001" customHeight="1" x14ac:dyDescent="0.25">
      <c r="A20" s="4"/>
      <c r="B20" s="9"/>
      <c r="C20" s="17">
        <v>9</v>
      </c>
      <c r="D20" s="18"/>
      <c r="E20" s="17"/>
      <c r="F20" s="27"/>
      <c r="G20" s="17"/>
      <c r="H20" s="10"/>
      <c r="I20" s="8"/>
    </row>
    <row r="21" spans="1:9" s="11" customFormat="1" ht="20.100000000000001" customHeight="1" x14ac:dyDescent="0.25">
      <c r="A21" s="4"/>
      <c r="B21" s="9"/>
      <c r="C21" s="30" t="s">
        <v>59</v>
      </c>
      <c r="D21" s="30"/>
      <c r="E21" s="30"/>
      <c r="F21" s="30"/>
      <c r="G21" s="30"/>
      <c r="H21" s="10"/>
      <c r="I21" s="8"/>
    </row>
    <row r="22" spans="1:9" s="11" customFormat="1" ht="20.100000000000001" customHeight="1" x14ac:dyDescent="0.25">
      <c r="A22" s="4"/>
      <c r="B22" s="9"/>
      <c r="C22" s="17">
        <v>10</v>
      </c>
      <c r="D22" s="18"/>
      <c r="E22" s="17"/>
      <c r="F22" s="27"/>
      <c r="G22" s="17"/>
      <c r="H22" s="10"/>
      <c r="I22" s="8"/>
    </row>
    <row r="23" spans="1:9" s="11" customFormat="1" ht="20.100000000000001" customHeight="1" x14ac:dyDescent="0.25">
      <c r="A23" s="4"/>
      <c r="B23" s="9"/>
      <c r="C23" s="17">
        <v>11</v>
      </c>
      <c r="D23" s="18"/>
      <c r="E23" s="17"/>
      <c r="F23" s="27"/>
      <c r="G23" s="17"/>
      <c r="H23" s="10"/>
      <c r="I23" s="8"/>
    </row>
    <row r="24" spans="1:9" s="11" customFormat="1" ht="20.100000000000001" customHeight="1" x14ac:dyDescent="0.25">
      <c r="A24" s="4"/>
      <c r="B24" s="9"/>
      <c r="C24" s="17">
        <v>12</v>
      </c>
      <c r="D24" s="18"/>
      <c r="E24" s="17"/>
      <c r="F24" s="27"/>
      <c r="G24" s="17"/>
      <c r="H24" s="10"/>
      <c r="I24" s="8"/>
    </row>
    <row r="25" spans="1:9" s="11" customFormat="1" ht="20.100000000000001" customHeight="1" x14ac:dyDescent="0.25">
      <c r="A25" s="4"/>
      <c r="B25" s="9"/>
      <c r="C25" s="17">
        <v>13</v>
      </c>
      <c r="D25" s="18"/>
      <c r="E25" s="17"/>
      <c r="F25" s="27"/>
      <c r="G25" s="17"/>
      <c r="H25" s="10"/>
      <c r="I25" s="8"/>
    </row>
    <row r="26" spans="1:9" s="11" customFormat="1" ht="20.100000000000001" customHeight="1" x14ac:dyDescent="0.25">
      <c r="A26" s="4"/>
      <c r="B26" s="9"/>
      <c r="C26" s="17">
        <v>14</v>
      </c>
      <c r="D26" s="18"/>
      <c r="E26" s="17"/>
      <c r="F26" s="27"/>
      <c r="G26" s="17"/>
      <c r="H26" s="10"/>
      <c r="I26" s="8"/>
    </row>
    <row r="27" spans="1:9" s="11" customFormat="1" ht="20.100000000000001" customHeight="1" x14ac:dyDescent="0.25">
      <c r="A27" s="4"/>
      <c r="B27" s="9"/>
      <c r="C27" s="30" t="s">
        <v>59</v>
      </c>
      <c r="D27" s="30"/>
      <c r="E27" s="30"/>
      <c r="F27" s="30"/>
      <c r="G27" s="30"/>
      <c r="H27" s="10"/>
      <c r="I27" s="8"/>
    </row>
    <row r="28" spans="1:9" s="11" customFormat="1" ht="20.100000000000001" customHeight="1" x14ac:dyDescent="0.25">
      <c r="A28" s="4"/>
      <c r="B28" s="9"/>
      <c r="C28" s="17">
        <v>15</v>
      </c>
      <c r="D28" s="18"/>
      <c r="E28" s="17"/>
      <c r="F28" s="27"/>
      <c r="G28" s="17"/>
      <c r="H28" s="10"/>
      <c r="I28" s="8"/>
    </row>
    <row r="29" spans="1:9" s="11" customFormat="1" ht="20.100000000000001" customHeight="1" x14ac:dyDescent="0.25">
      <c r="A29" s="4"/>
      <c r="B29" s="9"/>
      <c r="C29" s="17">
        <v>16</v>
      </c>
      <c r="D29" s="18"/>
      <c r="E29" s="17"/>
      <c r="F29" s="27"/>
      <c r="G29" s="17"/>
      <c r="H29" s="10"/>
      <c r="I29" s="8"/>
    </row>
    <row r="30" spans="1:9" s="11" customFormat="1" ht="20.100000000000001" customHeight="1" x14ac:dyDescent="0.25">
      <c r="A30" s="4"/>
      <c r="B30" s="9"/>
      <c r="C30" s="17">
        <v>17</v>
      </c>
      <c r="D30" s="18"/>
      <c r="E30" s="17"/>
      <c r="F30" s="27"/>
      <c r="G30" s="17"/>
      <c r="H30" s="10"/>
      <c r="I30" s="8"/>
    </row>
    <row r="31" spans="1:9" s="11" customFormat="1" ht="20.100000000000001" customHeight="1" x14ac:dyDescent="0.25">
      <c r="A31" s="4"/>
      <c r="B31" s="9"/>
      <c r="C31" s="17">
        <v>18</v>
      </c>
      <c r="D31" s="18"/>
      <c r="E31" s="17"/>
      <c r="F31" s="27"/>
      <c r="G31" s="17"/>
      <c r="H31" s="10"/>
      <c r="I31" s="8"/>
    </row>
    <row r="32" spans="1:9" s="11" customFormat="1" ht="20.100000000000001" customHeight="1" x14ac:dyDescent="0.25">
      <c r="A32" s="4"/>
      <c r="B32" s="9"/>
      <c r="C32" s="17">
        <v>19</v>
      </c>
      <c r="D32" s="18"/>
      <c r="E32" s="17"/>
      <c r="F32" s="27"/>
      <c r="G32" s="17"/>
      <c r="H32" s="10"/>
      <c r="I32" s="8"/>
    </row>
    <row r="33" spans="1:9" s="11" customFormat="1" ht="20.100000000000001" customHeight="1" x14ac:dyDescent="0.25">
      <c r="A33" s="4"/>
      <c r="B33" s="9"/>
      <c r="C33" s="30" t="s">
        <v>59</v>
      </c>
      <c r="D33" s="30"/>
      <c r="E33" s="30"/>
      <c r="F33" s="30"/>
      <c r="G33" s="30"/>
      <c r="H33" s="10"/>
      <c r="I33" s="8"/>
    </row>
    <row r="34" spans="1:9" s="11" customFormat="1" ht="20.100000000000001" customHeight="1" x14ac:dyDescent="0.25">
      <c r="A34" s="4"/>
      <c r="B34" s="9"/>
      <c r="C34" s="17">
        <v>20</v>
      </c>
      <c r="D34" s="18"/>
      <c r="E34" s="17"/>
      <c r="F34" s="27"/>
      <c r="G34" s="17"/>
      <c r="H34" s="10"/>
      <c r="I34" s="8"/>
    </row>
    <row r="35" spans="1:9" s="11" customFormat="1" ht="20.100000000000001" customHeight="1" x14ac:dyDescent="0.25">
      <c r="A35" s="4"/>
      <c r="B35" s="9"/>
      <c r="C35" s="17">
        <v>21</v>
      </c>
      <c r="D35" s="18"/>
      <c r="E35" s="17"/>
      <c r="F35" s="27"/>
      <c r="G35" s="17"/>
      <c r="H35" s="10"/>
      <c r="I35" s="8"/>
    </row>
    <row r="36" spans="1:9" s="11" customFormat="1" ht="20.100000000000001" customHeight="1" x14ac:dyDescent="0.25">
      <c r="A36" s="4"/>
      <c r="B36" s="9"/>
      <c r="C36" s="17">
        <v>22</v>
      </c>
      <c r="D36" s="18"/>
      <c r="E36" s="17"/>
      <c r="F36" s="27"/>
      <c r="G36" s="17"/>
      <c r="H36" s="10"/>
      <c r="I36" s="8"/>
    </row>
    <row r="37" spans="1:9" s="11" customFormat="1" ht="20.100000000000001" customHeight="1" x14ac:dyDescent="0.25">
      <c r="A37" s="4"/>
      <c r="B37" s="9"/>
      <c r="C37" s="17">
        <v>23</v>
      </c>
      <c r="D37" s="18"/>
      <c r="E37" s="17"/>
      <c r="F37" s="27"/>
      <c r="G37" s="17"/>
      <c r="H37" s="10"/>
      <c r="I37" s="8"/>
    </row>
    <row r="38" spans="1:9" s="11" customFormat="1" ht="20.100000000000001" customHeight="1" x14ac:dyDescent="0.25">
      <c r="A38" s="4"/>
      <c r="B38" s="9"/>
      <c r="C38" s="17">
        <v>24</v>
      </c>
      <c r="D38" s="18"/>
      <c r="E38" s="17"/>
      <c r="F38" s="27"/>
      <c r="G38" s="17"/>
      <c r="H38" s="10"/>
      <c r="I38" s="8"/>
    </row>
    <row r="39" spans="1:9" s="11" customFormat="1" ht="9.9499999999999993" customHeight="1" x14ac:dyDescent="0.25">
      <c r="A39" s="4"/>
      <c r="B39" s="9"/>
      <c r="C39" s="19"/>
      <c r="D39" s="20"/>
      <c r="E39" s="20"/>
      <c r="F39" s="20"/>
      <c r="G39" s="21"/>
      <c r="H39" s="10"/>
      <c r="I39" s="8"/>
    </row>
    <row r="40" spans="1:9" s="11" customFormat="1" ht="20.100000000000001" customHeight="1" x14ac:dyDescent="0.25">
      <c r="A40" s="4"/>
      <c r="B40" s="9"/>
      <c r="C40" s="22"/>
      <c r="D40" s="32" t="s">
        <v>60</v>
      </c>
      <c r="E40" s="32"/>
      <c r="F40" s="32"/>
      <c r="G40" s="23"/>
      <c r="H40" s="10"/>
      <c r="I40" s="8"/>
    </row>
    <row r="41" spans="1:9" s="11" customFormat="1" ht="9.9499999999999993" customHeight="1" x14ac:dyDescent="0.25">
      <c r="A41" s="4"/>
      <c r="B41" s="9"/>
      <c r="C41" s="22"/>
      <c r="D41" s="15"/>
      <c r="E41" s="15"/>
      <c r="F41" s="15"/>
      <c r="G41" s="23"/>
      <c r="H41" s="10"/>
      <c r="I41" s="8"/>
    </row>
    <row r="42" spans="1:9" s="11" customFormat="1" ht="20.100000000000001" customHeight="1" x14ac:dyDescent="0.25">
      <c r="A42" s="4"/>
      <c r="B42" s="9"/>
      <c r="C42" s="22"/>
      <c r="D42" s="31" t="str">
        <f>IF(COUNTBLANK(C10:C38)&gt;0,"Очікую","Всього " &amp; COUNT(C10:C38) &amp; " студентів(а):")</f>
        <v>Всього 25 студентів(а):</v>
      </c>
      <c r="E42" s="31"/>
      <c r="F42" s="16" t="str">
        <f>IF(D42="Очікую","Очікую","на контракті "&amp;COUNTIF(E10:E38,"=К"))</f>
        <v>на контракті 0</v>
      </c>
      <c r="G42" s="23"/>
      <c r="H42" s="10"/>
      <c r="I42" s="8"/>
    </row>
    <row r="43" spans="1:9" s="11" customFormat="1" ht="9.9499999999999993" customHeight="1" x14ac:dyDescent="0.25">
      <c r="A43" s="4"/>
      <c r="B43" s="9"/>
      <c r="C43" s="22"/>
      <c r="D43" s="15"/>
      <c r="E43" s="15"/>
      <c r="F43" s="15"/>
      <c r="G43" s="23"/>
      <c r="H43" s="10"/>
      <c r="I43" s="8"/>
    </row>
    <row r="44" spans="1:9" s="11" customFormat="1" ht="20.100000000000001" customHeight="1" x14ac:dyDescent="0.25">
      <c r="A44" s="4"/>
      <c r="B44" s="9"/>
      <c r="C44" s="22"/>
      <c r="D44" s="15"/>
      <c r="E44" s="15"/>
      <c r="F44" s="16" t="str">
        <f>IF(D42="Очікую","Очікую","на бюджеті "&amp;COUNTIF(E10:E38,"=Б"))</f>
        <v>на бюджеті 0</v>
      </c>
      <c r="G44" s="23"/>
      <c r="H44" s="10"/>
      <c r="I44" s="8"/>
    </row>
    <row r="45" spans="1:9" s="11" customFormat="1" ht="9.9499999999999993" customHeight="1" x14ac:dyDescent="0.25">
      <c r="A45" s="4"/>
      <c r="B45" s="9"/>
      <c r="C45" s="24"/>
      <c r="D45" s="25"/>
      <c r="E45" s="25"/>
      <c r="F45" s="25"/>
      <c r="G45" s="26"/>
      <c r="H45" s="10"/>
      <c r="I45" s="8"/>
    </row>
    <row r="46" spans="1:9" ht="12" customHeight="1" thickBot="1" x14ac:dyDescent="0.3">
      <c r="A46" s="4"/>
      <c r="B46" s="12"/>
      <c r="C46" s="13"/>
      <c r="D46" s="13"/>
      <c r="E46" s="13"/>
      <c r="F46" s="13"/>
      <c r="G46" s="13"/>
      <c r="H46" s="14"/>
      <c r="I46" s="8"/>
    </row>
    <row r="47" spans="1:9" ht="12" customHeight="1" x14ac:dyDescent="0.25">
      <c r="A47" s="2"/>
      <c r="B47" s="2"/>
      <c r="C47" s="2"/>
      <c r="D47" s="2"/>
      <c r="E47" s="2"/>
      <c r="F47" s="2"/>
      <c r="G47" s="2"/>
      <c r="H47" s="2"/>
      <c r="I47" s="8"/>
    </row>
  </sheetData>
  <sheetProtection insertRows="0" deleteRows="0"/>
  <mergeCells count="15">
    <mergeCell ref="D42:E42"/>
    <mergeCell ref="D40:F40"/>
    <mergeCell ref="C3:G3"/>
    <mergeCell ref="C4:G4"/>
    <mergeCell ref="C5:G5"/>
    <mergeCell ref="C6:G6"/>
    <mergeCell ref="C33:G33"/>
    <mergeCell ref="C27:G27"/>
    <mergeCell ref="C21:G21"/>
    <mergeCell ref="C15:G15"/>
    <mergeCell ref="C9:G9"/>
    <mergeCell ref="G7:G8"/>
    <mergeCell ref="F7:F8"/>
    <mergeCell ref="D7:D8"/>
    <mergeCell ref="C7:C8"/>
  </mergeCells>
  <printOptions horizontalCentered="1"/>
  <pageMargins left="0.19685039370078741" right="0.19685039370078741" top="0.19685039370078741" bottom="0.19685039370078741" header="0" footer="0"/>
  <pageSetup paperSize="9" scale="9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2</vt:i4>
      </vt:variant>
    </vt:vector>
  </HeadingPairs>
  <TitlesOfParts>
    <vt:vector size="4" baseType="lpstr">
      <vt:lpstr>Приклад</vt:lpstr>
      <vt:lpstr>ХХХ</vt:lpstr>
      <vt:lpstr>Приклад!Область_печати</vt:lpstr>
      <vt:lpstr>ХХХ!Область_печати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2026-05-03T11:52:59Z</dcterms:modified>
</cp:coreProperties>
</file>