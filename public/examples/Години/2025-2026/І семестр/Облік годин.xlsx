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 defaultThemeVersion="124226"/>
  <bookViews>
    <workbookView xWindow="-120" yWindow="-120" windowWidth="20730" windowHeight="11760" tabRatio="885"/>
  </bookViews>
  <sheets>
    <sheet name="25-1" sheetId="44" r:id="rId1"/>
    <sheet name="25-2" sheetId="46" r:id="rId2"/>
    <sheet name="25-3" sheetId="48" r:id="rId3"/>
    <sheet name="25-4" sheetId="49" r:id="rId4"/>
    <sheet name="25-5" sheetId="50" r:id="rId5"/>
  </sheets>
  <externalReferences>
    <externalReference r:id="rId6"/>
    <externalReference r:id="rId7"/>
    <externalReference r:id="rId8"/>
    <externalReference r:id="rId9"/>
  </externalReferences>
  <definedNames>
    <definedName name="A1048577" localSheetId="0">#REF!</definedName>
    <definedName name="A1048577" localSheetId="1">#REF!</definedName>
    <definedName name="A1048577" localSheetId="2">#REF!</definedName>
    <definedName name="A1048577" localSheetId="3">#REF!</definedName>
    <definedName name="A1048577" localSheetId="4">#REF!</definedName>
    <definedName name="A1048577">#REF!</definedName>
    <definedName name="_xlnm.Print_Area" localSheetId="0">'25-1'!$B$2:$L$19</definedName>
    <definedName name="_xlnm.Print_Area" localSheetId="1">'25-2'!$B$2:$L$19</definedName>
    <definedName name="_xlnm.Print_Area" localSheetId="2">'25-3'!$B$2:$L$19</definedName>
    <definedName name="_xlnm.Print_Area" localSheetId="3">'25-4'!$B$2:$L$19</definedName>
    <definedName name="_xlnm.Print_Area" localSheetId="4">'25-5'!$B$2:$L$19</definedName>
    <definedName name="Ф80" localSheetId="0">#REF!</definedName>
    <definedName name="Ф80" localSheetId="1">#REF!</definedName>
    <definedName name="Ф80" localSheetId="2">#REF!</definedName>
    <definedName name="Ф80" localSheetId="3">#REF!</definedName>
    <definedName name="Ф80" localSheetId="4">#REF!</definedName>
    <definedName name="Ф80">#REF!</definedName>
  </definedNames>
  <calcPr calcId="14562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46" l="1"/>
  <c r="H5" i="46"/>
  <c r="I5" i="46"/>
  <c r="J5" i="46"/>
  <c r="G6" i="46"/>
  <c r="H6" i="46"/>
  <c r="I6" i="46"/>
  <c r="J6" i="46"/>
  <c r="G7" i="46"/>
  <c r="H7" i="46"/>
  <c r="I7" i="46"/>
  <c r="J7" i="46"/>
  <c r="G8" i="46"/>
  <c r="H8" i="46"/>
  <c r="I8" i="46"/>
  <c r="J8" i="46"/>
  <c r="G9" i="46"/>
  <c r="H9" i="46"/>
  <c r="I9" i="46"/>
  <c r="J9" i="46"/>
  <c r="G10" i="46"/>
  <c r="H10" i="46"/>
  <c r="I10" i="46"/>
  <c r="J10" i="46"/>
  <c r="G11" i="46"/>
  <c r="H11" i="46"/>
  <c r="I11" i="46"/>
  <c r="J11" i="46"/>
  <c r="G12" i="46"/>
  <c r="H12" i="46"/>
  <c r="I12" i="46"/>
  <c r="J12" i="46"/>
  <c r="G13" i="46"/>
  <c r="H13" i="46"/>
  <c r="I13" i="46"/>
  <c r="J13" i="46"/>
  <c r="G14" i="46"/>
  <c r="H14" i="46"/>
  <c r="I14" i="46"/>
  <c r="J14" i="46"/>
  <c r="G15" i="46"/>
  <c r="H15" i="46"/>
  <c r="I15" i="46"/>
  <c r="J15" i="46"/>
  <c r="G16" i="46"/>
  <c r="H16" i="46"/>
  <c r="I16" i="46"/>
  <c r="J16" i="46"/>
  <c r="G17" i="46"/>
  <c r="H17" i="46"/>
  <c r="I17" i="46"/>
  <c r="J17" i="46"/>
  <c r="G5" i="48"/>
  <c r="H5" i="48"/>
  <c r="I5" i="48"/>
  <c r="J5" i="48"/>
  <c r="G6" i="48"/>
  <c r="H6" i="48"/>
  <c r="I6" i="48"/>
  <c r="J6" i="48"/>
  <c r="G7" i="48"/>
  <c r="H7" i="48"/>
  <c r="I7" i="48"/>
  <c r="J7" i="48"/>
  <c r="G8" i="48"/>
  <c r="H8" i="48"/>
  <c r="I8" i="48"/>
  <c r="J8" i="48"/>
  <c r="G9" i="48"/>
  <c r="H9" i="48"/>
  <c r="I9" i="48"/>
  <c r="J9" i="48"/>
  <c r="G10" i="48"/>
  <c r="H10" i="48"/>
  <c r="I10" i="48"/>
  <c r="J10" i="48"/>
  <c r="G11" i="48"/>
  <c r="H11" i="48"/>
  <c r="I11" i="48"/>
  <c r="J11" i="48"/>
  <c r="G12" i="48"/>
  <c r="H12" i="48"/>
  <c r="I12" i="48"/>
  <c r="J12" i="48"/>
  <c r="G13" i="48"/>
  <c r="H13" i="48"/>
  <c r="I13" i="48"/>
  <c r="J13" i="48"/>
  <c r="G14" i="48"/>
  <c r="H14" i="48"/>
  <c r="I14" i="48"/>
  <c r="J14" i="48"/>
  <c r="G15" i="48"/>
  <c r="H15" i="48"/>
  <c r="I15" i="48"/>
  <c r="J15" i="48"/>
  <c r="G16" i="48"/>
  <c r="H16" i="48"/>
  <c r="I16" i="48"/>
  <c r="J16" i="48"/>
  <c r="G17" i="48"/>
  <c r="H17" i="48"/>
  <c r="I17" i="48"/>
  <c r="J17" i="48"/>
  <c r="G5" i="49"/>
  <c r="H5" i="49"/>
  <c r="I5" i="49"/>
  <c r="J5" i="49"/>
  <c r="G6" i="49"/>
  <c r="H6" i="49"/>
  <c r="I6" i="49"/>
  <c r="J6" i="49"/>
  <c r="G7" i="49"/>
  <c r="H7" i="49"/>
  <c r="I7" i="49"/>
  <c r="J7" i="49"/>
  <c r="G8" i="49"/>
  <c r="H8" i="49"/>
  <c r="I8" i="49"/>
  <c r="J8" i="49"/>
  <c r="G9" i="49"/>
  <c r="H9" i="49"/>
  <c r="I9" i="49"/>
  <c r="J9" i="49"/>
  <c r="G10" i="49"/>
  <c r="H10" i="49"/>
  <c r="I10" i="49"/>
  <c r="J10" i="49"/>
  <c r="G11" i="49"/>
  <c r="H11" i="49"/>
  <c r="I11" i="49"/>
  <c r="J11" i="49"/>
  <c r="G12" i="49"/>
  <c r="H12" i="49"/>
  <c r="I12" i="49"/>
  <c r="J12" i="49"/>
  <c r="G13" i="49"/>
  <c r="H13" i="49"/>
  <c r="I13" i="49"/>
  <c r="J13" i="49"/>
  <c r="G14" i="49"/>
  <c r="H14" i="49"/>
  <c r="I14" i="49"/>
  <c r="J14" i="49"/>
  <c r="G15" i="49"/>
  <c r="H15" i="49"/>
  <c r="I15" i="49"/>
  <c r="J15" i="49"/>
  <c r="G16" i="49"/>
  <c r="H16" i="49"/>
  <c r="I16" i="49"/>
  <c r="J16" i="49"/>
  <c r="G17" i="49"/>
  <c r="H17" i="49"/>
  <c r="I17" i="49"/>
  <c r="J17" i="49"/>
  <c r="G5" i="50"/>
  <c r="H5" i="50"/>
  <c r="I5" i="50"/>
  <c r="J5" i="50"/>
  <c r="G6" i="50"/>
  <c r="H6" i="50"/>
  <c r="I6" i="50"/>
  <c r="J6" i="50"/>
  <c r="G7" i="50"/>
  <c r="H7" i="50"/>
  <c r="I7" i="50"/>
  <c r="J7" i="50"/>
  <c r="G8" i="50"/>
  <c r="H8" i="50"/>
  <c r="I8" i="50"/>
  <c r="J8" i="50"/>
  <c r="G9" i="50"/>
  <c r="H9" i="50"/>
  <c r="I9" i="50"/>
  <c r="J9" i="50"/>
  <c r="G10" i="50"/>
  <c r="H10" i="50"/>
  <c r="I10" i="50"/>
  <c r="J10" i="50"/>
  <c r="G11" i="50"/>
  <c r="H11" i="50"/>
  <c r="I11" i="50"/>
  <c r="J11" i="50"/>
  <c r="G12" i="50"/>
  <c r="H12" i="50"/>
  <c r="I12" i="50"/>
  <c r="J12" i="50"/>
  <c r="G13" i="50"/>
  <c r="H13" i="50"/>
  <c r="I13" i="50"/>
  <c r="J13" i="50"/>
  <c r="G14" i="50"/>
  <c r="H14" i="50"/>
  <c r="I14" i="50"/>
  <c r="J14" i="50"/>
  <c r="G15" i="50"/>
  <c r="H15" i="50"/>
  <c r="I15" i="50"/>
  <c r="J15" i="50"/>
  <c r="G16" i="50"/>
  <c r="H16" i="50"/>
  <c r="I16" i="50"/>
  <c r="J16" i="50"/>
  <c r="G17" i="50"/>
  <c r="H17" i="50"/>
  <c r="I17" i="50"/>
  <c r="J17" i="50"/>
  <c r="G5" i="44"/>
  <c r="H5" i="44"/>
  <c r="I5" i="44"/>
  <c r="J5" i="44"/>
  <c r="G6" i="44"/>
  <c r="H6" i="44"/>
  <c r="I6" i="44"/>
  <c r="J6" i="44"/>
  <c r="G7" i="44"/>
  <c r="H7" i="44"/>
  <c r="I7" i="44"/>
  <c r="J7" i="44"/>
  <c r="G8" i="44"/>
  <c r="H8" i="44"/>
  <c r="I8" i="44"/>
  <c r="J8" i="44"/>
  <c r="G9" i="44"/>
  <c r="H9" i="44"/>
  <c r="I9" i="44"/>
  <c r="J9" i="44"/>
  <c r="G10" i="44"/>
  <c r="H10" i="44"/>
  <c r="I10" i="44"/>
  <c r="J10" i="44"/>
  <c r="G11" i="44"/>
  <c r="H11" i="44"/>
  <c r="I11" i="44"/>
  <c r="J11" i="44"/>
  <c r="G12" i="44"/>
  <c r="H12" i="44"/>
  <c r="I12" i="44"/>
  <c r="J12" i="44"/>
  <c r="G13" i="44"/>
  <c r="H13" i="44"/>
  <c r="I13" i="44"/>
  <c r="J13" i="44"/>
  <c r="G14" i="44"/>
  <c r="H14" i="44"/>
  <c r="I14" i="44"/>
  <c r="J14" i="44"/>
  <c r="G15" i="44"/>
  <c r="H15" i="44"/>
  <c r="I15" i="44"/>
  <c r="J15" i="44"/>
  <c r="G16" i="44"/>
  <c r="H16" i="44"/>
  <c r="I16" i="44"/>
  <c r="J16" i="44"/>
  <c r="G17" i="44"/>
  <c r="H17" i="44"/>
  <c r="I17" i="44"/>
  <c r="J17" i="44"/>
  <c r="J4" i="44" l="1"/>
  <c r="J4" i="46"/>
  <c r="J4" i="48"/>
  <c r="J4" i="49"/>
  <c r="J4" i="50"/>
  <c r="I4" i="44"/>
  <c r="I4" i="46"/>
  <c r="I4" i="48"/>
  <c r="I4" i="49"/>
  <c r="I4" i="50"/>
  <c r="G4" i="50"/>
  <c r="G4" i="49"/>
  <c r="G4" i="48"/>
  <c r="G4" i="46"/>
  <c r="G4" i="44"/>
  <c r="H4" i="44" l="1"/>
  <c r="D4" i="50"/>
  <c r="D4" i="49"/>
  <c r="D4" i="48"/>
  <c r="D4" i="46"/>
  <c r="D4" i="44"/>
  <c r="D17" i="50" l="1"/>
  <c r="D16" i="50"/>
  <c r="D15" i="50"/>
  <c r="D14" i="50"/>
  <c r="D13" i="50"/>
  <c r="D12" i="50"/>
  <c r="D11" i="50"/>
  <c r="D10" i="50"/>
  <c r="D9" i="50"/>
  <c r="D8" i="50"/>
  <c r="D7" i="50"/>
  <c r="D6" i="50"/>
  <c r="D5" i="50"/>
  <c r="D17" i="49"/>
  <c r="D16" i="49"/>
  <c r="D15" i="49"/>
  <c r="D14" i="49"/>
  <c r="D13" i="49"/>
  <c r="D12" i="49"/>
  <c r="D11" i="49"/>
  <c r="D10" i="49"/>
  <c r="D9" i="49"/>
  <c r="D8" i="49"/>
  <c r="D7" i="49"/>
  <c r="D6" i="49"/>
  <c r="D5" i="49"/>
  <c r="D17" i="48"/>
  <c r="D16" i="48"/>
  <c r="D15" i="48"/>
  <c r="D14" i="48"/>
  <c r="D13" i="48"/>
  <c r="D12" i="48"/>
  <c r="D11" i="48"/>
  <c r="D10" i="48"/>
  <c r="D9" i="48"/>
  <c r="D8" i="48"/>
  <c r="D7" i="48"/>
  <c r="D6" i="48"/>
  <c r="D5" i="48"/>
  <c r="D17" i="46" l="1"/>
  <c r="D16" i="46"/>
  <c r="D15" i="46"/>
  <c r="D14" i="46"/>
  <c r="D13" i="46"/>
  <c r="D12" i="46"/>
  <c r="D11" i="46"/>
  <c r="D10" i="46"/>
  <c r="D9" i="46"/>
  <c r="D8" i="46"/>
  <c r="D7" i="46"/>
  <c r="D6" i="46"/>
  <c r="D5" i="46"/>
  <c r="D17" i="44"/>
  <c r="D16" i="44"/>
  <c r="D15" i="44"/>
  <c r="D14" i="44"/>
  <c r="D13" i="44"/>
  <c r="D12" i="44"/>
  <c r="D11" i="44"/>
  <c r="D10" i="44"/>
  <c r="D9" i="44"/>
  <c r="D8" i="44"/>
  <c r="D7" i="44"/>
  <c r="D6" i="44"/>
  <c r="D5" i="44"/>
  <c r="E4" i="44"/>
  <c r="E17" i="50"/>
  <c r="E16" i="50"/>
  <c r="E15" i="50"/>
  <c r="E14" i="50"/>
  <c r="E13" i="50"/>
  <c r="E12" i="50"/>
  <c r="E11" i="50"/>
  <c r="E10" i="50"/>
  <c r="E9" i="50"/>
  <c r="E8" i="50"/>
  <c r="E7" i="50"/>
  <c r="E6" i="50"/>
  <c r="E5" i="50"/>
  <c r="H4" i="50"/>
  <c r="E4" i="50"/>
  <c r="E17" i="49"/>
  <c r="E16" i="49"/>
  <c r="E15" i="49"/>
  <c r="E14" i="49"/>
  <c r="E13" i="49"/>
  <c r="E12" i="49"/>
  <c r="E11" i="49"/>
  <c r="E10" i="49"/>
  <c r="E9" i="49"/>
  <c r="E8" i="49"/>
  <c r="E7" i="49"/>
  <c r="E6" i="49"/>
  <c r="E5" i="49"/>
  <c r="H4" i="49"/>
  <c r="E4" i="49"/>
  <c r="E17" i="48"/>
  <c r="E16" i="48"/>
  <c r="E15" i="48"/>
  <c r="E14" i="48"/>
  <c r="E13" i="48"/>
  <c r="E12" i="48"/>
  <c r="E11" i="48"/>
  <c r="E10" i="48"/>
  <c r="E9" i="48"/>
  <c r="E8" i="48"/>
  <c r="E7" i="48"/>
  <c r="E6" i="48"/>
  <c r="E5" i="48"/>
  <c r="H4" i="48"/>
  <c r="E4" i="48"/>
  <c r="E17" i="46"/>
  <c r="E16" i="46"/>
  <c r="E15" i="46"/>
  <c r="E14" i="46"/>
  <c r="E13" i="46"/>
  <c r="E12" i="46"/>
  <c r="E11" i="46"/>
  <c r="E10" i="46"/>
  <c r="E9" i="46"/>
  <c r="E8" i="46"/>
  <c r="E7" i="46"/>
  <c r="E6" i="46"/>
  <c r="E5" i="46"/>
  <c r="H4" i="46"/>
  <c r="E4" i="46"/>
  <c r="E17" i="44"/>
  <c r="E16" i="44"/>
  <c r="E15" i="44"/>
  <c r="E14" i="44"/>
  <c r="E13" i="44"/>
  <c r="E12" i="44"/>
  <c r="E11" i="44"/>
  <c r="E10" i="44"/>
  <c r="E9" i="44"/>
  <c r="E8" i="44"/>
  <c r="E7" i="44"/>
  <c r="E6" i="44"/>
  <c r="E5" i="44"/>
  <c r="F18" i="50" l="1"/>
  <c r="H18" i="49"/>
  <c r="F18" i="49"/>
  <c r="F18" i="48"/>
  <c r="H18" i="50" l="1"/>
  <c r="I18" i="50"/>
  <c r="G18" i="49"/>
  <c r="H18" i="48"/>
  <c r="G18" i="50"/>
  <c r="J18" i="48"/>
  <c r="J18" i="49"/>
  <c r="J18" i="50"/>
  <c r="G18" i="48"/>
  <c r="I18" i="49"/>
  <c r="I18" i="48"/>
  <c r="K6" i="48"/>
  <c r="K7" i="48"/>
  <c r="K9" i="48"/>
  <c r="K11" i="48"/>
  <c r="K13" i="48"/>
  <c r="K14" i="48"/>
  <c r="K15" i="48"/>
  <c r="K17" i="48"/>
  <c r="K5" i="50"/>
  <c r="K6" i="50"/>
  <c r="K7" i="50"/>
  <c r="K9" i="50"/>
  <c r="K11" i="50"/>
  <c r="K13" i="50"/>
  <c r="K14" i="50"/>
  <c r="K15" i="50"/>
  <c r="K6" i="49"/>
  <c r="K7" i="49"/>
  <c r="K9" i="49"/>
  <c r="K11" i="49"/>
  <c r="K13" i="49"/>
  <c r="K14" i="49"/>
  <c r="K17" i="49"/>
  <c r="K6" i="46" l="1"/>
  <c r="K7" i="46"/>
  <c r="K11" i="46"/>
  <c r="K13" i="46"/>
  <c r="K14" i="46"/>
  <c r="K15" i="46"/>
  <c r="K17" i="46"/>
  <c r="F18" i="46"/>
  <c r="J18" i="46"/>
  <c r="I18" i="46"/>
  <c r="H18" i="46"/>
  <c r="G18" i="46"/>
  <c r="F18" i="44" l="1"/>
  <c r="K11" i="44" l="1"/>
  <c r="K13" i="44"/>
  <c r="K15" i="44"/>
  <c r="K6" i="44"/>
  <c r="K10" i="44"/>
  <c r="K14" i="44"/>
  <c r="I18" i="44"/>
  <c r="G18" i="44"/>
  <c r="H18" i="44"/>
  <c r="K9" i="44" l="1"/>
  <c r="K16" i="44"/>
  <c r="K17" i="44"/>
  <c r="K4" i="44" l="1"/>
  <c r="K4" i="46" l="1"/>
  <c r="K9" i="46"/>
  <c r="K10" i="46"/>
  <c r="K12" i="46"/>
  <c r="K16" i="46"/>
  <c r="K8" i="46" l="1"/>
  <c r="K4" i="48" l="1"/>
  <c r="K5" i="48"/>
  <c r="K8" i="48"/>
  <c r="K10" i="48"/>
  <c r="K12" i="48"/>
  <c r="K4" i="49"/>
  <c r="K5" i="49"/>
  <c r="K10" i="49"/>
  <c r="K12" i="49"/>
  <c r="K15" i="49"/>
  <c r="K16" i="49"/>
  <c r="K5" i="44"/>
  <c r="K8" i="49" l="1"/>
  <c r="K18" i="49"/>
  <c r="K5" i="46"/>
  <c r="K18" i="46"/>
  <c r="K8" i="44"/>
  <c r="K18" i="48"/>
  <c r="K16" i="48"/>
  <c r="K8" i="50" l="1"/>
  <c r="K10" i="50"/>
  <c r="K12" i="50"/>
  <c r="K16" i="50"/>
  <c r="K17" i="50"/>
  <c r="K18" i="50" l="1"/>
  <c r="K4" i="50"/>
  <c r="K7" i="44" l="1"/>
  <c r="J18" i="44" l="1"/>
  <c r="K18" i="44" s="1"/>
  <c r="K12" i="44"/>
</calcChain>
</file>

<file path=xl/sharedStrings.xml><?xml version="1.0" encoding="utf-8"?>
<sst xmlns="http://schemas.openxmlformats.org/spreadsheetml/2006/main" count="50" uniqueCount="10">
  <si>
    <t>Предмети</t>
  </si>
  <si>
    <t>№</t>
  </si>
  <si>
    <t>Всього</t>
  </si>
  <si>
    <t>План</t>
  </si>
  <si>
    <t>Прізвище та
ініціали викладача</t>
  </si>
  <si>
    <t>Різниця</t>
  </si>
  <si>
    <t>Вересень</t>
  </si>
  <si>
    <t>Жовтень</t>
  </si>
  <si>
    <t>Листопад</t>
  </si>
  <si>
    <t>Грудень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</si>
</sst>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0"/>
      <name val="Arial Cyr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auto="1"/>
      </left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2">
    <xf numFmtId="0" fontId="0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4" fillId="0" borderId="0"/>
    <xf numFmtId="0" fontId="7" fillId="0" borderId="0"/>
    <xf numFmtId="0" fontId="3" fillId="0" borderId="0"/>
    <xf numFmtId="0" fontId="2" fillId="0" borderId="0"/>
    <xf numFmtId="0" fontId="1" fillId="0" borderId="0"/>
  </cellStyleXfs>
  <cellXfs count="37">
    <xf numFmtId="0" fontId="0" fillId="0" borderId="0" xfId="0"/>
    <xf numFmtId="0" fontId="5" fillId="3" borderId="0" xfId="26" applyFont="1" applyFill="1" applyAlignment="1">
      <alignment horizontal="center" vertical="center"/>
    </xf>
    <xf numFmtId="0" fontId="10" fillId="2" borderId="0" xfId="27" applyFont="1" applyFill="1" applyAlignment="1">
      <alignment vertical="center"/>
    </xf>
    <xf numFmtId="0" fontId="5" fillId="2" borderId="0" xfId="26" applyFont="1" applyFill="1" applyAlignment="1">
      <alignment horizontal="center" vertical="center"/>
    </xf>
    <xf numFmtId="0" fontId="6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 wrapText="1"/>
    </xf>
    <xf numFmtId="0" fontId="6" fillId="0" borderId="7" xfId="1" applyFont="1" applyBorder="1" applyAlignment="1">
      <alignment horizontal="left" vertical="center"/>
    </xf>
    <xf numFmtId="0" fontId="11" fillId="2" borderId="9" xfId="27" applyFont="1" applyFill="1" applyBorder="1" applyAlignment="1">
      <alignment horizontal="center" vertical="center"/>
    </xf>
    <xf numFmtId="0" fontId="6" fillId="0" borderId="10" xfId="26" applyFont="1" applyBorder="1" applyAlignment="1">
      <alignment horizontal="center" vertical="center" wrapText="1"/>
    </xf>
    <xf numFmtId="0" fontId="6" fillId="4" borderId="10" xfId="26" applyFont="1" applyFill="1" applyBorder="1" applyAlignment="1">
      <alignment horizontal="center" vertical="center" wrapText="1"/>
    </xf>
    <xf numFmtId="0" fontId="11" fillId="4" borderId="9" xfId="27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7" xfId="1" applyFont="1" applyFill="1" applyBorder="1" applyAlignment="1">
      <alignment horizontal="left" vertical="center" wrapText="1"/>
    </xf>
    <xf numFmtId="0" fontId="6" fillId="4" borderId="6" xfId="1" applyFont="1" applyFill="1" applyBorder="1" applyAlignment="1">
      <alignment horizontal="left" vertical="center" wrapText="1"/>
    </xf>
    <xf numFmtId="0" fontId="6" fillId="4" borderId="11" xfId="1" applyFont="1" applyFill="1" applyBorder="1" applyAlignment="1">
      <alignment horizontal="left" vertical="center" wrapText="1"/>
    </xf>
    <xf numFmtId="0" fontId="11" fillId="4" borderId="12" xfId="27" applyFont="1" applyFill="1" applyBorder="1" applyAlignment="1">
      <alignment horizontal="center" vertical="center"/>
    </xf>
    <xf numFmtId="0" fontId="11" fillId="2" borderId="8" xfId="27" applyFont="1" applyFill="1" applyBorder="1" applyAlignment="1">
      <alignment horizontal="center" vertical="center"/>
    </xf>
    <xf numFmtId="0" fontId="11" fillId="2" borderId="16" xfId="27" applyFont="1" applyFill="1" applyBorder="1" applyAlignment="1">
      <alignment horizontal="center" vertical="center"/>
    </xf>
    <xf numFmtId="0" fontId="11" fillId="2" borderId="14" xfId="27" applyFont="1" applyFill="1" applyBorder="1" applyAlignment="1">
      <alignment horizontal="center" vertical="center"/>
    </xf>
    <xf numFmtId="0" fontId="11" fillId="2" borderId="13" xfId="27" applyFont="1" applyFill="1" applyBorder="1" applyAlignment="1">
      <alignment horizontal="center" vertical="center"/>
    </xf>
    <xf numFmtId="0" fontId="11" fillId="2" borderId="15" xfId="27" applyFont="1" applyFill="1" applyBorder="1" applyAlignment="1">
      <alignment horizontal="center" vertical="center" wrapText="1"/>
    </xf>
    <xf numFmtId="0" fontId="11" fillId="2" borderId="13" xfId="27" applyFont="1" applyFill="1" applyBorder="1" applyAlignment="1">
      <alignment horizontal="center" vertical="center"/>
    </xf>
    <xf numFmtId="0" fontId="11" fillId="2" borderId="14" xfId="27" applyFont="1" applyFill="1" applyBorder="1" applyAlignment="1">
      <alignment horizontal="center" vertical="center"/>
    </xf>
    <xf numFmtId="0" fontId="6" fillId="0" borderId="17" xfId="26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5" fillId="3" borderId="5" xfId="26" applyFont="1" applyFill="1" applyBorder="1" applyAlignment="1">
      <alignment horizontal="center" vertical="center"/>
    </xf>
    <xf numFmtId="0" fontId="5" fillId="3" borderId="3" xfId="26" applyFont="1" applyFill="1" applyBorder="1" applyAlignment="1">
      <alignment horizontal="center" vertical="center"/>
    </xf>
    <xf numFmtId="0" fontId="5" fillId="3" borderId="4" xfId="26" applyFont="1" applyFill="1" applyBorder="1" applyAlignment="1">
      <alignment horizontal="center" vertical="center"/>
    </xf>
    <xf numFmtId="0" fontId="5" fillId="3" borderId="2" xfId="26" applyFont="1" applyFill="1" applyBorder="1" applyAlignment="1">
      <alignment horizontal="center" vertical="center"/>
    </xf>
    <xf numFmtId="0" fontId="11" fillId="2" borderId="13" xfId="27" applyFont="1" applyFill="1" applyBorder="1" applyAlignment="1">
      <alignment horizontal="center" vertical="center"/>
    </xf>
    <xf numFmtId="0" fontId="11" fillId="2" borderId="14" xfId="27" applyFont="1" applyFill="1" applyBorder="1" applyAlignment="1">
      <alignment horizontal="center" vertical="center"/>
    </xf>
    <xf numFmtId="0" fontId="11" fillId="2" borderId="15" xfId="27" applyFont="1" applyFill="1" applyBorder="1" applyAlignment="1">
      <alignment horizontal="center" vertical="center"/>
    </xf>
  </cellXfs>
  <cellStyles count="32">
    <cellStyle name="Обычный" xfId="0" builtinId="0"/>
    <cellStyle name="Обычный 10" xfId="2"/>
    <cellStyle name="Обычный 10 2" xfId="3"/>
    <cellStyle name="Обычный 11" xfId="4"/>
    <cellStyle name="Обычный 11 2" xfId="5"/>
    <cellStyle name="Обычный 12" xfId="6"/>
    <cellStyle name="Обычный 13" xfId="7"/>
    <cellStyle name="Обычный 13 2" xfId="8"/>
    <cellStyle name="Обычный 13 2 2" xfId="27"/>
    <cellStyle name="Обычный 13 2 2 2" xfId="29"/>
    <cellStyle name="Обычный 13 2 2 3" xfId="30"/>
    <cellStyle name="Обычный 13 2 2 4" xfId="31"/>
    <cellStyle name="Обычный 14" xfId="26"/>
    <cellStyle name="Обычный 2" xfId="1"/>
    <cellStyle name="Обычный 2 2" xfId="9"/>
    <cellStyle name="Обычный 2 3" xfId="10"/>
    <cellStyle name="Обычный 2 3 2" xfId="11"/>
    <cellStyle name="Обычный 2 4" xfId="12"/>
    <cellStyle name="Обычный 2 4 2" xfId="13"/>
    <cellStyle name="Обычный 2 5" xfId="14"/>
    <cellStyle name="Обычный 2 6" xfId="28"/>
    <cellStyle name="Обычный 3" xfId="15"/>
    <cellStyle name="Обычный 3 2" xfId="16"/>
    <cellStyle name="Обычный 4" xfId="17"/>
    <cellStyle name="Обычный 4 2" xfId="18"/>
    <cellStyle name="Обычный 5" xfId="19"/>
    <cellStyle name="Обычный 6" xfId="20"/>
    <cellStyle name="Обычный 7" xfId="21"/>
    <cellStyle name="Обычный 8" xfId="22"/>
    <cellStyle name="Обычный 8 2" xfId="23"/>
    <cellStyle name="Обычный 9" xfId="24"/>
    <cellStyle name="Обычный 9 2" xf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2;&#1077;&#1088;&#1077;&#1089;&#1077;&#1085;&#110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6;&#1086;&#1074;&#1090;&#1077;&#1085;&#110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1;&#1080;&#1089;&#1090;&#1086;&#1087;&#1072;&#107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3;&#1088;&#1091;&#1076;&#1077;&#1085;&#11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-1"/>
      <sheetName val="25-2"/>
      <sheetName val="25-3"/>
      <sheetName val="25-4"/>
      <sheetName val="25-5"/>
      <sheetName val="Зведена"/>
    </sheetNames>
    <sheetDataSet>
      <sheetData sheetId="0">
        <row r="12">
          <cell r="D12" t="str">
            <v>Біологія</v>
          </cell>
          <cell r="E12" t="str">
            <v>Богданенко О.В.</v>
          </cell>
          <cell r="AJ12">
            <v>8</v>
          </cell>
        </row>
        <row r="13">
          <cell r="D13" t="str">
            <v>Всесвітня Історія</v>
          </cell>
          <cell r="E13" t="str">
            <v>Мельничук С.А.</v>
          </cell>
          <cell r="AJ13">
            <v>10</v>
          </cell>
        </row>
        <row r="14">
          <cell r="D14" t="str">
            <v>Географія</v>
          </cell>
          <cell r="E14" t="str">
            <v>Наговська Т.С.</v>
          </cell>
          <cell r="AJ14">
            <v>8</v>
          </cell>
        </row>
        <row r="15">
          <cell r="D15" t="str">
            <v>Зарубіжна література</v>
          </cell>
          <cell r="E15" t="str">
            <v>Бабенко Л.Е.</v>
          </cell>
          <cell r="AJ15">
            <v>6</v>
          </cell>
        </row>
        <row r="16">
          <cell r="D16" t="str">
            <v>Захист України</v>
          </cell>
          <cell r="E16" t="str">
            <v>Лазар В.І.</v>
          </cell>
          <cell r="AJ16">
            <v>8</v>
          </cell>
        </row>
        <row r="17">
          <cell r="D17" t="str">
            <v>Іноземна мова</v>
          </cell>
          <cell r="E17" t="str">
            <v>Нічик Н.О.</v>
          </cell>
          <cell r="AJ17">
            <v>8</v>
          </cell>
        </row>
        <row r="18">
          <cell r="D18" t="str">
            <v>Інформатика</v>
          </cell>
          <cell r="E18" t="str">
            <v>Андрльє І.О.</v>
          </cell>
          <cell r="AJ18">
            <v>8</v>
          </cell>
        </row>
        <row r="19">
          <cell r="D19" t="str">
            <v>Історія України</v>
          </cell>
          <cell r="E19" t="str">
            <v>Левчук Т.Г.</v>
          </cell>
          <cell r="AJ19">
            <v>10</v>
          </cell>
        </row>
        <row r="20">
          <cell r="D20" t="str">
            <v>Математика</v>
          </cell>
          <cell r="E20" t="str">
            <v>Бондаренко О.С.</v>
          </cell>
          <cell r="AJ20">
            <v>22</v>
          </cell>
        </row>
        <row r="21">
          <cell r="D21" t="str">
            <v>Українська література</v>
          </cell>
          <cell r="E21" t="str">
            <v>Юрченко О.Б.</v>
          </cell>
          <cell r="AJ21">
            <v>8</v>
          </cell>
        </row>
        <row r="22">
          <cell r="D22" t="str">
            <v>Українська мова</v>
          </cell>
          <cell r="E22" t="str">
            <v>Юрченко О.Б.</v>
          </cell>
          <cell r="AJ22">
            <v>8</v>
          </cell>
        </row>
        <row r="23">
          <cell r="D23" t="str">
            <v>Фізика</v>
          </cell>
          <cell r="E23" t="str">
            <v>Калюта Н.М.</v>
          </cell>
          <cell r="AJ23">
            <v>18</v>
          </cell>
        </row>
        <row r="24">
          <cell r="D24" t="str">
            <v>Фізична культура</v>
          </cell>
          <cell r="E24" t="str">
            <v>Возіян О.Г.</v>
          </cell>
          <cell r="AJ24">
            <v>14</v>
          </cell>
        </row>
        <row r="25">
          <cell r="D25" t="str">
            <v>Хімія</v>
          </cell>
          <cell r="E25" t="str">
            <v>Сахно Н.О.</v>
          </cell>
          <cell r="AJ25">
            <v>10</v>
          </cell>
        </row>
      </sheetData>
      <sheetData sheetId="1">
        <row r="12">
          <cell r="D12" t="str">
            <v>Біологія</v>
          </cell>
          <cell r="E12" t="str">
            <v>Богданенко О.В.</v>
          </cell>
          <cell r="AJ12">
            <v>8</v>
          </cell>
        </row>
        <row r="13">
          <cell r="D13" t="str">
            <v>Всесвітня Історія</v>
          </cell>
          <cell r="E13" t="str">
            <v>Мельничук С.А.</v>
          </cell>
          <cell r="AJ13">
            <v>10</v>
          </cell>
        </row>
        <row r="14">
          <cell r="D14" t="str">
            <v>Географія</v>
          </cell>
          <cell r="E14" t="str">
            <v>Наговська Т.С.</v>
          </cell>
          <cell r="AJ14">
            <v>10</v>
          </cell>
        </row>
        <row r="15">
          <cell r="D15" t="str">
            <v>Зарубіжна література</v>
          </cell>
          <cell r="E15" t="str">
            <v>Бабенко Л. Е.</v>
          </cell>
          <cell r="AJ15">
            <v>6</v>
          </cell>
        </row>
        <row r="16">
          <cell r="D16" t="str">
            <v>Захист України</v>
          </cell>
          <cell r="E16" t="str">
            <v>Лазар В.І.</v>
          </cell>
          <cell r="AJ16">
            <v>8</v>
          </cell>
        </row>
        <row r="17">
          <cell r="D17" t="str">
            <v>Іноземна мова</v>
          </cell>
          <cell r="E17" t="str">
            <v>Нічик Н.О.</v>
          </cell>
          <cell r="AJ17">
            <v>8</v>
          </cell>
        </row>
        <row r="18">
          <cell r="D18" t="str">
            <v>Інформатика</v>
          </cell>
          <cell r="E18" t="str">
            <v>Андрльє І.О.</v>
          </cell>
          <cell r="AJ18">
            <v>10</v>
          </cell>
        </row>
        <row r="19">
          <cell r="D19" t="str">
            <v>Історія України</v>
          </cell>
          <cell r="E19" t="str">
            <v>Левчук Т.Г.</v>
          </cell>
          <cell r="AJ19">
            <v>10</v>
          </cell>
        </row>
        <row r="20">
          <cell r="D20" t="str">
            <v>Математика</v>
          </cell>
          <cell r="E20" t="str">
            <v>Бондаренко О.С.</v>
          </cell>
          <cell r="AJ20">
            <v>18</v>
          </cell>
        </row>
        <row r="21">
          <cell r="D21" t="str">
            <v>Українська література</v>
          </cell>
          <cell r="E21" t="str">
            <v>Антропова Л.І.</v>
          </cell>
          <cell r="AJ21">
            <v>8</v>
          </cell>
        </row>
        <row r="22">
          <cell r="D22" t="str">
            <v>Українська мова</v>
          </cell>
          <cell r="E22" t="str">
            <v>Антропова Л.І.</v>
          </cell>
          <cell r="AJ22">
            <v>8</v>
          </cell>
        </row>
        <row r="23">
          <cell r="D23" t="str">
            <v>Фізика</v>
          </cell>
          <cell r="E23" t="str">
            <v>Калюта Н.М.</v>
          </cell>
          <cell r="AJ23">
            <v>18</v>
          </cell>
        </row>
        <row r="24">
          <cell r="D24" t="str">
            <v>Фізична культура</v>
          </cell>
          <cell r="E24" t="str">
            <v>Возіян О.Г.</v>
          </cell>
          <cell r="AJ24">
            <v>14</v>
          </cell>
        </row>
        <row r="25">
          <cell r="D25" t="str">
            <v>Хімія</v>
          </cell>
          <cell r="E25" t="str">
            <v>Сахно Н.О.</v>
          </cell>
          <cell r="AJ25">
            <v>10</v>
          </cell>
        </row>
      </sheetData>
      <sheetData sheetId="2">
        <row r="12">
          <cell r="D12" t="str">
            <v>Біологія</v>
          </cell>
          <cell r="E12" t="str">
            <v>Богданенко О.В.</v>
          </cell>
          <cell r="AJ12">
            <v>8</v>
          </cell>
        </row>
        <row r="13">
          <cell r="D13" t="str">
            <v>Всесвітня Історія</v>
          </cell>
          <cell r="E13" t="str">
            <v>Мельничук С.А.</v>
          </cell>
          <cell r="AJ13">
            <v>10</v>
          </cell>
        </row>
        <row r="14">
          <cell r="D14" t="str">
            <v>Географія</v>
          </cell>
          <cell r="E14" t="str">
            <v>Наговська Т.С.</v>
          </cell>
          <cell r="AJ14">
            <v>10</v>
          </cell>
        </row>
        <row r="15">
          <cell r="D15" t="str">
            <v>Зарубіжна література</v>
          </cell>
          <cell r="E15" t="str">
            <v>Бабенко Л. Е.</v>
          </cell>
          <cell r="AJ15">
            <v>6</v>
          </cell>
        </row>
        <row r="16">
          <cell r="D16" t="str">
            <v>Захист України</v>
          </cell>
          <cell r="E16" t="str">
            <v>Лазар В.І.</v>
          </cell>
          <cell r="AJ16">
            <v>10</v>
          </cell>
        </row>
        <row r="17">
          <cell r="D17" t="str">
            <v>Іноземна мова</v>
          </cell>
          <cell r="E17" t="str">
            <v>Нічик Н.О.</v>
          </cell>
          <cell r="AJ17">
            <v>8</v>
          </cell>
        </row>
        <row r="18">
          <cell r="D18" t="str">
            <v>Інформатика</v>
          </cell>
          <cell r="E18" t="str">
            <v>Андрльє І.О.</v>
          </cell>
          <cell r="AJ18">
            <v>10</v>
          </cell>
        </row>
        <row r="19">
          <cell r="D19" t="str">
            <v>Історія України</v>
          </cell>
          <cell r="E19" t="str">
            <v>Левчук Т.Г.</v>
          </cell>
          <cell r="AJ19">
            <v>10</v>
          </cell>
        </row>
        <row r="20">
          <cell r="D20" t="str">
            <v>Математика</v>
          </cell>
          <cell r="E20" t="str">
            <v>Земляна Т.М.</v>
          </cell>
          <cell r="AJ20">
            <v>18</v>
          </cell>
        </row>
        <row r="21">
          <cell r="D21" t="str">
            <v>Українська література</v>
          </cell>
          <cell r="E21" t="str">
            <v>Юрченко О.Б.</v>
          </cell>
          <cell r="AJ21">
            <v>8</v>
          </cell>
        </row>
        <row r="22">
          <cell r="D22" t="str">
            <v>Українська мова</v>
          </cell>
          <cell r="E22" t="str">
            <v>Юрченко О.Б.</v>
          </cell>
          <cell r="AJ22">
            <v>8</v>
          </cell>
        </row>
        <row r="23">
          <cell r="D23" t="str">
            <v>Фізика</v>
          </cell>
          <cell r="E23" t="str">
            <v>Калюта Н.М.</v>
          </cell>
          <cell r="AJ23">
            <v>18</v>
          </cell>
        </row>
        <row r="24">
          <cell r="D24" t="str">
            <v>Фізична культура</v>
          </cell>
          <cell r="E24" t="str">
            <v>Галеніна І.С.</v>
          </cell>
          <cell r="AJ24">
            <v>14</v>
          </cell>
        </row>
        <row r="25">
          <cell r="D25" t="str">
            <v>Хімія</v>
          </cell>
          <cell r="E25" t="str">
            <v>Сахно Н.О.</v>
          </cell>
          <cell r="AJ25">
            <v>10</v>
          </cell>
        </row>
      </sheetData>
      <sheetData sheetId="3">
        <row r="12">
          <cell r="D12" t="str">
            <v>Біологія</v>
          </cell>
          <cell r="E12" t="str">
            <v>Богданенко О.В.</v>
          </cell>
          <cell r="AJ12">
            <v>8</v>
          </cell>
        </row>
        <row r="13">
          <cell r="D13" t="str">
            <v>Всесвітня Історія</v>
          </cell>
          <cell r="E13" t="str">
            <v>Мельничук С.А.</v>
          </cell>
          <cell r="AJ13">
            <v>10</v>
          </cell>
        </row>
        <row r="14">
          <cell r="D14" t="str">
            <v>Географія</v>
          </cell>
          <cell r="E14" t="str">
            <v>Наговська Т.С.</v>
          </cell>
          <cell r="AJ14">
            <v>12</v>
          </cell>
        </row>
        <row r="15">
          <cell r="D15" t="str">
            <v>Зарубіжна література</v>
          </cell>
          <cell r="E15" t="str">
            <v>Бабенко Л. Е.</v>
          </cell>
          <cell r="AJ15">
            <v>6</v>
          </cell>
        </row>
        <row r="16">
          <cell r="D16" t="str">
            <v>Захист України</v>
          </cell>
          <cell r="E16" t="str">
            <v>Лазар В.І.</v>
          </cell>
          <cell r="AJ16">
            <v>8</v>
          </cell>
        </row>
        <row r="17">
          <cell r="D17" t="str">
            <v>Іноземна мова</v>
          </cell>
          <cell r="E17" t="str">
            <v>Нічик Н.О.</v>
          </cell>
          <cell r="AJ17">
            <v>8</v>
          </cell>
        </row>
        <row r="18">
          <cell r="D18" t="str">
            <v>Інформатика</v>
          </cell>
          <cell r="E18" t="str">
            <v>Андрльє І.О.</v>
          </cell>
          <cell r="AJ18">
            <v>8</v>
          </cell>
        </row>
        <row r="19">
          <cell r="D19" t="str">
            <v>Історія України</v>
          </cell>
          <cell r="E19" t="str">
            <v>Левчук Т.Г.</v>
          </cell>
          <cell r="AJ19">
            <v>8</v>
          </cell>
        </row>
        <row r="20">
          <cell r="D20" t="str">
            <v>Математика</v>
          </cell>
          <cell r="E20" t="str">
            <v>Земляна Т.М.</v>
          </cell>
          <cell r="AJ20">
            <v>20</v>
          </cell>
        </row>
        <row r="21">
          <cell r="D21" t="str">
            <v>Українська література</v>
          </cell>
          <cell r="E21" t="str">
            <v>Антропова Л.І.</v>
          </cell>
          <cell r="AJ21">
            <v>8</v>
          </cell>
        </row>
        <row r="22">
          <cell r="D22" t="str">
            <v>Українська мова</v>
          </cell>
          <cell r="E22" t="str">
            <v>Антропова Л.І.</v>
          </cell>
          <cell r="AJ22">
            <v>8</v>
          </cell>
        </row>
        <row r="23">
          <cell r="D23" t="str">
            <v>Фізика</v>
          </cell>
          <cell r="E23" t="str">
            <v>Калюта Н.М.</v>
          </cell>
          <cell r="AJ23">
            <v>18</v>
          </cell>
        </row>
        <row r="24">
          <cell r="D24" t="str">
            <v>Фізична культура</v>
          </cell>
          <cell r="E24" t="str">
            <v>Галеніна І.С.</v>
          </cell>
          <cell r="AJ24">
            <v>12</v>
          </cell>
        </row>
        <row r="25">
          <cell r="D25" t="str">
            <v>Хімія</v>
          </cell>
          <cell r="E25" t="str">
            <v>Пономарьов К.М.</v>
          </cell>
          <cell r="AJ25">
            <v>10</v>
          </cell>
        </row>
      </sheetData>
      <sheetData sheetId="4">
        <row r="12">
          <cell r="D12" t="str">
            <v>Біологія</v>
          </cell>
          <cell r="E12" t="str">
            <v>Богданенко О.В.</v>
          </cell>
          <cell r="AJ12">
            <v>8</v>
          </cell>
        </row>
        <row r="13">
          <cell r="D13" t="str">
            <v>Всесвітня Історія</v>
          </cell>
          <cell r="E13" t="str">
            <v>Мельничук С.А.</v>
          </cell>
          <cell r="AJ13">
            <v>8</v>
          </cell>
        </row>
        <row r="14">
          <cell r="D14" t="str">
            <v>Географія</v>
          </cell>
          <cell r="E14" t="str">
            <v>Наговська Т.С.</v>
          </cell>
          <cell r="AJ14">
            <v>12</v>
          </cell>
        </row>
        <row r="15">
          <cell r="D15" t="str">
            <v>Зарубіжна література</v>
          </cell>
          <cell r="E15" t="str">
            <v>Бабенко Л. Е.</v>
          </cell>
          <cell r="AJ15">
            <v>6</v>
          </cell>
        </row>
        <row r="16">
          <cell r="D16" t="str">
            <v>Захист України</v>
          </cell>
          <cell r="E16" t="str">
            <v>Лазар В.І.</v>
          </cell>
          <cell r="AJ16">
            <v>8</v>
          </cell>
        </row>
        <row r="17">
          <cell r="D17" t="str">
            <v>Іноземна мова</v>
          </cell>
          <cell r="E17" t="str">
            <v>Нічик Н.О.</v>
          </cell>
          <cell r="AJ17">
            <v>8</v>
          </cell>
        </row>
        <row r="18">
          <cell r="D18" t="str">
            <v>Інформатика</v>
          </cell>
          <cell r="E18" t="str">
            <v>Андрльє І.О.</v>
          </cell>
          <cell r="AJ18">
            <v>10</v>
          </cell>
        </row>
        <row r="19">
          <cell r="D19" t="str">
            <v>Історія України</v>
          </cell>
          <cell r="E19" t="str">
            <v>Левчук Т.Г.</v>
          </cell>
          <cell r="AJ19">
            <v>8</v>
          </cell>
        </row>
        <row r="20">
          <cell r="D20" t="str">
            <v>Математика</v>
          </cell>
          <cell r="E20" t="str">
            <v>Земляна Т.М.</v>
          </cell>
          <cell r="AJ20">
            <v>18</v>
          </cell>
        </row>
        <row r="21">
          <cell r="D21" t="str">
            <v>Українська література</v>
          </cell>
          <cell r="E21" t="str">
            <v>Юрченко О.Б.</v>
          </cell>
          <cell r="AJ21">
            <v>8</v>
          </cell>
        </row>
        <row r="22">
          <cell r="D22" t="str">
            <v>Українська мова</v>
          </cell>
          <cell r="E22" t="str">
            <v>Юрченко О.Б.</v>
          </cell>
          <cell r="AJ22">
            <v>8</v>
          </cell>
        </row>
        <row r="23">
          <cell r="D23" t="str">
            <v>Фізика</v>
          </cell>
          <cell r="E23" t="str">
            <v>Калюта Н.М.</v>
          </cell>
          <cell r="AJ23">
            <v>16</v>
          </cell>
        </row>
        <row r="24">
          <cell r="D24" t="str">
            <v>Фізична культура</v>
          </cell>
          <cell r="E24" t="str">
            <v>Галеніна І.С.</v>
          </cell>
          <cell r="AJ24">
            <v>12</v>
          </cell>
        </row>
        <row r="25">
          <cell r="D25" t="str">
            <v>Хімія</v>
          </cell>
          <cell r="E25" t="str">
            <v>Пономарьов К.М.</v>
          </cell>
          <cell r="AJ25">
            <v>10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-1"/>
      <sheetName val="25-2"/>
      <sheetName val="25-3"/>
      <sheetName val="25-4"/>
      <sheetName val="25-5"/>
      <sheetName val="Зведена"/>
    </sheetNames>
    <sheetDataSet>
      <sheetData sheetId="0">
        <row r="12">
          <cell r="AK12">
            <v>4</v>
          </cell>
        </row>
        <row r="13">
          <cell r="AK13">
            <v>8</v>
          </cell>
        </row>
        <row r="14">
          <cell r="AK14">
            <v>14</v>
          </cell>
        </row>
        <row r="15">
          <cell r="AK15">
            <v>8</v>
          </cell>
        </row>
        <row r="16">
          <cell r="AK16">
            <v>10</v>
          </cell>
        </row>
        <row r="17">
          <cell r="AK17">
            <v>10</v>
          </cell>
        </row>
        <row r="18">
          <cell r="AK18">
            <v>10</v>
          </cell>
        </row>
        <row r="19">
          <cell r="AK19">
            <v>16</v>
          </cell>
        </row>
        <row r="20">
          <cell r="AK20">
            <v>14</v>
          </cell>
        </row>
        <row r="21">
          <cell r="AK21">
            <v>10</v>
          </cell>
        </row>
        <row r="22">
          <cell r="AK22">
            <v>10</v>
          </cell>
        </row>
        <row r="23">
          <cell r="AK23">
            <v>12</v>
          </cell>
        </row>
        <row r="24">
          <cell r="AK24">
            <v>14</v>
          </cell>
        </row>
        <row r="25">
          <cell r="AK25">
            <v>12</v>
          </cell>
        </row>
      </sheetData>
      <sheetData sheetId="1">
        <row r="12">
          <cell r="AK12">
            <v>4</v>
          </cell>
        </row>
        <row r="13">
          <cell r="AK13">
            <v>8</v>
          </cell>
        </row>
        <row r="14">
          <cell r="AK14">
            <v>12</v>
          </cell>
        </row>
        <row r="15">
          <cell r="AK15">
            <v>10</v>
          </cell>
        </row>
        <row r="16">
          <cell r="AK16">
            <v>10</v>
          </cell>
        </row>
        <row r="17">
          <cell r="AK17">
            <v>10</v>
          </cell>
        </row>
        <row r="18">
          <cell r="AK18">
            <v>8</v>
          </cell>
        </row>
        <row r="19">
          <cell r="AK19">
            <v>16</v>
          </cell>
        </row>
        <row r="20">
          <cell r="AK20">
            <v>14</v>
          </cell>
        </row>
        <row r="21">
          <cell r="AK21">
            <v>10</v>
          </cell>
        </row>
        <row r="22">
          <cell r="AK22">
            <v>10</v>
          </cell>
        </row>
        <row r="23">
          <cell r="AK23">
            <v>12</v>
          </cell>
        </row>
        <row r="24">
          <cell r="AK24">
            <v>14</v>
          </cell>
        </row>
        <row r="25">
          <cell r="AK25">
            <v>14</v>
          </cell>
        </row>
      </sheetData>
      <sheetData sheetId="2">
        <row r="12">
          <cell r="AK12">
            <v>6</v>
          </cell>
        </row>
        <row r="13">
          <cell r="AK13">
            <v>8</v>
          </cell>
        </row>
        <row r="14">
          <cell r="AK14">
            <v>12</v>
          </cell>
        </row>
        <row r="15">
          <cell r="AK15">
            <v>10</v>
          </cell>
        </row>
        <row r="16">
          <cell r="AK16">
            <v>8</v>
          </cell>
        </row>
        <row r="17">
          <cell r="AK17">
            <v>10</v>
          </cell>
        </row>
        <row r="18">
          <cell r="AK18">
            <v>14</v>
          </cell>
        </row>
        <row r="19">
          <cell r="AK19">
            <v>8</v>
          </cell>
        </row>
        <row r="20">
          <cell r="AK20">
            <v>18</v>
          </cell>
        </row>
        <row r="21">
          <cell r="AK21">
            <v>10</v>
          </cell>
        </row>
        <row r="22">
          <cell r="AK22">
            <v>10</v>
          </cell>
        </row>
        <row r="23">
          <cell r="AK23">
            <v>12</v>
          </cell>
        </row>
        <row r="24">
          <cell r="AK24">
            <v>14</v>
          </cell>
        </row>
        <row r="25">
          <cell r="AK25">
            <v>12</v>
          </cell>
        </row>
      </sheetData>
      <sheetData sheetId="3">
        <row r="12">
          <cell r="AK12">
            <v>4</v>
          </cell>
        </row>
        <row r="13">
          <cell r="AK13">
            <v>8</v>
          </cell>
        </row>
        <row r="14">
          <cell r="AK14">
            <v>10</v>
          </cell>
        </row>
        <row r="15">
          <cell r="AK15">
            <v>10</v>
          </cell>
        </row>
        <row r="16">
          <cell r="AK16">
            <v>10</v>
          </cell>
        </row>
        <row r="17">
          <cell r="AK17">
            <v>10</v>
          </cell>
        </row>
        <row r="18">
          <cell r="AK18">
            <v>12</v>
          </cell>
        </row>
        <row r="19">
          <cell r="AK19">
            <v>12</v>
          </cell>
        </row>
        <row r="20">
          <cell r="AK20">
            <v>16</v>
          </cell>
        </row>
        <row r="21">
          <cell r="AK21">
            <v>10</v>
          </cell>
        </row>
        <row r="22">
          <cell r="AK22">
            <v>10</v>
          </cell>
        </row>
        <row r="23">
          <cell r="AK23">
            <v>12</v>
          </cell>
        </row>
        <row r="24">
          <cell r="AK24">
            <v>20</v>
          </cell>
        </row>
        <row r="25">
          <cell r="AK25">
            <v>10</v>
          </cell>
        </row>
      </sheetData>
      <sheetData sheetId="4">
        <row r="12">
          <cell r="AK12">
            <v>2</v>
          </cell>
        </row>
        <row r="13">
          <cell r="AK13">
            <v>10</v>
          </cell>
        </row>
        <row r="14">
          <cell r="AK14">
            <v>10</v>
          </cell>
        </row>
        <row r="15">
          <cell r="AK15">
            <v>10</v>
          </cell>
        </row>
        <row r="16">
          <cell r="AK16">
            <v>10</v>
          </cell>
        </row>
        <row r="17">
          <cell r="AK17">
            <v>10</v>
          </cell>
        </row>
        <row r="18">
          <cell r="AK18">
            <v>12</v>
          </cell>
        </row>
        <row r="19">
          <cell r="AK19">
            <v>10</v>
          </cell>
        </row>
        <row r="20">
          <cell r="AK20">
            <v>18</v>
          </cell>
        </row>
        <row r="21">
          <cell r="AK21">
            <v>10</v>
          </cell>
        </row>
        <row r="22">
          <cell r="AK22">
            <v>10</v>
          </cell>
        </row>
        <row r="23">
          <cell r="AK23">
            <v>14</v>
          </cell>
        </row>
        <row r="24">
          <cell r="AK24">
            <v>22</v>
          </cell>
        </row>
        <row r="25">
          <cell r="AK25">
            <v>8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-1"/>
      <sheetName val="25-2"/>
      <sheetName val="25-3"/>
      <sheetName val="25-4"/>
      <sheetName val="25-5"/>
    </sheetNames>
    <sheetDataSet>
      <sheetData sheetId="0">
        <row r="12">
          <cell r="AH12">
            <v>10</v>
          </cell>
        </row>
        <row r="13">
          <cell r="AH13">
            <v>8</v>
          </cell>
        </row>
        <row r="14">
          <cell r="AH14">
            <v>18</v>
          </cell>
        </row>
        <row r="15">
          <cell r="AH15">
            <v>12</v>
          </cell>
        </row>
        <row r="16">
          <cell r="AH16">
            <v>8</v>
          </cell>
        </row>
        <row r="17">
          <cell r="AH17">
            <v>8</v>
          </cell>
        </row>
        <row r="18">
          <cell r="AH18">
            <v>8</v>
          </cell>
        </row>
        <row r="19">
          <cell r="AH19">
            <v>8</v>
          </cell>
        </row>
        <row r="20">
          <cell r="AH20">
            <v>14</v>
          </cell>
        </row>
        <row r="21">
          <cell r="AH21">
            <v>8</v>
          </cell>
        </row>
        <row r="22">
          <cell r="AH22">
            <v>8</v>
          </cell>
        </row>
        <row r="23">
          <cell r="AH23">
            <v>18</v>
          </cell>
        </row>
        <row r="24">
          <cell r="AH24">
            <v>12</v>
          </cell>
        </row>
        <row r="25">
          <cell r="AH25">
            <v>8</v>
          </cell>
        </row>
      </sheetData>
      <sheetData sheetId="1">
        <row r="12">
          <cell r="AH12">
            <v>10</v>
          </cell>
        </row>
        <row r="13">
          <cell r="AH13">
            <v>8</v>
          </cell>
        </row>
        <row r="14">
          <cell r="AH14">
            <v>16</v>
          </cell>
        </row>
        <row r="15">
          <cell r="AH15">
            <v>10</v>
          </cell>
        </row>
        <row r="16">
          <cell r="AH16">
            <v>8</v>
          </cell>
        </row>
        <row r="17">
          <cell r="AH17">
            <v>8</v>
          </cell>
        </row>
        <row r="18">
          <cell r="AH18">
            <v>8</v>
          </cell>
        </row>
        <row r="19">
          <cell r="AH19">
            <v>8</v>
          </cell>
        </row>
        <row r="20">
          <cell r="AH20">
            <v>16</v>
          </cell>
        </row>
        <row r="21">
          <cell r="AH21">
            <v>8</v>
          </cell>
        </row>
        <row r="22">
          <cell r="AH22">
            <v>8</v>
          </cell>
        </row>
        <row r="23">
          <cell r="AH23">
            <v>18</v>
          </cell>
        </row>
        <row r="24">
          <cell r="AH24">
            <v>12</v>
          </cell>
        </row>
        <row r="25">
          <cell r="AH25">
            <v>10</v>
          </cell>
        </row>
      </sheetData>
      <sheetData sheetId="2">
        <row r="12">
          <cell r="AI12">
            <v>12</v>
          </cell>
        </row>
        <row r="13">
          <cell r="AI13">
            <v>8</v>
          </cell>
        </row>
        <row r="14">
          <cell r="AI14">
            <v>16</v>
          </cell>
        </row>
        <row r="15">
          <cell r="AI15">
            <v>10</v>
          </cell>
        </row>
        <row r="16">
          <cell r="AI16">
            <v>8</v>
          </cell>
        </row>
        <row r="17">
          <cell r="AI17">
            <v>8</v>
          </cell>
        </row>
        <row r="18">
          <cell r="AI18">
            <v>8</v>
          </cell>
        </row>
        <row r="19">
          <cell r="AI19">
            <v>10</v>
          </cell>
        </row>
        <row r="20">
          <cell r="AI20">
            <v>16</v>
          </cell>
        </row>
        <row r="21">
          <cell r="AI21">
            <v>8</v>
          </cell>
        </row>
        <row r="22">
          <cell r="AI22">
            <v>8</v>
          </cell>
        </row>
        <row r="23">
          <cell r="AI23">
            <v>18</v>
          </cell>
        </row>
        <row r="24">
          <cell r="AI24">
            <v>12</v>
          </cell>
        </row>
        <row r="25">
          <cell r="AI25">
            <v>8</v>
          </cell>
        </row>
      </sheetData>
      <sheetData sheetId="3">
        <row r="12">
          <cell r="AG12">
            <v>8</v>
          </cell>
        </row>
        <row r="13">
          <cell r="AG13">
            <v>8</v>
          </cell>
        </row>
        <row r="14">
          <cell r="AG14">
            <v>14</v>
          </cell>
        </row>
        <row r="15">
          <cell r="AG15">
            <v>10</v>
          </cell>
        </row>
        <row r="16">
          <cell r="AG16">
            <v>8</v>
          </cell>
        </row>
        <row r="17">
          <cell r="AG17">
            <v>8</v>
          </cell>
        </row>
        <row r="18">
          <cell r="AG18">
            <v>10</v>
          </cell>
        </row>
        <row r="19">
          <cell r="AG19">
            <v>8</v>
          </cell>
        </row>
        <row r="20">
          <cell r="AG20">
            <v>16</v>
          </cell>
        </row>
        <row r="21">
          <cell r="AG21">
            <v>8</v>
          </cell>
        </row>
        <row r="22">
          <cell r="AG22">
            <v>8</v>
          </cell>
        </row>
        <row r="23">
          <cell r="AG23">
            <v>18</v>
          </cell>
        </row>
        <row r="24">
          <cell r="AG24">
            <v>12</v>
          </cell>
        </row>
        <row r="25">
          <cell r="AG25">
            <v>10</v>
          </cell>
        </row>
      </sheetData>
      <sheetData sheetId="4">
        <row r="12">
          <cell r="AG12">
            <v>8</v>
          </cell>
        </row>
        <row r="13">
          <cell r="AG13">
            <v>8</v>
          </cell>
        </row>
        <row r="14">
          <cell r="AG14">
            <v>14</v>
          </cell>
        </row>
        <row r="15">
          <cell r="AG15">
            <v>10</v>
          </cell>
        </row>
        <row r="16">
          <cell r="AG16">
            <v>8</v>
          </cell>
        </row>
        <row r="17">
          <cell r="AG17">
            <v>8</v>
          </cell>
        </row>
        <row r="18">
          <cell r="AG18">
            <v>10</v>
          </cell>
        </row>
        <row r="19">
          <cell r="AG19">
            <v>8</v>
          </cell>
        </row>
        <row r="20">
          <cell r="AG20">
            <v>16</v>
          </cell>
        </row>
        <row r="21">
          <cell r="AG21">
            <v>8</v>
          </cell>
        </row>
        <row r="22">
          <cell r="AG22">
            <v>8</v>
          </cell>
        </row>
        <row r="23">
          <cell r="AG23">
            <v>18</v>
          </cell>
        </row>
        <row r="24">
          <cell r="AG24">
            <v>14</v>
          </cell>
        </row>
        <row r="25">
          <cell r="AG25">
            <v>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-1"/>
      <sheetName val="25-2"/>
      <sheetName val="25-3"/>
      <sheetName val="25-4"/>
      <sheetName val="25-5"/>
    </sheetNames>
    <sheetDataSet>
      <sheetData sheetId="0">
        <row r="12">
          <cell r="AH12">
            <v>12</v>
          </cell>
        </row>
        <row r="13">
          <cell r="AH13">
            <v>8</v>
          </cell>
        </row>
        <row r="14">
          <cell r="AH14">
            <v>0</v>
          </cell>
        </row>
        <row r="15">
          <cell r="AH15">
            <v>8</v>
          </cell>
        </row>
        <row r="16">
          <cell r="AH16">
            <v>8</v>
          </cell>
        </row>
        <row r="17">
          <cell r="AH17">
            <v>8</v>
          </cell>
        </row>
        <row r="18">
          <cell r="AH18">
            <v>8</v>
          </cell>
        </row>
        <row r="19">
          <cell r="AH19">
            <v>0</v>
          </cell>
        </row>
        <row r="20">
          <cell r="AH20">
            <v>18</v>
          </cell>
        </row>
        <row r="21">
          <cell r="AH21">
            <v>8</v>
          </cell>
        </row>
        <row r="22">
          <cell r="AH22">
            <v>8</v>
          </cell>
        </row>
        <row r="23">
          <cell r="AH23">
            <v>16</v>
          </cell>
        </row>
        <row r="24">
          <cell r="AH24">
            <v>11</v>
          </cell>
        </row>
        <row r="25">
          <cell r="AH25">
            <v>4</v>
          </cell>
        </row>
      </sheetData>
      <sheetData sheetId="1">
        <row r="12">
          <cell r="AH12">
            <v>12</v>
          </cell>
        </row>
        <row r="13">
          <cell r="AH13">
            <v>8</v>
          </cell>
        </row>
        <row r="14">
          <cell r="AH14">
            <v>2</v>
          </cell>
        </row>
        <row r="15">
          <cell r="AH15">
            <v>8</v>
          </cell>
        </row>
        <row r="16">
          <cell r="AH16">
            <v>8</v>
          </cell>
        </row>
        <row r="17">
          <cell r="AH17">
            <v>8</v>
          </cell>
        </row>
        <row r="18">
          <cell r="AH18">
            <v>8</v>
          </cell>
        </row>
        <row r="19">
          <cell r="AH19">
            <v>0</v>
          </cell>
        </row>
        <row r="20">
          <cell r="AH20">
            <v>20</v>
          </cell>
        </row>
        <row r="21">
          <cell r="AH21">
            <v>8</v>
          </cell>
        </row>
        <row r="22">
          <cell r="AH22">
            <v>8</v>
          </cell>
        </row>
        <row r="23">
          <cell r="AH23">
            <v>16</v>
          </cell>
        </row>
        <row r="24">
          <cell r="AH24">
            <v>11</v>
          </cell>
        </row>
        <row r="25">
          <cell r="AH25">
            <v>0</v>
          </cell>
        </row>
      </sheetData>
      <sheetData sheetId="2">
        <row r="12">
          <cell r="AH12">
            <v>8</v>
          </cell>
        </row>
        <row r="13">
          <cell r="AH13">
            <v>8</v>
          </cell>
        </row>
        <row r="14">
          <cell r="AH14">
            <v>2</v>
          </cell>
        </row>
        <row r="15">
          <cell r="AH15">
            <v>8</v>
          </cell>
        </row>
        <row r="16">
          <cell r="AH16">
            <v>8</v>
          </cell>
        </row>
        <row r="17">
          <cell r="AH17">
            <v>8</v>
          </cell>
        </row>
        <row r="18">
          <cell r="AH18">
            <v>2</v>
          </cell>
        </row>
        <row r="19">
          <cell r="AH19">
            <v>6</v>
          </cell>
        </row>
        <row r="20">
          <cell r="AH20">
            <v>16</v>
          </cell>
        </row>
        <row r="21">
          <cell r="AH21">
            <v>8</v>
          </cell>
        </row>
        <row r="22">
          <cell r="AH22">
            <v>8</v>
          </cell>
        </row>
        <row r="23">
          <cell r="AH23">
            <v>16</v>
          </cell>
        </row>
        <row r="24">
          <cell r="AH24">
            <v>11</v>
          </cell>
        </row>
        <row r="25">
          <cell r="AH25">
            <v>4</v>
          </cell>
        </row>
      </sheetData>
      <sheetData sheetId="3">
        <row r="12">
          <cell r="AH12">
            <v>14</v>
          </cell>
        </row>
        <row r="13">
          <cell r="AH13">
            <v>8</v>
          </cell>
        </row>
        <row r="14">
          <cell r="AH14">
            <v>4</v>
          </cell>
        </row>
        <row r="15">
          <cell r="AH15">
            <v>8</v>
          </cell>
        </row>
        <row r="16">
          <cell r="AH16">
            <v>8</v>
          </cell>
        </row>
        <row r="17">
          <cell r="AH17">
            <v>8</v>
          </cell>
        </row>
        <row r="18">
          <cell r="AH18">
            <v>4</v>
          </cell>
        </row>
        <row r="19">
          <cell r="AH19">
            <v>6</v>
          </cell>
        </row>
        <row r="20">
          <cell r="AH20">
            <v>16</v>
          </cell>
        </row>
        <row r="21">
          <cell r="AH21">
            <v>8</v>
          </cell>
        </row>
        <row r="22">
          <cell r="AH22">
            <v>8</v>
          </cell>
        </row>
        <row r="23">
          <cell r="AH23">
            <v>16</v>
          </cell>
        </row>
        <row r="24">
          <cell r="AH24">
            <v>7</v>
          </cell>
        </row>
        <row r="25">
          <cell r="AH25">
            <v>4</v>
          </cell>
        </row>
      </sheetData>
      <sheetData sheetId="4">
        <row r="12">
          <cell r="AH12">
            <v>16</v>
          </cell>
        </row>
        <row r="13">
          <cell r="AH13">
            <v>8</v>
          </cell>
        </row>
        <row r="14">
          <cell r="AH14">
            <v>4</v>
          </cell>
        </row>
        <row r="15">
          <cell r="AH15">
            <v>8</v>
          </cell>
        </row>
        <row r="16">
          <cell r="AH16">
            <v>8</v>
          </cell>
        </row>
        <row r="17">
          <cell r="AH17">
            <v>8</v>
          </cell>
        </row>
        <row r="18">
          <cell r="AH18">
            <v>2</v>
          </cell>
        </row>
        <row r="19">
          <cell r="AH19">
            <v>8</v>
          </cell>
        </row>
        <row r="20">
          <cell r="AH20">
            <v>16</v>
          </cell>
        </row>
        <row r="21">
          <cell r="AH21">
            <v>8</v>
          </cell>
        </row>
        <row r="22">
          <cell r="AH22">
            <v>8</v>
          </cell>
        </row>
        <row r="23">
          <cell r="AH23">
            <v>16</v>
          </cell>
        </row>
        <row r="24">
          <cell r="AH24">
            <v>3</v>
          </cell>
        </row>
        <row r="25">
          <cell r="AH25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tabColor indexed="11"/>
    <pageSetUpPr fitToPage="1"/>
  </sheetPr>
  <dimension ref="A1:BQ36"/>
  <sheetViews>
    <sheetView tabSelected="1" zoomScaleNormal="100" workbookViewId="0">
      <selection activeCell="K11" sqref="K11"/>
    </sheetView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0" width="13.7109375" style="3" customWidth="1"/>
    <col min="11" max="11" width="15.7109375" style="3" customWidth="1"/>
    <col min="12" max="13" width="2.7109375" style="3" customWidth="1"/>
    <col min="14" max="14" width="9.140625" style="3" hidden="1" customWidth="1"/>
    <col min="15" max="25" width="0" style="3" hidden="1" customWidth="1"/>
    <col min="26" max="26" width="9.140625" style="3" hidden="1" customWidth="1"/>
    <col min="27" max="35" width="0" style="3" hidden="1" customWidth="1"/>
    <col min="36" max="36" width="9.140625" style="3" hidden="1" customWidth="1"/>
    <col min="37" max="40" width="0" style="3" hidden="1" customWidth="1"/>
    <col min="41" max="41" width="9.140625" style="3" hidden="1" customWidth="1"/>
    <col min="42" max="53" width="0" style="3" hidden="1" customWidth="1"/>
    <col min="54" max="54" width="9.140625" style="3" hidden="1" customWidth="1"/>
    <col min="55" max="58" width="0" style="3" hidden="1" customWidth="1"/>
    <col min="59" max="59" width="9.140625" style="3" hidden="1" customWidth="1"/>
    <col min="60" max="69" width="0" style="3" hidden="1" customWidth="1"/>
    <col min="70" max="16384" width="9.140625" style="3" hidden="1"/>
  </cols>
  <sheetData>
    <row r="1" spans="1:13" s="1" customFormat="1" ht="12" customHeight="1" thickBot="1" x14ac:dyDescent="0.2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3" s="1" customFormat="1" ht="12" customHeight="1" thickBot="1" x14ac:dyDescent="0.25">
      <c r="A2" s="3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3"/>
    </row>
    <row r="3" spans="1:13" s="1" customFormat="1" ht="30" customHeight="1" thickBot="1" x14ac:dyDescent="0.25">
      <c r="A3" s="32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 t="s">
        <v>6</v>
      </c>
      <c r="H3" s="19" t="s">
        <v>7</v>
      </c>
      <c r="I3" s="19" t="s">
        <v>8</v>
      </c>
      <c r="J3" s="19" t="s">
        <v>9</v>
      </c>
      <c r="K3" s="17" t="s">
        <v>5</v>
      </c>
      <c r="L3" s="2"/>
      <c r="M3" s="33"/>
    </row>
    <row r="4" spans="1:13" s="1" customFormat="1" ht="15" customHeight="1" x14ac:dyDescent="0.2">
      <c r="A4" s="32"/>
      <c r="B4" s="2"/>
      <c r="C4" s="9">
        <v>1</v>
      </c>
      <c r="D4" s="6" t="str">
        <f>'[1]25-1'!D12</f>
        <v>Біологія</v>
      </c>
      <c r="E4" s="6" t="str">
        <f>'[1]25-1'!E12</f>
        <v>Богданенко О.В.</v>
      </c>
      <c r="F4" s="8">
        <v>34</v>
      </c>
      <c r="G4" s="25">
        <f>'[1]25-1'!$AJ12</f>
        <v>8</v>
      </c>
      <c r="H4" s="25">
        <f>'[2]25-1'!$AK12</f>
        <v>4</v>
      </c>
      <c r="I4" s="25">
        <f>'[3]25-1'!$AH12</f>
        <v>10</v>
      </c>
      <c r="J4" s="25">
        <f>'[4]25-1'!$AH12</f>
        <v>12</v>
      </c>
      <c r="K4" s="8" t="str">
        <f t="shared" ref="K4:K18" si="0">IF(F4-SUM(G4:J4)=0,"0", IF(F4-SUM(G4:J4)&lt;0,"Избыток "&amp;(F4-SUM(G4:J4))*(-1),"Не хватает "&amp;F4-SUM(G4:J4)))</f>
        <v>0</v>
      </c>
      <c r="L4" s="2"/>
      <c r="M4" s="33"/>
    </row>
    <row r="5" spans="1:13" s="1" customFormat="1" ht="15" customHeight="1" x14ac:dyDescent="0.2">
      <c r="A5" s="32"/>
      <c r="B5" s="2"/>
      <c r="C5" s="10">
        <v>2</v>
      </c>
      <c r="D5" s="12" t="str">
        <f>'[1]25-1'!D13</f>
        <v>Всесвітня Історія</v>
      </c>
      <c r="E5" s="13" t="str">
        <f>'[1]25-1'!$E13</f>
        <v>Мельничук С.А.</v>
      </c>
      <c r="F5" s="11">
        <v>34</v>
      </c>
      <c r="G5" s="26">
        <f>'[1]25-1'!$AJ13</f>
        <v>10</v>
      </c>
      <c r="H5" s="26">
        <f>'[2]25-1'!$AK13</f>
        <v>8</v>
      </c>
      <c r="I5" s="26">
        <f>'[3]25-1'!$AH13</f>
        <v>8</v>
      </c>
      <c r="J5" s="26">
        <f>'[4]25-1'!$AH13</f>
        <v>8</v>
      </c>
      <c r="K5" s="11" t="str">
        <f t="shared" si="0"/>
        <v>0</v>
      </c>
      <c r="L5" s="2"/>
      <c r="M5" s="33"/>
    </row>
    <row r="6" spans="1:13" s="1" customFormat="1" ht="15" customHeight="1" x14ac:dyDescent="0.2">
      <c r="A6" s="32"/>
      <c r="B6" s="2"/>
      <c r="C6" s="9">
        <v>3</v>
      </c>
      <c r="D6" s="5" t="str">
        <f>'[1]25-1'!D14</f>
        <v>Географія</v>
      </c>
      <c r="E6" s="7" t="str">
        <f>'[1]25-1'!$E14</f>
        <v>Наговська Т.С.</v>
      </c>
      <c r="F6" s="8">
        <v>40</v>
      </c>
      <c r="G6" s="27">
        <f>'[1]25-1'!$AJ14</f>
        <v>8</v>
      </c>
      <c r="H6" s="27">
        <f>'[2]25-1'!$AK14</f>
        <v>14</v>
      </c>
      <c r="I6" s="27">
        <f>'[3]25-1'!$AH14</f>
        <v>18</v>
      </c>
      <c r="J6" s="27">
        <f>'[4]25-1'!$AH14</f>
        <v>0</v>
      </c>
      <c r="K6" s="8" t="str">
        <f t="shared" si="0"/>
        <v>0</v>
      </c>
      <c r="L6" s="2"/>
      <c r="M6" s="33"/>
    </row>
    <row r="7" spans="1:13" s="1" customFormat="1" ht="15" customHeight="1" x14ac:dyDescent="0.2">
      <c r="A7" s="32"/>
      <c r="B7" s="2"/>
      <c r="C7" s="10">
        <v>4</v>
      </c>
      <c r="D7" s="12" t="str">
        <f>'[1]25-1'!D15</f>
        <v>Зарубіжна література</v>
      </c>
      <c r="E7" s="13" t="str">
        <f>'[1]25-1'!$E15</f>
        <v>Бабенко Л.Е.</v>
      </c>
      <c r="F7" s="11">
        <v>34</v>
      </c>
      <c r="G7" s="26">
        <f>'[1]25-1'!$AJ15</f>
        <v>6</v>
      </c>
      <c r="H7" s="26">
        <f>'[2]25-1'!$AK15</f>
        <v>8</v>
      </c>
      <c r="I7" s="26">
        <f>'[3]25-1'!$AH15</f>
        <v>12</v>
      </c>
      <c r="J7" s="26">
        <f>'[4]25-1'!$AH15</f>
        <v>8</v>
      </c>
      <c r="K7" s="11" t="str">
        <f t="shared" si="0"/>
        <v>0</v>
      </c>
      <c r="L7" s="2"/>
      <c r="M7" s="33"/>
    </row>
    <row r="8" spans="1:13" s="1" customFormat="1" ht="15" customHeight="1" x14ac:dyDescent="0.2">
      <c r="A8" s="32"/>
      <c r="B8" s="2"/>
      <c r="C8" s="24">
        <v>5</v>
      </c>
      <c r="D8" s="5" t="str">
        <f>'[1]25-1'!D16</f>
        <v>Захист України</v>
      </c>
      <c r="E8" s="7" t="str">
        <f>'[1]25-1'!$E16</f>
        <v>Лазар В.І.</v>
      </c>
      <c r="F8" s="8">
        <v>34</v>
      </c>
      <c r="G8" s="27">
        <f>'[1]25-1'!$AJ16</f>
        <v>8</v>
      </c>
      <c r="H8" s="27">
        <f>'[2]25-1'!$AK16</f>
        <v>10</v>
      </c>
      <c r="I8" s="27">
        <f>'[3]25-1'!$AH16</f>
        <v>8</v>
      </c>
      <c r="J8" s="27">
        <f>'[4]25-1'!$AH16</f>
        <v>8</v>
      </c>
      <c r="K8" s="8" t="str">
        <f t="shared" si="0"/>
        <v>0</v>
      </c>
      <c r="L8" s="2"/>
      <c r="M8" s="33"/>
    </row>
    <row r="9" spans="1:13" s="1" customFormat="1" ht="15" customHeight="1" x14ac:dyDescent="0.2">
      <c r="A9" s="32"/>
      <c r="B9" s="2"/>
      <c r="C9" s="10">
        <v>6</v>
      </c>
      <c r="D9" s="12" t="str">
        <f>'[1]25-1'!D17</f>
        <v>Іноземна мова</v>
      </c>
      <c r="E9" s="13" t="str">
        <f>'[1]25-1'!$E17</f>
        <v>Нічик Н.О.</v>
      </c>
      <c r="F9" s="11">
        <v>34</v>
      </c>
      <c r="G9" s="26">
        <f>'[1]25-1'!$AJ17</f>
        <v>8</v>
      </c>
      <c r="H9" s="26">
        <f>'[2]25-1'!$AK17</f>
        <v>10</v>
      </c>
      <c r="I9" s="26">
        <f>'[3]25-1'!$AH17</f>
        <v>8</v>
      </c>
      <c r="J9" s="26">
        <f>'[4]25-1'!$AH17</f>
        <v>8</v>
      </c>
      <c r="K9" s="11" t="str">
        <f t="shared" si="0"/>
        <v>0</v>
      </c>
      <c r="L9" s="2"/>
      <c r="M9" s="33"/>
    </row>
    <row r="10" spans="1:13" s="1" customFormat="1" ht="15" customHeight="1" x14ac:dyDescent="0.2">
      <c r="A10" s="32"/>
      <c r="B10" s="2"/>
      <c r="C10" s="9">
        <v>7</v>
      </c>
      <c r="D10" s="4" t="str">
        <f>'[1]25-1'!D18</f>
        <v>Інформатика</v>
      </c>
      <c r="E10" s="6" t="str">
        <f>'[1]25-1'!$E18</f>
        <v>Андрльє І.О.</v>
      </c>
      <c r="F10" s="8">
        <v>34</v>
      </c>
      <c r="G10" s="28">
        <f>'[1]25-1'!$AJ18</f>
        <v>8</v>
      </c>
      <c r="H10" s="28">
        <f>'[2]25-1'!$AK18</f>
        <v>10</v>
      </c>
      <c r="I10" s="28">
        <f>'[3]25-1'!$AH18</f>
        <v>8</v>
      </c>
      <c r="J10" s="28">
        <f>'[4]25-1'!$AH18</f>
        <v>8</v>
      </c>
      <c r="K10" s="8" t="str">
        <f t="shared" si="0"/>
        <v>0</v>
      </c>
      <c r="L10" s="2"/>
      <c r="M10" s="33"/>
    </row>
    <row r="11" spans="1:13" s="1" customFormat="1" ht="15" customHeight="1" x14ac:dyDescent="0.2">
      <c r="A11" s="32"/>
      <c r="B11" s="2"/>
      <c r="C11" s="10">
        <v>8</v>
      </c>
      <c r="D11" s="12" t="str">
        <f>'[1]25-1'!D19</f>
        <v>Історія України</v>
      </c>
      <c r="E11" s="13" t="str">
        <f>'[1]25-1'!$E19</f>
        <v>Левчук Т.Г.</v>
      </c>
      <c r="F11" s="11">
        <v>34</v>
      </c>
      <c r="G11" s="26">
        <f>'[1]25-1'!$AJ19</f>
        <v>10</v>
      </c>
      <c r="H11" s="26">
        <f>'[2]25-1'!$AK19</f>
        <v>16</v>
      </c>
      <c r="I11" s="26">
        <f>'[3]25-1'!$AH19</f>
        <v>8</v>
      </c>
      <c r="J11" s="26">
        <f>'[4]25-1'!$AH19</f>
        <v>0</v>
      </c>
      <c r="K11" s="11" t="str">
        <f t="shared" si="0"/>
        <v>0</v>
      </c>
      <c r="L11" s="2"/>
      <c r="M11" s="33"/>
    </row>
    <row r="12" spans="1:13" s="1" customFormat="1" ht="15" customHeight="1" x14ac:dyDescent="0.2">
      <c r="A12" s="32"/>
      <c r="B12" s="2"/>
      <c r="C12" s="9">
        <v>9</v>
      </c>
      <c r="D12" s="4" t="str">
        <f>'[1]25-1'!D20</f>
        <v>Математика</v>
      </c>
      <c r="E12" s="6" t="str">
        <f>'[1]25-1'!$E20</f>
        <v>Бондаренко О.С.</v>
      </c>
      <c r="F12" s="8">
        <v>68</v>
      </c>
      <c r="G12" s="28">
        <f>'[1]25-1'!$AJ20</f>
        <v>22</v>
      </c>
      <c r="H12" s="28">
        <f>'[2]25-1'!$AK20</f>
        <v>14</v>
      </c>
      <c r="I12" s="28">
        <f>'[3]25-1'!$AH20</f>
        <v>14</v>
      </c>
      <c r="J12" s="28">
        <f>'[4]25-1'!$AH20</f>
        <v>18</v>
      </c>
      <c r="K12" s="8" t="str">
        <f t="shared" si="0"/>
        <v>0</v>
      </c>
      <c r="L12" s="2"/>
      <c r="M12" s="33"/>
    </row>
    <row r="13" spans="1:13" s="1" customFormat="1" ht="15" customHeight="1" x14ac:dyDescent="0.2">
      <c r="A13" s="32"/>
      <c r="B13" s="2"/>
      <c r="C13" s="10">
        <v>10</v>
      </c>
      <c r="D13" s="12" t="str">
        <f>'[1]25-1'!D21</f>
        <v>Українська література</v>
      </c>
      <c r="E13" s="13" t="str">
        <f>'[1]25-1'!$E21</f>
        <v>Юрченко О.Б.</v>
      </c>
      <c r="F13" s="11">
        <v>34</v>
      </c>
      <c r="G13" s="26">
        <f>'[1]25-1'!$AJ21</f>
        <v>8</v>
      </c>
      <c r="H13" s="26">
        <f>'[2]25-1'!$AK21</f>
        <v>10</v>
      </c>
      <c r="I13" s="26">
        <f>'[3]25-1'!$AH21</f>
        <v>8</v>
      </c>
      <c r="J13" s="26">
        <f>'[4]25-1'!$AH21</f>
        <v>8</v>
      </c>
      <c r="K13" s="11" t="str">
        <f t="shared" si="0"/>
        <v>0</v>
      </c>
      <c r="L13" s="2"/>
      <c r="M13" s="33"/>
    </row>
    <row r="14" spans="1:13" s="1" customFormat="1" ht="15" customHeight="1" x14ac:dyDescent="0.2">
      <c r="A14" s="32"/>
      <c r="B14" s="2"/>
      <c r="C14" s="9">
        <v>11</v>
      </c>
      <c r="D14" s="4" t="str">
        <f>'[1]25-1'!D22</f>
        <v>Українська мова</v>
      </c>
      <c r="E14" s="6" t="str">
        <f>'[1]25-1'!$E22</f>
        <v>Юрченко О.Б.</v>
      </c>
      <c r="F14" s="8">
        <v>34</v>
      </c>
      <c r="G14" s="28">
        <f>'[1]25-1'!$AJ22</f>
        <v>8</v>
      </c>
      <c r="H14" s="28">
        <f>'[2]25-1'!$AK22</f>
        <v>10</v>
      </c>
      <c r="I14" s="28">
        <f>'[3]25-1'!$AH22</f>
        <v>8</v>
      </c>
      <c r="J14" s="28">
        <f>'[4]25-1'!$AH22</f>
        <v>8</v>
      </c>
      <c r="K14" s="8" t="str">
        <f t="shared" si="0"/>
        <v>0</v>
      </c>
      <c r="L14" s="2"/>
      <c r="M14" s="33"/>
    </row>
    <row r="15" spans="1:13" s="1" customFormat="1" ht="15" customHeight="1" x14ac:dyDescent="0.2">
      <c r="A15" s="32"/>
      <c r="B15" s="2"/>
      <c r="C15" s="10">
        <v>12</v>
      </c>
      <c r="D15" s="12" t="str">
        <f>'[1]25-1'!D23</f>
        <v>Фізика</v>
      </c>
      <c r="E15" s="13" t="str">
        <f>'[1]25-1'!$E23</f>
        <v>Калюта Н.М.</v>
      </c>
      <c r="F15" s="11">
        <v>68</v>
      </c>
      <c r="G15" s="26">
        <f>'[1]25-1'!$AJ23</f>
        <v>18</v>
      </c>
      <c r="H15" s="26">
        <f>'[2]25-1'!$AK23</f>
        <v>12</v>
      </c>
      <c r="I15" s="26">
        <f>'[3]25-1'!$AH23</f>
        <v>18</v>
      </c>
      <c r="J15" s="26">
        <f>'[4]25-1'!$AH23</f>
        <v>16</v>
      </c>
      <c r="K15" s="11" t="str">
        <f t="shared" si="0"/>
        <v>Не хватает 4</v>
      </c>
      <c r="L15" s="2"/>
      <c r="M15" s="33"/>
    </row>
    <row r="16" spans="1:13" s="1" customFormat="1" ht="15" customHeight="1" x14ac:dyDescent="0.2">
      <c r="A16" s="32"/>
      <c r="B16" s="2"/>
      <c r="C16" s="9">
        <v>13</v>
      </c>
      <c r="D16" s="4" t="str">
        <f>'[1]25-1'!D24</f>
        <v>Фізична культура</v>
      </c>
      <c r="E16" s="6" t="str">
        <f>'[1]25-1'!$E24</f>
        <v>Возіян О.Г.</v>
      </c>
      <c r="F16" s="8">
        <v>51</v>
      </c>
      <c r="G16" s="28">
        <f>'[1]25-1'!$AJ24</f>
        <v>14</v>
      </c>
      <c r="H16" s="28">
        <f>'[2]25-1'!$AK24</f>
        <v>14</v>
      </c>
      <c r="I16" s="28">
        <f>'[3]25-1'!$AH24</f>
        <v>12</v>
      </c>
      <c r="J16" s="28">
        <f>'[4]25-1'!$AH24</f>
        <v>11</v>
      </c>
      <c r="K16" s="8" t="str">
        <f t="shared" si="0"/>
        <v>0</v>
      </c>
      <c r="L16" s="2"/>
      <c r="M16" s="33"/>
    </row>
    <row r="17" spans="1:13" s="1" customFormat="1" ht="15" customHeight="1" thickBot="1" x14ac:dyDescent="0.25">
      <c r="A17" s="32"/>
      <c r="B17" s="2"/>
      <c r="C17" s="10">
        <v>14</v>
      </c>
      <c r="D17" s="14" t="str">
        <f>'[1]25-1'!D25</f>
        <v>Хімія</v>
      </c>
      <c r="E17" s="15" t="str">
        <f>'[1]25-1'!$E25</f>
        <v>Сахно Н.О.</v>
      </c>
      <c r="F17" s="16">
        <v>34</v>
      </c>
      <c r="G17" s="29">
        <f>'[1]25-1'!$AJ25</f>
        <v>10</v>
      </c>
      <c r="H17" s="29">
        <f>'[2]25-1'!$AK25</f>
        <v>12</v>
      </c>
      <c r="I17" s="29">
        <f>'[3]25-1'!$AH25</f>
        <v>8</v>
      </c>
      <c r="J17" s="29">
        <f>'[4]25-1'!$AH25</f>
        <v>4</v>
      </c>
      <c r="K17" s="16" t="str">
        <f t="shared" si="0"/>
        <v>0</v>
      </c>
      <c r="L17" s="2"/>
      <c r="M17" s="33"/>
    </row>
    <row r="18" spans="1:13" s="1" customFormat="1" ht="15" customHeight="1" thickBot="1" x14ac:dyDescent="0.25">
      <c r="A18" s="32"/>
      <c r="B18" s="2"/>
      <c r="C18" s="34" t="s">
        <v>2</v>
      </c>
      <c r="D18" s="35"/>
      <c r="E18" s="36"/>
      <c r="F18" s="17">
        <f>SUM(F4:F17)</f>
        <v>567</v>
      </c>
      <c r="G18" s="18">
        <f>SUM(G4:G17)</f>
        <v>146</v>
      </c>
      <c r="H18" s="19">
        <f>SUM(H4:H17)</f>
        <v>152</v>
      </c>
      <c r="I18" s="19">
        <f>SUM(I4:I17)</f>
        <v>148</v>
      </c>
      <c r="J18" s="19">
        <f>SUM(J4:J17)</f>
        <v>117</v>
      </c>
      <c r="K18" s="17" t="str">
        <f t="shared" si="0"/>
        <v>Не хватает 4</v>
      </c>
      <c r="L18" s="2"/>
      <c r="M18" s="33"/>
    </row>
    <row r="19" spans="1:13" ht="12.95" customHeight="1" thickBot="1" x14ac:dyDescent="0.25">
      <c r="A19" s="3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33"/>
    </row>
    <row r="20" spans="1:13" ht="12" customHeight="1" x14ac:dyDescent="0.2">
      <c r="A20" s="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1"/>
    </row>
    <row r="21" spans="1:13" ht="12.75" hidden="1" customHeight="1" x14ac:dyDescent="0.2"/>
    <row r="22" spans="1:13" ht="12.75" hidden="1" customHeight="1" x14ac:dyDescent="0.2"/>
    <row r="23" spans="1:13" ht="12.75" hidden="1" customHeight="1" x14ac:dyDescent="0.2"/>
    <row r="24" spans="1:13" ht="12.75" hidden="1" customHeight="1" x14ac:dyDescent="0.2"/>
    <row r="25" spans="1:13" ht="12.75" hidden="1" customHeight="1" x14ac:dyDescent="0.2"/>
    <row r="26" spans="1:13" ht="12.75" hidden="1" customHeight="1" x14ac:dyDescent="0.2"/>
    <row r="27" spans="1:13" ht="12.75" hidden="1" customHeight="1" x14ac:dyDescent="0.2"/>
    <row r="28" spans="1:13" ht="12.75" hidden="1" customHeight="1" x14ac:dyDescent="0.2"/>
    <row r="29" spans="1:13" ht="12.75" hidden="1" customHeight="1" x14ac:dyDescent="0.2"/>
    <row r="30" spans="1:13" ht="12.75" hidden="1" customHeight="1" x14ac:dyDescent="0.2"/>
    <row r="31" spans="1:13" ht="12.75" hidden="1" customHeight="1" x14ac:dyDescent="0.2"/>
    <row r="32" spans="1:13" ht="12.75" hidden="1" customHeight="1" x14ac:dyDescent="0.2"/>
    <row r="33" ht="12.75" hidden="1" customHeight="1" x14ac:dyDescent="0.2"/>
    <row r="34" ht="12.75" hidden="1" customHeight="1" x14ac:dyDescent="0.2"/>
    <row r="35" ht="12.75" hidden="1" customHeight="1" x14ac:dyDescent="0.2"/>
    <row r="36" ht="12.75" hidden="1" customHeight="1" x14ac:dyDescent="0.2"/>
  </sheetData>
  <mergeCells count="5">
    <mergeCell ref="B20:L20"/>
    <mergeCell ref="B1:L1"/>
    <mergeCell ref="A2:A19"/>
    <mergeCell ref="M2:M19"/>
    <mergeCell ref="C18:E18"/>
  </mergeCell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indexed="11"/>
    <pageSetUpPr fitToPage="1"/>
  </sheetPr>
  <dimension ref="A1:BQ36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0" width="13.7109375" style="3" customWidth="1"/>
    <col min="11" max="11" width="15.7109375" style="3" customWidth="1"/>
    <col min="12" max="13" width="2.7109375" style="3" customWidth="1"/>
    <col min="14" max="14" width="9.140625" style="3" hidden="1" customWidth="1"/>
    <col min="15" max="25" width="0" style="3" hidden="1" customWidth="1"/>
    <col min="26" max="26" width="9.140625" style="3" hidden="1" customWidth="1"/>
    <col min="27" max="35" width="0" style="3" hidden="1" customWidth="1"/>
    <col min="36" max="36" width="9.140625" style="3" hidden="1" customWidth="1"/>
    <col min="37" max="40" width="0" style="3" hidden="1" customWidth="1"/>
    <col min="41" max="41" width="9.140625" style="3" hidden="1" customWidth="1"/>
    <col min="42" max="53" width="0" style="3" hidden="1" customWidth="1"/>
    <col min="54" max="54" width="9.140625" style="3" hidden="1" customWidth="1"/>
    <col min="55" max="58" width="0" style="3" hidden="1" customWidth="1"/>
    <col min="59" max="59" width="9.140625" style="3" hidden="1" customWidth="1"/>
    <col min="60" max="69" width="0" style="3" hidden="1" customWidth="1"/>
    <col min="70" max="16384" width="9.140625" style="3" hidden="1"/>
  </cols>
  <sheetData>
    <row r="1" spans="1:13" s="1" customFormat="1" ht="12" customHeight="1" thickBot="1" x14ac:dyDescent="0.2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3" s="1" customFormat="1" ht="12" customHeight="1" thickBot="1" x14ac:dyDescent="0.25">
      <c r="A2" s="3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3"/>
    </row>
    <row r="3" spans="1:13" s="1" customFormat="1" ht="30" customHeight="1" thickBot="1" x14ac:dyDescent="0.25">
      <c r="A3" s="32"/>
      <c r="B3" s="2"/>
      <c r="C3" s="22" t="s">
        <v>1</v>
      </c>
      <c r="D3" s="23" t="s">
        <v>0</v>
      </c>
      <c r="E3" s="21" t="s">
        <v>4</v>
      </c>
      <c r="F3" s="17" t="s">
        <v>3</v>
      </c>
      <c r="G3" s="18" t="s">
        <v>6</v>
      </c>
      <c r="H3" s="23" t="s">
        <v>7</v>
      </c>
      <c r="I3" s="23" t="s">
        <v>8</v>
      </c>
      <c r="J3" s="23" t="s">
        <v>9</v>
      </c>
      <c r="K3" s="17" t="s">
        <v>5</v>
      </c>
      <c r="L3" s="2"/>
      <c r="M3" s="33"/>
    </row>
    <row r="4" spans="1:13" s="1" customFormat="1" ht="15" customHeight="1" x14ac:dyDescent="0.2">
      <c r="A4" s="32"/>
      <c r="B4" s="2"/>
      <c r="C4" s="9">
        <v>1</v>
      </c>
      <c r="D4" s="4" t="str">
        <f>'[1]25-2'!D12</f>
        <v>Біологія</v>
      </c>
      <c r="E4" s="6" t="str">
        <f>'[1]25-2'!$E12</f>
        <v>Богданенко О.В.</v>
      </c>
      <c r="F4" s="8">
        <v>34</v>
      </c>
      <c r="G4" s="28">
        <f>'[1]25-2'!$AJ12</f>
        <v>8</v>
      </c>
      <c r="H4" s="28">
        <f>'[2]25-2'!$AK12</f>
        <v>4</v>
      </c>
      <c r="I4" s="28">
        <f>'[3]25-2'!$AH12</f>
        <v>10</v>
      </c>
      <c r="J4" s="28">
        <f>'[4]25-2'!$AH12</f>
        <v>12</v>
      </c>
      <c r="K4" s="8" t="str">
        <f t="shared" ref="K4:K18" si="0">IF(F4-SUM(G4:J4)=0,"0", IF(F4-SUM(G4:J4)&lt;0,"Избыток "&amp;(F4-SUM(G4:J4))*(-1),"Не хватает "&amp;F4-SUM(G4:J4)))</f>
        <v>0</v>
      </c>
      <c r="L4" s="2"/>
      <c r="M4" s="33"/>
    </row>
    <row r="5" spans="1:13" s="1" customFormat="1" ht="15" customHeight="1" x14ac:dyDescent="0.2">
      <c r="A5" s="32"/>
      <c r="B5" s="2"/>
      <c r="C5" s="10">
        <v>2</v>
      </c>
      <c r="D5" s="12" t="str">
        <f>'[1]25-2'!D13</f>
        <v>Всесвітня Історія</v>
      </c>
      <c r="E5" s="13" t="str">
        <f>'[1]25-2'!$E13</f>
        <v>Мельничук С.А.</v>
      </c>
      <c r="F5" s="11">
        <v>34</v>
      </c>
      <c r="G5" s="26">
        <f>'[1]25-2'!$AJ13</f>
        <v>10</v>
      </c>
      <c r="H5" s="26">
        <f>'[2]25-2'!$AK13</f>
        <v>8</v>
      </c>
      <c r="I5" s="26">
        <f>'[3]25-2'!$AH13</f>
        <v>8</v>
      </c>
      <c r="J5" s="26">
        <f>'[4]25-2'!$AH13</f>
        <v>8</v>
      </c>
      <c r="K5" s="11" t="str">
        <f t="shared" si="0"/>
        <v>0</v>
      </c>
      <c r="L5" s="2"/>
      <c r="M5" s="33"/>
    </row>
    <row r="6" spans="1:13" s="1" customFormat="1" ht="15" customHeight="1" x14ac:dyDescent="0.2">
      <c r="A6" s="32"/>
      <c r="B6" s="2"/>
      <c r="C6" s="9">
        <v>3</v>
      </c>
      <c r="D6" s="5" t="str">
        <f>'[1]25-2'!D14</f>
        <v>Географія</v>
      </c>
      <c r="E6" s="7" t="str">
        <f>'[1]25-2'!$E14</f>
        <v>Наговська Т.С.</v>
      </c>
      <c r="F6" s="8">
        <v>40</v>
      </c>
      <c r="G6" s="27">
        <f>'[1]25-2'!$AJ14</f>
        <v>10</v>
      </c>
      <c r="H6" s="27">
        <f>'[2]25-2'!$AK14</f>
        <v>12</v>
      </c>
      <c r="I6" s="27">
        <f>'[3]25-2'!$AH14</f>
        <v>16</v>
      </c>
      <c r="J6" s="27">
        <f>'[4]25-2'!$AH14</f>
        <v>2</v>
      </c>
      <c r="K6" s="8" t="str">
        <f t="shared" si="0"/>
        <v>0</v>
      </c>
      <c r="L6" s="2"/>
      <c r="M6" s="33"/>
    </row>
    <row r="7" spans="1:13" s="1" customFormat="1" ht="15" customHeight="1" x14ac:dyDescent="0.2">
      <c r="A7" s="32"/>
      <c r="B7" s="2"/>
      <c r="C7" s="10">
        <v>4</v>
      </c>
      <c r="D7" s="12" t="str">
        <f>'[1]25-2'!D15</f>
        <v>Зарубіжна література</v>
      </c>
      <c r="E7" s="13" t="str">
        <f>'[1]25-2'!$E15</f>
        <v>Бабенко Л. Е.</v>
      </c>
      <c r="F7" s="11">
        <v>34</v>
      </c>
      <c r="G7" s="26">
        <f>'[1]25-2'!$AJ15</f>
        <v>6</v>
      </c>
      <c r="H7" s="26">
        <f>'[2]25-2'!$AK15</f>
        <v>10</v>
      </c>
      <c r="I7" s="26">
        <f>'[3]25-2'!$AH15</f>
        <v>10</v>
      </c>
      <c r="J7" s="26">
        <f>'[4]25-2'!$AH15</f>
        <v>8</v>
      </c>
      <c r="K7" s="11" t="str">
        <f t="shared" si="0"/>
        <v>0</v>
      </c>
      <c r="L7" s="2"/>
      <c r="M7" s="33"/>
    </row>
    <row r="8" spans="1:13" s="1" customFormat="1" ht="15" customHeight="1" x14ac:dyDescent="0.2">
      <c r="A8" s="32"/>
      <c r="B8" s="2"/>
      <c r="C8" s="24">
        <v>5</v>
      </c>
      <c r="D8" s="5" t="str">
        <f>'[1]25-2'!D16</f>
        <v>Захист України</v>
      </c>
      <c r="E8" s="7" t="str">
        <f>'[1]25-2'!$E16</f>
        <v>Лазар В.І.</v>
      </c>
      <c r="F8" s="8">
        <v>34</v>
      </c>
      <c r="G8" s="27">
        <f>'[1]25-2'!$AJ16</f>
        <v>8</v>
      </c>
      <c r="H8" s="27">
        <f>'[2]25-2'!$AK16</f>
        <v>10</v>
      </c>
      <c r="I8" s="27">
        <f>'[3]25-2'!$AH16</f>
        <v>8</v>
      </c>
      <c r="J8" s="27">
        <f>'[4]25-2'!$AH16</f>
        <v>8</v>
      </c>
      <c r="K8" s="8" t="str">
        <f t="shared" si="0"/>
        <v>0</v>
      </c>
      <c r="L8" s="2"/>
      <c r="M8" s="33"/>
    </row>
    <row r="9" spans="1:13" s="1" customFormat="1" ht="15" customHeight="1" x14ac:dyDescent="0.2">
      <c r="A9" s="32"/>
      <c r="B9" s="2"/>
      <c r="C9" s="10">
        <v>6</v>
      </c>
      <c r="D9" s="12" t="str">
        <f>'[1]25-2'!D17</f>
        <v>Іноземна мова</v>
      </c>
      <c r="E9" s="13" t="str">
        <f>'[1]25-2'!$E17</f>
        <v>Нічик Н.О.</v>
      </c>
      <c r="F9" s="11">
        <v>34</v>
      </c>
      <c r="G9" s="26">
        <f>'[1]25-2'!$AJ17</f>
        <v>8</v>
      </c>
      <c r="H9" s="26">
        <f>'[2]25-2'!$AK17</f>
        <v>10</v>
      </c>
      <c r="I9" s="26">
        <f>'[3]25-2'!$AH17</f>
        <v>8</v>
      </c>
      <c r="J9" s="26">
        <f>'[4]25-2'!$AH17</f>
        <v>8</v>
      </c>
      <c r="K9" s="11" t="str">
        <f t="shared" si="0"/>
        <v>0</v>
      </c>
      <c r="L9" s="2"/>
      <c r="M9" s="33"/>
    </row>
    <row r="10" spans="1:13" s="1" customFormat="1" ht="15" customHeight="1" x14ac:dyDescent="0.2">
      <c r="A10" s="32"/>
      <c r="B10" s="2"/>
      <c r="C10" s="9">
        <v>7</v>
      </c>
      <c r="D10" s="4" t="str">
        <f>'[1]25-2'!D18</f>
        <v>Інформатика</v>
      </c>
      <c r="E10" s="6" t="str">
        <f>'[1]25-2'!$E18</f>
        <v>Андрльє І.О.</v>
      </c>
      <c r="F10" s="8">
        <v>34</v>
      </c>
      <c r="G10" s="28">
        <f>'[1]25-2'!$AJ18</f>
        <v>10</v>
      </c>
      <c r="H10" s="28">
        <f>'[2]25-2'!$AK18</f>
        <v>8</v>
      </c>
      <c r="I10" s="28">
        <f>'[3]25-2'!$AH18</f>
        <v>8</v>
      </c>
      <c r="J10" s="28">
        <f>'[4]25-2'!$AH18</f>
        <v>8</v>
      </c>
      <c r="K10" s="8" t="str">
        <f t="shared" si="0"/>
        <v>0</v>
      </c>
      <c r="L10" s="2"/>
      <c r="M10" s="33"/>
    </row>
    <row r="11" spans="1:13" s="1" customFormat="1" ht="15" customHeight="1" x14ac:dyDescent="0.2">
      <c r="A11" s="32"/>
      <c r="B11" s="2"/>
      <c r="C11" s="10">
        <v>8</v>
      </c>
      <c r="D11" s="12" t="str">
        <f>'[1]25-2'!D19</f>
        <v>Історія України</v>
      </c>
      <c r="E11" s="13" t="str">
        <f>'[1]25-2'!$E19</f>
        <v>Левчук Т.Г.</v>
      </c>
      <c r="F11" s="11">
        <v>34</v>
      </c>
      <c r="G11" s="26">
        <f>'[1]25-2'!$AJ19</f>
        <v>10</v>
      </c>
      <c r="H11" s="26">
        <f>'[2]25-2'!$AK19</f>
        <v>16</v>
      </c>
      <c r="I11" s="26">
        <f>'[3]25-2'!$AH19</f>
        <v>8</v>
      </c>
      <c r="J11" s="26">
        <f>'[4]25-2'!$AH19</f>
        <v>0</v>
      </c>
      <c r="K11" s="11" t="str">
        <f t="shared" si="0"/>
        <v>0</v>
      </c>
      <c r="L11" s="2"/>
      <c r="M11" s="33"/>
    </row>
    <row r="12" spans="1:13" s="1" customFormat="1" ht="15" customHeight="1" x14ac:dyDescent="0.2">
      <c r="A12" s="32"/>
      <c r="B12" s="2"/>
      <c r="C12" s="9">
        <v>9</v>
      </c>
      <c r="D12" s="4" t="str">
        <f>'[1]25-2'!D20</f>
        <v>Математика</v>
      </c>
      <c r="E12" s="6" t="str">
        <f>'[1]25-2'!$E20</f>
        <v>Бондаренко О.С.</v>
      </c>
      <c r="F12" s="8">
        <v>68</v>
      </c>
      <c r="G12" s="28">
        <f>'[1]25-2'!$AJ20</f>
        <v>18</v>
      </c>
      <c r="H12" s="28">
        <f>'[2]25-2'!$AK20</f>
        <v>14</v>
      </c>
      <c r="I12" s="28">
        <f>'[3]25-2'!$AH20</f>
        <v>16</v>
      </c>
      <c r="J12" s="28">
        <f>'[4]25-2'!$AH20</f>
        <v>20</v>
      </c>
      <c r="K12" s="8" t="str">
        <f t="shared" si="0"/>
        <v>0</v>
      </c>
      <c r="L12" s="2"/>
      <c r="M12" s="33"/>
    </row>
    <row r="13" spans="1:13" s="1" customFormat="1" ht="15" customHeight="1" x14ac:dyDescent="0.2">
      <c r="A13" s="32"/>
      <c r="B13" s="2"/>
      <c r="C13" s="10">
        <v>10</v>
      </c>
      <c r="D13" s="12" t="str">
        <f>'[1]25-2'!D21</f>
        <v>Українська література</v>
      </c>
      <c r="E13" s="13" t="str">
        <f>'[1]25-2'!$E21</f>
        <v>Антропова Л.І.</v>
      </c>
      <c r="F13" s="11">
        <v>34</v>
      </c>
      <c r="G13" s="26">
        <f>'[1]25-2'!$AJ21</f>
        <v>8</v>
      </c>
      <c r="H13" s="26">
        <f>'[2]25-2'!$AK21</f>
        <v>10</v>
      </c>
      <c r="I13" s="26">
        <f>'[3]25-2'!$AH21</f>
        <v>8</v>
      </c>
      <c r="J13" s="26">
        <f>'[4]25-2'!$AH21</f>
        <v>8</v>
      </c>
      <c r="K13" s="11" t="str">
        <f t="shared" si="0"/>
        <v>0</v>
      </c>
      <c r="L13" s="2"/>
      <c r="M13" s="33"/>
    </row>
    <row r="14" spans="1:13" s="1" customFormat="1" ht="15" customHeight="1" x14ac:dyDescent="0.2">
      <c r="A14" s="32"/>
      <c r="B14" s="2"/>
      <c r="C14" s="9">
        <v>11</v>
      </c>
      <c r="D14" s="4" t="str">
        <f>'[1]25-2'!D22</f>
        <v>Українська мова</v>
      </c>
      <c r="E14" s="6" t="str">
        <f>'[1]25-2'!$E22</f>
        <v>Антропова Л.І.</v>
      </c>
      <c r="F14" s="8">
        <v>34</v>
      </c>
      <c r="G14" s="28">
        <f>'[1]25-2'!$AJ22</f>
        <v>8</v>
      </c>
      <c r="H14" s="28">
        <f>'[2]25-2'!$AK22</f>
        <v>10</v>
      </c>
      <c r="I14" s="28">
        <f>'[3]25-2'!$AH22</f>
        <v>8</v>
      </c>
      <c r="J14" s="28">
        <f>'[4]25-2'!$AH22</f>
        <v>8</v>
      </c>
      <c r="K14" s="8" t="str">
        <f t="shared" si="0"/>
        <v>0</v>
      </c>
      <c r="L14" s="2"/>
      <c r="M14" s="33"/>
    </row>
    <row r="15" spans="1:13" s="1" customFormat="1" ht="15" customHeight="1" x14ac:dyDescent="0.2">
      <c r="A15" s="32"/>
      <c r="B15" s="2"/>
      <c r="C15" s="10">
        <v>12</v>
      </c>
      <c r="D15" s="12" t="str">
        <f>'[1]25-2'!D23</f>
        <v>Фізика</v>
      </c>
      <c r="E15" s="13" t="str">
        <f>'[1]25-2'!$E23</f>
        <v>Калюта Н.М.</v>
      </c>
      <c r="F15" s="11">
        <v>68</v>
      </c>
      <c r="G15" s="26">
        <f>'[1]25-2'!$AJ23</f>
        <v>18</v>
      </c>
      <c r="H15" s="26">
        <f>'[2]25-2'!$AK23</f>
        <v>12</v>
      </c>
      <c r="I15" s="26">
        <f>'[3]25-2'!$AH23</f>
        <v>18</v>
      </c>
      <c r="J15" s="26">
        <f>'[4]25-2'!$AH23</f>
        <v>16</v>
      </c>
      <c r="K15" s="11" t="str">
        <f t="shared" si="0"/>
        <v>Не хватает 4</v>
      </c>
      <c r="L15" s="2"/>
      <c r="M15" s="33"/>
    </row>
    <row r="16" spans="1:13" s="1" customFormat="1" ht="15" customHeight="1" x14ac:dyDescent="0.2">
      <c r="A16" s="32"/>
      <c r="B16" s="2"/>
      <c r="C16" s="9">
        <v>13</v>
      </c>
      <c r="D16" s="4" t="str">
        <f>'[1]25-2'!D24</f>
        <v>Фізична культура</v>
      </c>
      <c r="E16" s="6" t="str">
        <f>'[1]25-2'!$E24</f>
        <v>Возіян О.Г.</v>
      </c>
      <c r="F16" s="8">
        <v>51</v>
      </c>
      <c r="G16" s="28">
        <f>'[1]25-2'!$AJ24</f>
        <v>14</v>
      </c>
      <c r="H16" s="28">
        <f>'[2]25-2'!$AK24</f>
        <v>14</v>
      </c>
      <c r="I16" s="28">
        <f>'[3]25-2'!$AH24</f>
        <v>12</v>
      </c>
      <c r="J16" s="28">
        <f>'[4]25-2'!$AH24</f>
        <v>11</v>
      </c>
      <c r="K16" s="8" t="str">
        <f t="shared" si="0"/>
        <v>0</v>
      </c>
      <c r="L16" s="2"/>
      <c r="M16" s="33"/>
    </row>
    <row r="17" spans="1:13" s="1" customFormat="1" ht="15" customHeight="1" thickBot="1" x14ac:dyDescent="0.25">
      <c r="A17" s="32"/>
      <c r="B17" s="2"/>
      <c r="C17" s="10">
        <v>14</v>
      </c>
      <c r="D17" s="14" t="str">
        <f>'[1]25-2'!D25</f>
        <v>Хімія</v>
      </c>
      <c r="E17" s="15" t="str">
        <f>'[1]25-2'!$E25</f>
        <v>Сахно Н.О.</v>
      </c>
      <c r="F17" s="16">
        <v>34</v>
      </c>
      <c r="G17" s="29">
        <f>'[1]25-2'!$AJ25</f>
        <v>10</v>
      </c>
      <c r="H17" s="29">
        <f>'[2]25-2'!$AK25</f>
        <v>14</v>
      </c>
      <c r="I17" s="29">
        <f>'[3]25-2'!$AH25</f>
        <v>10</v>
      </c>
      <c r="J17" s="29">
        <f>'[4]25-2'!$AH25</f>
        <v>0</v>
      </c>
      <c r="K17" s="16" t="str">
        <f t="shared" si="0"/>
        <v>0</v>
      </c>
      <c r="L17" s="2"/>
      <c r="M17" s="33"/>
    </row>
    <row r="18" spans="1:13" s="1" customFormat="1" ht="15" customHeight="1" thickBot="1" x14ac:dyDescent="0.25">
      <c r="A18" s="32"/>
      <c r="B18" s="2"/>
      <c r="C18" s="34" t="s">
        <v>2</v>
      </c>
      <c r="D18" s="35"/>
      <c r="E18" s="36"/>
      <c r="F18" s="17">
        <f>SUM(F4:F17)</f>
        <v>567</v>
      </c>
      <c r="G18" s="18">
        <f>SUM(G4:G17)</f>
        <v>146</v>
      </c>
      <c r="H18" s="23">
        <f>SUM(H4:H17)</f>
        <v>152</v>
      </c>
      <c r="I18" s="23">
        <f>SUM(I4:I17)</f>
        <v>148</v>
      </c>
      <c r="J18" s="23">
        <f>SUM(J4:J17)</f>
        <v>117</v>
      </c>
      <c r="K18" s="17" t="str">
        <f t="shared" si="0"/>
        <v>Не хватает 4</v>
      </c>
      <c r="L18" s="2"/>
      <c r="M18" s="33"/>
    </row>
    <row r="19" spans="1:13" ht="12.95" customHeight="1" thickBot="1" x14ac:dyDescent="0.25">
      <c r="A19" s="3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33"/>
    </row>
    <row r="20" spans="1:13" ht="12" customHeight="1" x14ac:dyDescent="0.2">
      <c r="A20" s="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1"/>
    </row>
    <row r="21" spans="1:13" ht="12.75" hidden="1" customHeight="1" x14ac:dyDescent="0.2"/>
    <row r="22" spans="1:13" ht="12.75" hidden="1" customHeight="1" x14ac:dyDescent="0.2"/>
    <row r="23" spans="1:13" ht="12.75" hidden="1" customHeight="1" x14ac:dyDescent="0.2"/>
    <row r="24" spans="1:13" ht="12.75" hidden="1" customHeight="1" x14ac:dyDescent="0.2"/>
    <row r="25" spans="1:13" ht="12.75" hidden="1" customHeight="1" x14ac:dyDescent="0.2"/>
    <row r="26" spans="1:13" ht="12.75" hidden="1" customHeight="1" x14ac:dyDescent="0.2"/>
    <row r="27" spans="1:13" ht="12.75" hidden="1" customHeight="1" x14ac:dyDescent="0.2"/>
    <row r="28" spans="1:13" ht="12.75" hidden="1" customHeight="1" x14ac:dyDescent="0.2"/>
    <row r="29" spans="1:13" ht="12.75" hidden="1" customHeight="1" x14ac:dyDescent="0.2"/>
    <row r="30" spans="1:13" ht="12.75" hidden="1" customHeight="1" x14ac:dyDescent="0.2"/>
    <row r="31" spans="1:13" ht="12.75" hidden="1" customHeight="1" x14ac:dyDescent="0.2"/>
    <row r="32" spans="1:13" ht="12.75" hidden="1" customHeight="1" x14ac:dyDescent="0.2"/>
    <row r="33" ht="12.75" hidden="1" customHeight="1" x14ac:dyDescent="0.2"/>
    <row r="34" ht="12.75" hidden="1" customHeight="1" x14ac:dyDescent="0.2"/>
    <row r="35" ht="12.75" hidden="1" customHeight="1" x14ac:dyDescent="0.2"/>
    <row r="36" ht="12.75" hidden="1" customHeight="1" x14ac:dyDescent="0.2"/>
  </sheetData>
  <mergeCells count="5">
    <mergeCell ref="B1:L1"/>
    <mergeCell ref="A2:A19"/>
    <mergeCell ref="M2:M19"/>
    <mergeCell ref="C18:E18"/>
    <mergeCell ref="B20:L20"/>
  </mergeCells>
  <printOptions horizontalCentered="1"/>
  <pageMargins left="0" right="0" top="0" bottom="0" header="0" footer="0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indexed="11"/>
    <pageSetUpPr fitToPage="1"/>
  </sheetPr>
  <dimension ref="A1:BQ36"/>
  <sheetViews>
    <sheetView zoomScaleNormal="100" workbookViewId="0">
      <selection activeCell="K16" sqref="K16"/>
    </sheetView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0" width="13.7109375" style="3" customWidth="1"/>
    <col min="11" max="11" width="15.7109375" style="3" customWidth="1"/>
    <col min="12" max="13" width="2.7109375" style="3" customWidth="1"/>
    <col min="14" max="14" width="9.140625" style="3" hidden="1" customWidth="1"/>
    <col min="15" max="25" width="0" style="3" hidden="1" customWidth="1"/>
    <col min="26" max="26" width="9.140625" style="3" hidden="1" customWidth="1"/>
    <col min="27" max="35" width="0" style="3" hidden="1" customWidth="1"/>
    <col min="36" max="36" width="9.140625" style="3" hidden="1" customWidth="1"/>
    <col min="37" max="40" width="0" style="3" hidden="1" customWidth="1"/>
    <col min="41" max="41" width="9.140625" style="3" hidden="1" customWidth="1"/>
    <col min="42" max="53" width="0" style="3" hidden="1" customWidth="1"/>
    <col min="54" max="54" width="9.140625" style="3" hidden="1" customWidth="1"/>
    <col min="55" max="58" width="0" style="3" hidden="1" customWidth="1"/>
    <col min="59" max="59" width="9.140625" style="3" hidden="1" customWidth="1"/>
    <col min="60" max="69" width="0" style="3" hidden="1" customWidth="1"/>
    <col min="70" max="16384" width="9.140625" style="3" hidden="1"/>
  </cols>
  <sheetData>
    <row r="1" spans="1:13" s="1" customFormat="1" ht="12" customHeight="1" thickBot="1" x14ac:dyDescent="0.2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3" s="1" customFormat="1" ht="12" customHeight="1" thickBot="1" x14ac:dyDescent="0.25">
      <c r="A2" s="3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3"/>
    </row>
    <row r="3" spans="1:13" s="1" customFormat="1" ht="30" customHeight="1" thickBot="1" x14ac:dyDescent="0.25">
      <c r="A3" s="32"/>
      <c r="B3" s="2"/>
      <c r="C3" s="22" t="s">
        <v>1</v>
      </c>
      <c r="D3" s="23" t="s">
        <v>0</v>
      </c>
      <c r="E3" s="21" t="s">
        <v>4</v>
      </c>
      <c r="F3" s="17" t="s">
        <v>3</v>
      </c>
      <c r="G3" s="18" t="s">
        <v>6</v>
      </c>
      <c r="H3" s="23" t="s">
        <v>7</v>
      </c>
      <c r="I3" s="23" t="s">
        <v>8</v>
      </c>
      <c r="J3" s="23" t="s">
        <v>9</v>
      </c>
      <c r="K3" s="17" t="s">
        <v>5</v>
      </c>
      <c r="L3" s="2"/>
      <c r="M3" s="33"/>
    </row>
    <row r="4" spans="1:13" s="1" customFormat="1" ht="15" customHeight="1" x14ac:dyDescent="0.2">
      <c r="A4" s="32"/>
      <c r="B4" s="2"/>
      <c r="C4" s="9">
        <v>1</v>
      </c>
      <c r="D4" s="4" t="str">
        <f>'[1]25-3'!D12</f>
        <v>Біологія</v>
      </c>
      <c r="E4" s="6" t="str">
        <f>'[1]25-3'!$E12</f>
        <v>Богданенко О.В.</v>
      </c>
      <c r="F4" s="8">
        <v>34</v>
      </c>
      <c r="G4" s="28">
        <f>'[1]25-3'!$AJ12</f>
        <v>8</v>
      </c>
      <c r="H4" s="28">
        <f>'[2]25-3'!$AK12</f>
        <v>6</v>
      </c>
      <c r="I4" s="28">
        <f>'[3]25-3'!$AI12</f>
        <v>12</v>
      </c>
      <c r="J4" s="28">
        <f>'[4]25-3'!$AH12</f>
        <v>8</v>
      </c>
      <c r="K4" s="8" t="str">
        <f t="shared" ref="K4:K18" si="0">IF(F4-SUM(G4:J4)=0,"0", IF(F4-SUM(G4:J4)&lt;0,"Избыток "&amp;(F4-SUM(G4:J4))*(-1),"Не хватает "&amp;F4-SUM(G4:J4)))</f>
        <v>0</v>
      </c>
      <c r="L4" s="2"/>
      <c r="M4" s="33"/>
    </row>
    <row r="5" spans="1:13" s="1" customFormat="1" ht="15" customHeight="1" x14ac:dyDescent="0.2">
      <c r="A5" s="32"/>
      <c r="B5" s="2"/>
      <c r="C5" s="10">
        <v>2</v>
      </c>
      <c r="D5" s="12" t="str">
        <f>'[1]25-3'!D13</f>
        <v>Всесвітня Історія</v>
      </c>
      <c r="E5" s="13" t="str">
        <f>'[1]25-3'!$E13</f>
        <v>Мельничук С.А.</v>
      </c>
      <c r="F5" s="11">
        <v>34</v>
      </c>
      <c r="G5" s="26">
        <f>'[1]25-3'!$AJ13</f>
        <v>10</v>
      </c>
      <c r="H5" s="26">
        <f>'[2]25-3'!$AK13</f>
        <v>8</v>
      </c>
      <c r="I5" s="26">
        <f>'[3]25-3'!$AI13</f>
        <v>8</v>
      </c>
      <c r="J5" s="26">
        <f>'[4]25-3'!$AH13</f>
        <v>8</v>
      </c>
      <c r="K5" s="11" t="str">
        <f t="shared" si="0"/>
        <v>0</v>
      </c>
      <c r="L5" s="2"/>
      <c r="M5" s="33"/>
    </row>
    <row r="6" spans="1:13" s="1" customFormat="1" ht="15" customHeight="1" x14ac:dyDescent="0.2">
      <c r="A6" s="32"/>
      <c r="B6" s="2"/>
      <c r="C6" s="9">
        <v>3</v>
      </c>
      <c r="D6" s="5" t="str">
        <f>'[1]25-3'!D14</f>
        <v>Географія</v>
      </c>
      <c r="E6" s="7" t="str">
        <f>'[1]25-3'!$E14</f>
        <v>Наговська Т.С.</v>
      </c>
      <c r="F6" s="8">
        <v>40</v>
      </c>
      <c r="G6" s="27">
        <f>'[1]25-3'!$AJ14</f>
        <v>10</v>
      </c>
      <c r="H6" s="27">
        <f>'[2]25-3'!$AK14</f>
        <v>12</v>
      </c>
      <c r="I6" s="27">
        <f>'[3]25-3'!$AI14</f>
        <v>16</v>
      </c>
      <c r="J6" s="27">
        <f>'[4]25-3'!$AH14</f>
        <v>2</v>
      </c>
      <c r="K6" s="8" t="str">
        <f t="shared" si="0"/>
        <v>0</v>
      </c>
      <c r="L6" s="2"/>
      <c r="M6" s="33"/>
    </row>
    <row r="7" spans="1:13" s="1" customFormat="1" ht="15" customHeight="1" x14ac:dyDescent="0.2">
      <c r="A7" s="32"/>
      <c r="B7" s="2"/>
      <c r="C7" s="10">
        <v>4</v>
      </c>
      <c r="D7" s="12" t="str">
        <f>'[1]25-3'!D15</f>
        <v>Зарубіжна література</v>
      </c>
      <c r="E7" s="13" t="str">
        <f>'[1]25-3'!$E15</f>
        <v>Бабенко Л. Е.</v>
      </c>
      <c r="F7" s="11">
        <v>34</v>
      </c>
      <c r="G7" s="26">
        <f>'[1]25-3'!$AJ15</f>
        <v>6</v>
      </c>
      <c r="H7" s="26">
        <f>'[2]25-3'!$AK15</f>
        <v>10</v>
      </c>
      <c r="I7" s="26">
        <f>'[3]25-3'!$AI15</f>
        <v>10</v>
      </c>
      <c r="J7" s="26">
        <f>'[4]25-3'!$AH15</f>
        <v>8</v>
      </c>
      <c r="K7" s="11" t="str">
        <f t="shared" si="0"/>
        <v>0</v>
      </c>
      <c r="L7" s="2"/>
      <c r="M7" s="33"/>
    </row>
    <row r="8" spans="1:13" s="1" customFormat="1" ht="15" customHeight="1" x14ac:dyDescent="0.2">
      <c r="A8" s="32"/>
      <c r="B8" s="2"/>
      <c r="C8" s="24">
        <v>5</v>
      </c>
      <c r="D8" s="5" t="str">
        <f>'[1]25-3'!D16</f>
        <v>Захист України</v>
      </c>
      <c r="E8" s="7" t="str">
        <f>'[1]25-3'!$E16</f>
        <v>Лазар В.І.</v>
      </c>
      <c r="F8" s="8">
        <v>34</v>
      </c>
      <c r="G8" s="27">
        <f>'[1]25-3'!$AJ16</f>
        <v>10</v>
      </c>
      <c r="H8" s="27">
        <f>'[2]25-3'!$AK16</f>
        <v>8</v>
      </c>
      <c r="I8" s="27">
        <f>'[3]25-3'!$AI16</f>
        <v>8</v>
      </c>
      <c r="J8" s="27">
        <f>'[4]25-3'!$AH16</f>
        <v>8</v>
      </c>
      <c r="K8" s="8" t="str">
        <f t="shared" si="0"/>
        <v>0</v>
      </c>
      <c r="L8" s="2"/>
      <c r="M8" s="33"/>
    </row>
    <row r="9" spans="1:13" s="1" customFormat="1" ht="15" customHeight="1" x14ac:dyDescent="0.2">
      <c r="A9" s="32"/>
      <c r="B9" s="2"/>
      <c r="C9" s="10">
        <v>6</v>
      </c>
      <c r="D9" s="12" t="str">
        <f>'[1]25-3'!D17</f>
        <v>Іноземна мова</v>
      </c>
      <c r="E9" s="13" t="str">
        <f>'[1]25-3'!$E17</f>
        <v>Нічик Н.О.</v>
      </c>
      <c r="F9" s="11">
        <v>34</v>
      </c>
      <c r="G9" s="26">
        <f>'[1]25-3'!$AJ17</f>
        <v>8</v>
      </c>
      <c r="H9" s="26">
        <f>'[2]25-3'!$AK17</f>
        <v>10</v>
      </c>
      <c r="I9" s="26">
        <f>'[3]25-3'!$AI17</f>
        <v>8</v>
      </c>
      <c r="J9" s="26">
        <f>'[4]25-3'!$AH17</f>
        <v>8</v>
      </c>
      <c r="K9" s="11" t="str">
        <f t="shared" si="0"/>
        <v>0</v>
      </c>
      <c r="L9" s="2"/>
      <c r="M9" s="33"/>
    </row>
    <row r="10" spans="1:13" s="1" customFormat="1" ht="15" customHeight="1" x14ac:dyDescent="0.2">
      <c r="A10" s="32"/>
      <c r="B10" s="2"/>
      <c r="C10" s="9">
        <v>7</v>
      </c>
      <c r="D10" s="4" t="str">
        <f>'[1]25-3'!D18</f>
        <v>Інформатика</v>
      </c>
      <c r="E10" s="6" t="str">
        <f>'[1]25-3'!$E18</f>
        <v>Андрльє І.О.</v>
      </c>
      <c r="F10" s="8">
        <v>34</v>
      </c>
      <c r="G10" s="28">
        <f>'[1]25-3'!$AJ18</f>
        <v>10</v>
      </c>
      <c r="H10" s="28">
        <f>'[2]25-3'!$AK18</f>
        <v>14</v>
      </c>
      <c r="I10" s="28">
        <f>'[3]25-3'!$AI18</f>
        <v>8</v>
      </c>
      <c r="J10" s="28">
        <f>'[4]25-3'!$AH18</f>
        <v>2</v>
      </c>
      <c r="K10" s="8" t="str">
        <f t="shared" si="0"/>
        <v>0</v>
      </c>
      <c r="L10" s="2"/>
      <c r="M10" s="33"/>
    </row>
    <row r="11" spans="1:13" s="1" customFormat="1" ht="15" customHeight="1" x14ac:dyDescent="0.2">
      <c r="A11" s="32"/>
      <c r="B11" s="2"/>
      <c r="C11" s="10">
        <v>8</v>
      </c>
      <c r="D11" s="12" t="str">
        <f>'[1]25-3'!D19</f>
        <v>Історія України</v>
      </c>
      <c r="E11" s="13" t="str">
        <f>'[1]25-3'!$E19</f>
        <v>Левчук Т.Г.</v>
      </c>
      <c r="F11" s="11">
        <v>34</v>
      </c>
      <c r="G11" s="26">
        <f>'[1]25-3'!$AJ19</f>
        <v>10</v>
      </c>
      <c r="H11" s="26">
        <f>'[2]25-3'!$AK19</f>
        <v>8</v>
      </c>
      <c r="I11" s="26">
        <f>'[3]25-3'!$AI19</f>
        <v>10</v>
      </c>
      <c r="J11" s="26">
        <f>'[4]25-3'!$AH19</f>
        <v>6</v>
      </c>
      <c r="K11" s="11" t="str">
        <f t="shared" si="0"/>
        <v>0</v>
      </c>
      <c r="L11" s="2"/>
      <c r="M11" s="33"/>
    </row>
    <row r="12" spans="1:13" s="1" customFormat="1" ht="15" customHeight="1" x14ac:dyDescent="0.2">
      <c r="A12" s="32"/>
      <c r="B12" s="2"/>
      <c r="C12" s="9">
        <v>9</v>
      </c>
      <c r="D12" s="4" t="str">
        <f>'[1]25-3'!D20</f>
        <v>Математика</v>
      </c>
      <c r="E12" s="6" t="str">
        <f>'[1]25-3'!$E20</f>
        <v>Земляна Т.М.</v>
      </c>
      <c r="F12" s="8">
        <v>68</v>
      </c>
      <c r="G12" s="28">
        <f>'[1]25-3'!$AJ20</f>
        <v>18</v>
      </c>
      <c r="H12" s="28">
        <f>'[2]25-3'!$AK20</f>
        <v>18</v>
      </c>
      <c r="I12" s="28">
        <f>'[3]25-3'!$AI20</f>
        <v>16</v>
      </c>
      <c r="J12" s="28">
        <f>'[4]25-3'!$AH20</f>
        <v>16</v>
      </c>
      <c r="K12" s="8" t="str">
        <f t="shared" si="0"/>
        <v>0</v>
      </c>
      <c r="L12" s="2"/>
      <c r="M12" s="33"/>
    </row>
    <row r="13" spans="1:13" s="1" customFormat="1" ht="15" customHeight="1" x14ac:dyDescent="0.2">
      <c r="A13" s="32"/>
      <c r="B13" s="2"/>
      <c r="C13" s="10">
        <v>10</v>
      </c>
      <c r="D13" s="12" t="str">
        <f>'[1]25-3'!D21</f>
        <v>Українська література</v>
      </c>
      <c r="E13" s="13" t="str">
        <f>'[1]25-3'!$E21</f>
        <v>Юрченко О.Б.</v>
      </c>
      <c r="F13" s="11">
        <v>34</v>
      </c>
      <c r="G13" s="26">
        <f>'[1]25-3'!$AJ21</f>
        <v>8</v>
      </c>
      <c r="H13" s="26">
        <f>'[2]25-3'!$AK21</f>
        <v>10</v>
      </c>
      <c r="I13" s="26">
        <f>'[3]25-3'!$AI21</f>
        <v>8</v>
      </c>
      <c r="J13" s="26">
        <f>'[4]25-3'!$AH21</f>
        <v>8</v>
      </c>
      <c r="K13" s="11" t="str">
        <f t="shared" si="0"/>
        <v>0</v>
      </c>
      <c r="L13" s="2"/>
      <c r="M13" s="33"/>
    </row>
    <row r="14" spans="1:13" s="1" customFormat="1" ht="15" customHeight="1" x14ac:dyDescent="0.2">
      <c r="A14" s="32"/>
      <c r="B14" s="2"/>
      <c r="C14" s="9">
        <v>11</v>
      </c>
      <c r="D14" s="4" t="str">
        <f>'[1]25-3'!D22</f>
        <v>Українська мова</v>
      </c>
      <c r="E14" s="6" t="str">
        <f>'[1]25-3'!$E22</f>
        <v>Юрченко О.Б.</v>
      </c>
      <c r="F14" s="8">
        <v>34</v>
      </c>
      <c r="G14" s="28">
        <f>'[1]25-3'!$AJ22</f>
        <v>8</v>
      </c>
      <c r="H14" s="28">
        <f>'[2]25-3'!$AK22</f>
        <v>10</v>
      </c>
      <c r="I14" s="28">
        <f>'[3]25-3'!$AI22</f>
        <v>8</v>
      </c>
      <c r="J14" s="28">
        <f>'[4]25-3'!$AH22</f>
        <v>8</v>
      </c>
      <c r="K14" s="8" t="str">
        <f t="shared" si="0"/>
        <v>0</v>
      </c>
      <c r="L14" s="2"/>
      <c r="M14" s="33"/>
    </row>
    <row r="15" spans="1:13" s="1" customFormat="1" ht="15" customHeight="1" x14ac:dyDescent="0.2">
      <c r="A15" s="32"/>
      <c r="B15" s="2"/>
      <c r="C15" s="10">
        <v>12</v>
      </c>
      <c r="D15" s="12" t="str">
        <f>'[1]25-3'!D23</f>
        <v>Фізика</v>
      </c>
      <c r="E15" s="13" t="str">
        <f>'[1]25-3'!$E23</f>
        <v>Калюта Н.М.</v>
      </c>
      <c r="F15" s="11">
        <v>68</v>
      </c>
      <c r="G15" s="26">
        <f>'[1]25-3'!$AJ23</f>
        <v>18</v>
      </c>
      <c r="H15" s="26">
        <f>'[2]25-3'!$AK23</f>
        <v>12</v>
      </c>
      <c r="I15" s="26">
        <f>'[3]25-3'!$AI23</f>
        <v>18</v>
      </c>
      <c r="J15" s="26">
        <f>'[4]25-3'!$AH23</f>
        <v>16</v>
      </c>
      <c r="K15" s="11" t="str">
        <f t="shared" si="0"/>
        <v>Не хватает 4</v>
      </c>
      <c r="L15" s="2"/>
      <c r="M15" s="33"/>
    </row>
    <row r="16" spans="1:13" s="1" customFormat="1" ht="15" customHeight="1" x14ac:dyDescent="0.2">
      <c r="A16" s="32"/>
      <c r="B16" s="2"/>
      <c r="C16" s="9">
        <v>13</v>
      </c>
      <c r="D16" s="4" t="str">
        <f>'[1]25-3'!D24</f>
        <v>Фізична культура</v>
      </c>
      <c r="E16" s="6" t="str">
        <f>'[1]25-3'!$E24</f>
        <v>Галеніна І.С.</v>
      </c>
      <c r="F16" s="8">
        <v>51</v>
      </c>
      <c r="G16" s="28">
        <f>'[1]25-3'!$AJ24</f>
        <v>14</v>
      </c>
      <c r="H16" s="28">
        <f>'[2]25-3'!$AK24</f>
        <v>14</v>
      </c>
      <c r="I16" s="28">
        <f>'[3]25-3'!$AI24</f>
        <v>12</v>
      </c>
      <c r="J16" s="28">
        <f>'[4]25-3'!$AH24</f>
        <v>11</v>
      </c>
      <c r="K16" s="8" t="str">
        <f t="shared" si="0"/>
        <v>0</v>
      </c>
      <c r="L16" s="2"/>
      <c r="M16" s="33"/>
    </row>
    <row r="17" spans="1:13" s="1" customFormat="1" ht="15" customHeight="1" thickBot="1" x14ac:dyDescent="0.25">
      <c r="A17" s="32"/>
      <c r="B17" s="2"/>
      <c r="C17" s="10">
        <v>14</v>
      </c>
      <c r="D17" s="14" t="str">
        <f>'[1]25-3'!D25</f>
        <v>Хімія</v>
      </c>
      <c r="E17" s="15" t="str">
        <f>'[1]25-3'!$E25</f>
        <v>Сахно Н.О.</v>
      </c>
      <c r="F17" s="16">
        <v>34</v>
      </c>
      <c r="G17" s="29">
        <f>'[1]25-3'!$AJ25</f>
        <v>10</v>
      </c>
      <c r="H17" s="29">
        <f>'[2]25-3'!$AK25</f>
        <v>12</v>
      </c>
      <c r="I17" s="29">
        <f>'[3]25-3'!$AI25</f>
        <v>8</v>
      </c>
      <c r="J17" s="29">
        <f>'[4]25-3'!$AH25</f>
        <v>4</v>
      </c>
      <c r="K17" s="16" t="str">
        <f t="shared" si="0"/>
        <v>0</v>
      </c>
      <c r="L17" s="2"/>
      <c r="M17" s="33"/>
    </row>
    <row r="18" spans="1:13" s="1" customFormat="1" ht="15" customHeight="1" thickBot="1" x14ac:dyDescent="0.25">
      <c r="A18" s="32"/>
      <c r="B18" s="2"/>
      <c r="C18" s="34" t="s">
        <v>2</v>
      </c>
      <c r="D18" s="35"/>
      <c r="E18" s="36"/>
      <c r="F18" s="17">
        <f>SUM(F4:F17)</f>
        <v>567</v>
      </c>
      <c r="G18" s="18">
        <f>SUM(G4:G17)</f>
        <v>148</v>
      </c>
      <c r="H18" s="23">
        <f>SUM(H4:H17)</f>
        <v>152</v>
      </c>
      <c r="I18" s="23">
        <f>SUM(I4:I17)</f>
        <v>150</v>
      </c>
      <c r="J18" s="23">
        <f>SUM(J4:J17)</f>
        <v>113</v>
      </c>
      <c r="K18" s="17" t="str">
        <f t="shared" si="0"/>
        <v>Не хватает 4</v>
      </c>
      <c r="L18" s="2"/>
      <c r="M18" s="33"/>
    </row>
    <row r="19" spans="1:13" ht="12.95" customHeight="1" thickBot="1" x14ac:dyDescent="0.25">
      <c r="A19" s="3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33"/>
    </row>
    <row r="20" spans="1:13" ht="12" customHeight="1" x14ac:dyDescent="0.2">
      <c r="A20" s="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1"/>
    </row>
    <row r="21" spans="1:13" ht="12.75" hidden="1" customHeight="1" x14ac:dyDescent="0.2"/>
    <row r="22" spans="1:13" ht="12.75" hidden="1" customHeight="1" x14ac:dyDescent="0.2"/>
    <row r="23" spans="1:13" ht="12.75" hidden="1" customHeight="1" x14ac:dyDescent="0.2"/>
    <row r="24" spans="1:13" ht="12.75" hidden="1" customHeight="1" x14ac:dyDescent="0.2"/>
    <row r="25" spans="1:13" ht="12.75" hidden="1" customHeight="1" x14ac:dyDescent="0.2"/>
    <row r="26" spans="1:13" ht="12.75" hidden="1" customHeight="1" x14ac:dyDescent="0.2"/>
    <row r="27" spans="1:13" ht="12.75" hidden="1" customHeight="1" x14ac:dyDescent="0.2"/>
    <row r="28" spans="1:13" ht="12.75" hidden="1" customHeight="1" x14ac:dyDescent="0.2"/>
    <row r="29" spans="1:13" ht="12.75" hidden="1" customHeight="1" x14ac:dyDescent="0.2"/>
    <row r="30" spans="1:13" ht="12.75" hidden="1" customHeight="1" x14ac:dyDescent="0.2"/>
    <row r="31" spans="1:13" ht="12.75" hidden="1" customHeight="1" x14ac:dyDescent="0.2"/>
    <row r="32" spans="1:13" ht="12.75" hidden="1" customHeight="1" x14ac:dyDescent="0.2"/>
    <row r="33" ht="12.75" hidden="1" customHeight="1" x14ac:dyDescent="0.2"/>
    <row r="34" ht="12.75" hidden="1" customHeight="1" x14ac:dyDescent="0.2"/>
    <row r="35" ht="12.75" hidden="1" customHeight="1" x14ac:dyDescent="0.2"/>
    <row r="36" ht="12.75" hidden="1" customHeight="1" x14ac:dyDescent="0.2"/>
  </sheetData>
  <mergeCells count="5">
    <mergeCell ref="B1:L1"/>
    <mergeCell ref="A2:A19"/>
    <mergeCell ref="M2:M19"/>
    <mergeCell ref="C18:E18"/>
    <mergeCell ref="B20:L20"/>
  </mergeCells>
  <printOptions horizontalCentered="1"/>
  <pageMargins left="0" right="0" top="0" bottom="0" header="0" footer="0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indexed="11"/>
    <pageSetUpPr fitToPage="1"/>
  </sheetPr>
  <dimension ref="A1:BQ36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0" width="13.7109375" style="3" customWidth="1"/>
    <col min="11" max="11" width="15.7109375" style="3" customWidth="1"/>
    <col min="12" max="13" width="2.7109375" style="3" customWidth="1"/>
    <col min="14" max="14" width="9.140625" style="3" hidden="1" customWidth="1"/>
    <col min="15" max="25" width="0" style="3" hidden="1" customWidth="1"/>
    <col min="26" max="26" width="9.140625" style="3" hidden="1" customWidth="1"/>
    <col min="27" max="35" width="0" style="3" hidden="1" customWidth="1"/>
    <col min="36" max="36" width="9.140625" style="3" hidden="1" customWidth="1"/>
    <col min="37" max="40" width="0" style="3" hidden="1" customWidth="1"/>
    <col min="41" max="41" width="9.140625" style="3" hidden="1" customWidth="1"/>
    <col min="42" max="53" width="0" style="3" hidden="1" customWidth="1"/>
    <col min="54" max="54" width="9.140625" style="3" hidden="1" customWidth="1"/>
    <col min="55" max="58" width="0" style="3" hidden="1" customWidth="1"/>
    <col min="59" max="59" width="9.140625" style="3" hidden="1" customWidth="1"/>
    <col min="60" max="69" width="0" style="3" hidden="1" customWidth="1"/>
    <col min="70" max="16384" width="9.140625" style="3" hidden="1"/>
  </cols>
  <sheetData>
    <row r="1" spans="1:13" s="1" customFormat="1" ht="12" customHeight="1" thickBot="1" x14ac:dyDescent="0.2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3" s="1" customFormat="1" ht="12" customHeight="1" thickBot="1" x14ac:dyDescent="0.25">
      <c r="A2" s="3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3"/>
    </row>
    <row r="3" spans="1:13" s="1" customFormat="1" ht="30" customHeight="1" thickBot="1" x14ac:dyDescent="0.25">
      <c r="A3" s="32"/>
      <c r="B3" s="2"/>
      <c r="C3" s="22" t="s">
        <v>1</v>
      </c>
      <c r="D3" s="23" t="s">
        <v>0</v>
      </c>
      <c r="E3" s="21" t="s">
        <v>4</v>
      </c>
      <c r="F3" s="17" t="s">
        <v>3</v>
      </c>
      <c r="G3" s="18" t="s">
        <v>6</v>
      </c>
      <c r="H3" s="23" t="s">
        <v>7</v>
      </c>
      <c r="I3" s="23" t="s">
        <v>8</v>
      </c>
      <c r="J3" s="23" t="s">
        <v>9</v>
      </c>
      <c r="K3" s="17" t="s">
        <v>5</v>
      </c>
      <c r="L3" s="2"/>
      <c r="M3" s="33"/>
    </row>
    <row r="4" spans="1:13" s="1" customFormat="1" ht="15" customHeight="1" x14ac:dyDescent="0.2">
      <c r="A4" s="32"/>
      <c r="B4" s="2"/>
      <c r="C4" s="9">
        <v>1</v>
      </c>
      <c r="D4" s="4" t="str">
        <f>'[1]25-4'!D12</f>
        <v>Біологія</v>
      </c>
      <c r="E4" s="6" t="str">
        <f>'[1]25-4'!$E12</f>
        <v>Богданенко О.В.</v>
      </c>
      <c r="F4" s="8">
        <v>34</v>
      </c>
      <c r="G4" s="28">
        <f>'[1]25-4'!$AJ12</f>
        <v>8</v>
      </c>
      <c r="H4" s="28">
        <f>'[2]25-4'!$AK12</f>
        <v>4</v>
      </c>
      <c r="I4" s="28">
        <f>'[3]25-4'!$AG12</f>
        <v>8</v>
      </c>
      <c r="J4" s="28">
        <f>'[4]25-4'!$AH12</f>
        <v>14</v>
      </c>
      <c r="K4" s="8" t="str">
        <f t="shared" ref="K4:K18" si="0">IF(F4-SUM(G4:J4)=0,"0", IF(F4-SUM(G4:J4)&lt;0,"Избыток "&amp;(F4-SUM(G4:J4))*(-1),"Не хватает "&amp;F4-SUM(G4:J4)))</f>
        <v>0</v>
      </c>
      <c r="L4" s="2"/>
      <c r="M4" s="33"/>
    </row>
    <row r="5" spans="1:13" s="1" customFormat="1" ht="15" customHeight="1" x14ac:dyDescent="0.2">
      <c r="A5" s="32"/>
      <c r="B5" s="2"/>
      <c r="C5" s="10">
        <v>2</v>
      </c>
      <c r="D5" s="12" t="str">
        <f>'[1]25-4'!D13</f>
        <v>Всесвітня Історія</v>
      </c>
      <c r="E5" s="13" t="str">
        <f>'[1]25-4'!$E13</f>
        <v>Мельничук С.А.</v>
      </c>
      <c r="F5" s="11">
        <v>34</v>
      </c>
      <c r="G5" s="26">
        <f>'[1]25-4'!$AJ13</f>
        <v>10</v>
      </c>
      <c r="H5" s="26">
        <f>'[2]25-4'!$AK13</f>
        <v>8</v>
      </c>
      <c r="I5" s="26">
        <f>'[3]25-4'!$AG13</f>
        <v>8</v>
      </c>
      <c r="J5" s="26">
        <f>'[4]25-4'!$AH13</f>
        <v>8</v>
      </c>
      <c r="K5" s="11" t="str">
        <f t="shared" si="0"/>
        <v>0</v>
      </c>
      <c r="L5" s="2"/>
      <c r="M5" s="33"/>
    </row>
    <row r="6" spans="1:13" s="1" customFormat="1" ht="15" customHeight="1" x14ac:dyDescent="0.2">
      <c r="A6" s="32"/>
      <c r="B6" s="2"/>
      <c r="C6" s="9">
        <v>3</v>
      </c>
      <c r="D6" s="5" t="str">
        <f>'[1]25-4'!D14</f>
        <v>Географія</v>
      </c>
      <c r="E6" s="7" t="str">
        <f>'[1]25-4'!$E14</f>
        <v>Наговська Т.С.</v>
      </c>
      <c r="F6" s="8">
        <v>40</v>
      </c>
      <c r="G6" s="27">
        <f>'[1]25-4'!$AJ14</f>
        <v>12</v>
      </c>
      <c r="H6" s="27">
        <f>'[2]25-4'!$AK14</f>
        <v>10</v>
      </c>
      <c r="I6" s="27">
        <f>'[3]25-4'!$AG14</f>
        <v>14</v>
      </c>
      <c r="J6" s="27">
        <f>'[4]25-4'!$AH14</f>
        <v>4</v>
      </c>
      <c r="K6" s="8" t="str">
        <f t="shared" si="0"/>
        <v>0</v>
      </c>
      <c r="L6" s="2"/>
      <c r="M6" s="33"/>
    </row>
    <row r="7" spans="1:13" s="1" customFormat="1" ht="15" customHeight="1" x14ac:dyDescent="0.2">
      <c r="A7" s="32"/>
      <c r="B7" s="2"/>
      <c r="C7" s="10">
        <v>4</v>
      </c>
      <c r="D7" s="12" t="str">
        <f>'[1]25-4'!D15</f>
        <v>Зарубіжна література</v>
      </c>
      <c r="E7" s="13" t="str">
        <f>'[1]25-4'!$E15</f>
        <v>Бабенко Л. Е.</v>
      </c>
      <c r="F7" s="11">
        <v>34</v>
      </c>
      <c r="G7" s="26">
        <f>'[1]25-4'!$AJ15</f>
        <v>6</v>
      </c>
      <c r="H7" s="26">
        <f>'[2]25-4'!$AK15</f>
        <v>10</v>
      </c>
      <c r="I7" s="26">
        <f>'[3]25-4'!$AG15</f>
        <v>10</v>
      </c>
      <c r="J7" s="26">
        <f>'[4]25-4'!$AH15</f>
        <v>8</v>
      </c>
      <c r="K7" s="11" t="str">
        <f t="shared" si="0"/>
        <v>0</v>
      </c>
      <c r="L7" s="2"/>
      <c r="M7" s="33"/>
    </row>
    <row r="8" spans="1:13" s="1" customFormat="1" ht="15" customHeight="1" x14ac:dyDescent="0.2">
      <c r="A8" s="32"/>
      <c r="B8" s="2"/>
      <c r="C8" s="24">
        <v>5</v>
      </c>
      <c r="D8" s="5" t="str">
        <f>'[1]25-4'!D16</f>
        <v>Захист України</v>
      </c>
      <c r="E8" s="7" t="str">
        <f>'[1]25-4'!$E16</f>
        <v>Лазар В.І.</v>
      </c>
      <c r="F8" s="8">
        <v>34</v>
      </c>
      <c r="G8" s="27">
        <f>'[1]25-4'!$AJ16</f>
        <v>8</v>
      </c>
      <c r="H8" s="27">
        <f>'[2]25-4'!$AK16</f>
        <v>10</v>
      </c>
      <c r="I8" s="27">
        <f>'[3]25-4'!$AG16</f>
        <v>8</v>
      </c>
      <c r="J8" s="27">
        <f>'[4]25-4'!$AH16</f>
        <v>8</v>
      </c>
      <c r="K8" s="8" t="str">
        <f t="shared" si="0"/>
        <v>0</v>
      </c>
      <c r="L8" s="2"/>
      <c r="M8" s="33"/>
    </row>
    <row r="9" spans="1:13" s="1" customFormat="1" ht="15" customHeight="1" x14ac:dyDescent="0.2">
      <c r="A9" s="32"/>
      <c r="B9" s="2"/>
      <c r="C9" s="10">
        <v>6</v>
      </c>
      <c r="D9" s="12" t="str">
        <f>'[1]25-4'!D17</f>
        <v>Іноземна мова</v>
      </c>
      <c r="E9" s="13" t="str">
        <f>'[1]25-4'!$E17</f>
        <v>Нічик Н.О.</v>
      </c>
      <c r="F9" s="11">
        <v>34</v>
      </c>
      <c r="G9" s="26">
        <f>'[1]25-4'!$AJ17</f>
        <v>8</v>
      </c>
      <c r="H9" s="26">
        <f>'[2]25-4'!$AK17</f>
        <v>10</v>
      </c>
      <c r="I9" s="26">
        <f>'[3]25-4'!$AG17</f>
        <v>8</v>
      </c>
      <c r="J9" s="26">
        <f>'[4]25-4'!$AH17</f>
        <v>8</v>
      </c>
      <c r="K9" s="11" t="str">
        <f t="shared" si="0"/>
        <v>0</v>
      </c>
      <c r="L9" s="2"/>
      <c r="M9" s="33"/>
    </row>
    <row r="10" spans="1:13" s="1" customFormat="1" ht="15" customHeight="1" x14ac:dyDescent="0.2">
      <c r="A10" s="32"/>
      <c r="B10" s="2"/>
      <c r="C10" s="9">
        <v>7</v>
      </c>
      <c r="D10" s="4" t="str">
        <f>'[1]25-4'!D18</f>
        <v>Інформатика</v>
      </c>
      <c r="E10" s="6" t="str">
        <f>'[1]25-4'!$E18</f>
        <v>Андрльє І.О.</v>
      </c>
      <c r="F10" s="8">
        <v>34</v>
      </c>
      <c r="G10" s="28">
        <f>'[1]25-4'!$AJ18</f>
        <v>8</v>
      </c>
      <c r="H10" s="28">
        <f>'[2]25-4'!$AK18</f>
        <v>12</v>
      </c>
      <c r="I10" s="28">
        <f>'[3]25-4'!$AG18</f>
        <v>10</v>
      </c>
      <c r="J10" s="28">
        <f>'[4]25-4'!$AH18</f>
        <v>4</v>
      </c>
      <c r="K10" s="8" t="str">
        <f t="shared" si="0"/>
        <v>0</v>
      </c>
      <c r="L10" s="2"/>
      <c r="M10" s="33"/>
    </row>
    <row r="11" spans="1:13" s="1" customFormat="1" ht="15" customHeight="1" x14ac:dyDescent="0.2">
      <c r="A11" s="32"/>
      <c r="B11" s="2"/>
      <c r="C11" s="10">
        <v>8</v>
      </c>
      <c r="D11" s="12" t="str">
        <f>'[1]25-4'!D19</f>
        <v>Історія України</v>
      </c>
      <c r="E11" s="13" t="str">
        <f>'[1]25-4'!$E19</f>
        <v>Левчук Т.Г.</v>
      </c>
      <c r="F11" s="11">
        <v>34</v>
      </c>
      <c r="G11" s="26">
        <f>'[1]25-4'!$AJ19</f>
        <v>8</v>
      </c>
      <c r="H11" s="26">
        <f>'[2]25-4'!$AK19</f>
        <v>12</v>
      </c>
      <c r="I11" s="26">
        <f>'[3]25-4'!$AG19</f>
        <v>8</v>
      </c>
      <c r="J11" s="26">
        <f>'[4]25-4'!$AH19</f>
        <v>6</v>
      </c>
      <c r="K11" s="11" t="str">
        <f t="shared" si="0"/>
        <v>0</v>
      </c>
      <c r="L11" s="2"/>
      <c r="M11" s="33"/>
    </row>
    <row r="12" spans="1:13" s="1" customFormat="1" ht="15" customHeight="1" x14ac:dyDescent="0.2">
      <c r="A12" s="32"/>
      <c r="B12" s="2"/>
      <c r="C12" s="9">
        <v>9</v>
      </c>
      <c r="D12" s="4" t="str">
        <f>'[1]25-4'!D20</f>
        <v>Математика</v>
      </c>
      <c r="E12" s="6" t="str">
        <f>'[1]25-4'!$E20</f>
        <v>Земляна Т.М.</v>
      </c>
      <c r="F12" s="8">
        <v>68</v>
      </c>
      <c r="G12" s="28">
        <f>'[1]25-4'!$AJ20</f>
        <v>20</v>
      </c>
      <c r="H12" s="28">
        <f>'[2]25-4'!$AK20</f>
        <v>16</v>
      </c>
      <c r="I12" s="28">
        <f>'[3]25-4'!$AG20</f>
        <v>16</v>
      </c>
      <c r="J12" s="28">
        <f>'[4]25-4'!$AH20</f>
        <v>16</v>
      </c>
      <c r="K12" s="8" t="str">
        <f t="shared" si="0"/>
        <v>0</v>
      </c>
      <c r="L12" s="2"/>
      <c r="M12" s="33"/>
    </row>
    <row r="13" spans="1:13" s="1" customFormat="1" ht="15" customHeight="1" x14ac:dyDescent="0.2">
      <c r="A13" s="32"/>
      <c r="B13" s="2"/>
      <c r="C13" s="10">
        <v>10</v>
      </c>
      <c r="D13" s="12" t="str">
        <f>'[1]25-4'!D21</f>
        <v>Українська література</v>
      </c>
      <c r="E13" s="13" t="str">
        <f>'[1]25-4'!$E21</f>
        <v>Антропова Л.І.</v>
      </c>
      <c r="F13" s="11">
        <v>34</v>
      </c>
      <c r="G13" s="26">
        <f>'[1]25-4'!$AJ21</f>
        <v>8</v>
      </c>
      <c r="H13" s="26">
        <f>'[2]25-4'!$AK21</f>
        <v>10</v>
      </c>
      <c r="I13" s="26">
        <f>'[3]25-4'!$AG21</f>
        <v>8</v>
      </c>
      <c r="J13" s="26">
        <f>'[4]25-4'!$AH21</f>
        <v>8</v>
      </c>
      <c r="K13" s="11" t="str">
        <f t="shared" si="0"/>
        <v>0</v>
      </c>
      <c r="L13" s="2"/>
      <c r="M13" s="33"/>
    </row>
    <row r="14" spans="1:13" s="1" customFormat="1" ht="15" customHeight="1" x14ac:dyDescent="0.2">
      <c r="A14" s="32"/>
      <c r="B14" s="2"/>
      <c r="C14" s="9">
        <v>11</v>
      </c>
      <c r="D14" s="4" t="str">
        <f>'[1]25-4'!D22</f>
        <v>Українська мова</v>
      </c>
      <c r="E14" s="6" t="str">
        <f>'[1]25-4'!$E22</f>
        <v>Антропова Л.І.</v>
      </c>
      <c r="F14" s="8">
        <v>34</v>
      </c>
      <c r="G14" s="28">
        <f>'[1]25-4'!$AJ22</f>
        <v>8</v>
      </c>
      <c r="H14" s="28">
        <f>'[2]25-4'!$AK22</f>
        <v>10</v>
      </c>
      <c r="I14" s="28">
        <f>'[3]25-4'!$AG22</f>
        <v>8</v>
      </c>
      <c r="J14" s="28">
        <f>'[4]25-4'!$AH22</f>
        <v>8</v>
      </c>
      <c r="K14" s="8" t="str">
        <f t="shared" si="0"/>
        <v>0</v>
      </c>
      <c r="L14" s="2"/>
      <c r="M14" s="33"/>
    </row>
    <row r="15" spans="1:13" s="1" customFormat="1" ht="15" customHeight="1" x14ac:dyDescent="0.2">
      <c r="A15" s="32"/>
      <c r="B15" s="2"/>
      <c r="C15" s="10">
        <v>12</v>
      </c>
      <c r="D15" s="12" t="str">
        <f>'[1]25-4'!D23</f>
        <v>Фізика</v>
      </c>
      <c r="E15" s="13" t="str">
        <f>'[1]25-4'!$E23</f>
        <v>Калюта Н.М.</v>
      </c>
      <c r="F15" s="11">
        <v>68</v>
      </c>
      <c r="G15" s="26">
        <f>'[1]25-4'!$AJ23</f>
        <v>18</v>
      </c>
      <c r="H15" s="26">
        <f>'[2]25-4'!$AK23</f>
        <v>12</v>
      </c>
      <c r="I15" s="26">
        <f>'[3]25-4'!$AG23</f>
        <v>18</v>
      </c>
      <c r="J15" s="26">
        <f>'[4]25-4'!$AH23</f>
        <v>16</v>
      </c>
      <c r="K15" s="11" t="str">
        <f t="shared" si="0"/>
        <v>Не хватает 4</v>
      </c>
      <c r="L15" s="2"/>
      <c r="M15" s="33"/>
    </row>
    <row r="16" spans="1:13" s="1" customFormat="1" ht="15" customHeight="1" x14ac:dyDescent="0.2">
      <c r="A16" s="32"/>
      <c r="B16" s="2"/>
      <c r="C16" s="9">
        <v>13</v>
      </c>
      <c r="D16" s="4" t="str">
        <f>'[1]25-4'!D24</f>
        <v>Фізична культура</v>
      </c>
      <c r="E16" s="6" t="str">
        <f>'[1]25-4'!$E24</f>
        <v>Галеніна І.С.</v>
      </c>
      <c r="F16" s="8">
        <v>51</v>
      </c>
      <c r="G16" s="28">
        <f>'[1]25-4'!$AJ24</f>
        <v>12</v>
      </c>
      <c r="H16" s="28">
        <f>'[2]25-4'!$AK24</f>
        <v>20</v>
      </c>
      <c r="I16" s="28">
        <f>'[3]25-4'!$AG24</f>
        <v>12</v>
      </c>
      <c r="J16" s="28">
        <f>'[4]25-4'!$AH24</f>
        <v>7</v>
      </c>
      <c r="K16" s="8" t="str">
        <f t="shared" si="0"/>
        <v>0</v>
      </c>
      <c r="L16" s="2"/>
      <c r="M16" s="33"/>
    </row>
    <row r="17" spans="1:13" s="1" customFormat="1" ht="15" customHeight="1" thickBot="1" x14ac:dyDescent="0.25">
      <c r="A17" s="32"/>
      <c r="B17" s="2"/>
      <c r="C17" s="10">
        <v>14</v>
      </c>
      <c r="D17" s="14" t="str">
        <f>'[1]25-4'!D25</f>
        <v>Хімія</v>
      </c>
      <c r="E17" s="15" t="str">
        <f>'[1]25-4'!$E25</f>
        <v>Пономарьов К.М.</v>
      </c>
      <c r="F17" s="16">
        <v>34</v>
      </c>
      <c r="G17" s="29">
        <f>'[1]25-4'!$AJ25</f>
        <v>10</v>
      </c>
      <c r="H17" s="29">
        <f>'[2]25-4'!$AK25</f>
        <v>10</v>
      </c>
      <c r="I17" s="29">
        <f>'[3]25-4'!$AG25</f>
        <v>10</v>
      </c>
      <c r="J17" s="29">
        <f>'[4]25-4'!$AH25</f>
        <v>4</v>
      </c>
      <c r="K17" s="16" t="str">
        <f t="shared" si="0"/>
        <v>0</v>
      </c>
      <c r="L17" s="2"/>
      <c r="M17" s="33"/>
    </row>
    <row r="18" spans="1:13" s="1" customFormat="1" ht="15" customHeight="1" thickBot="1" x14ac:dyDescent="0.25">
      <c r="A18" s="32"/>
      <c r="B18" s="2"/>
      <c r="C18" s="34" t="s">
        <v>2</v>
      </c>
      <c r="D18" s="35"/>
      <c r="E18" s="36"/>
      <c r="F18" s="17">
        <f>SUM(F4:F17)</f>
        <v>567</v>
      </c>
      <c r="G18" s="18">
        <f>SUM(G4:G17)</f>
        <v>144</v>
      </c>
      <c r="H18" s="23">
        <f>SUM(H4:H17)</f>
        <v>154</v>
      </c>
      <c r="I18" s="23">
        <f>SUM(I4:I17)</f>
        <v>146</v>
      </c>
      <c r="J18" s="23">
        <f>SUM(J4:J17)</f>
        <v>119</v>
      </c>
      <c r="K18" s="17" t="str">
        <f t="shared" si="0"/>
        <v>Не хватает 4</v>
      </c>
      <c r="L18" s="2"/>
      <c r="M18" s="33"/>
    </row>
    <row r="19" spans="1:13" ht="12.95" customHeight="1" thickBot="1" x14ac:dyDescent="0.25">
      <c r="A19" s="3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33"/>
    </row>
    <row r="20" spans="1:13" ht="12" customHeight="1" x14ac:dyDescent="0.2">
      <c r="A20" s="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1"/>
    </row>
    <row r="21" spans="1:13" ht="12.75" hidden="1" customHeight="1" x14ac:dyDescent="0.2"/>
    <row r="22" spans="1:13" ht="12.75" hidden="1" customHeight="1" x14ac:dyDescent="0.2"/>
    <row r="23" spans="1:13" ht="12.75" hidden="1" customHeight="1" x14ac:dyDescent="0.2"/>
    <row r="24" spans="1:13" ht="12.75" hidden="1" customHeight="1" x14ac:dyDescent="0.2"/>
    <row r="25" spans="1:13" ht="12.75" hidden="1" customHeight="1" x14ac:dyDescent="0.2"/>
    <row r="26" spans="1:13" ht="12.75" hidden="1" customHeight="1" x14ac:dyDescent="0.2"/>
    <row r="27" spans="1:13" ht="12.75" hidden="1" customHeight="1" x14ac:dyDescent="0.2"/>
    <row r="28" spans="1:13" ht="12.75" hidden="1" customHeight="1" x14ac:dyDescent="0.2"/>
    <row r="29" spans="1:13" ht="12.75" hidden="1" customHeight="1" x14ac:dyDescent="0.2"/>
    <row r="30" spans="1:13" ht="12.75" hidden="1" customHeight="1" x14ac:dyDescent="0.2"/>
    <row r="31" spans="1:13" ht="12.75" hidden="1" customHeight="1" x14ac:dyDescent="0.2"/>
    <row r="32" spans="1:13" ht="12.75" hidden="1" customHeight="1" x14ac:dyDescent="0.2"/>
    <row r="33" ht="12.75" hidden="1" customHeight="1" x14ac:dyDescent="0.2"/>
    <row r="34" ht="12.75" hidden="1" customHeight="1" x14ac:dyDescent="0.2"/>
    <row r="35" ht="12.75" hidden="1" customHeight="1" x14ac:dyDescent="0.2"/>
    <row r="36" ht="12.75" hidden="1" customHeight="1" x14ac:dyDescent="0.2"/>
  </sheetData>
  <mergeCells count="5">
    <mergeCell ref="B1:L1"/>
    <mergeCell ref="A2:A19"/>
    <mergeCell ref="M2:M19"/>
    <mergeCell ref="C18:E18"/>
    <mergeCell ref="B20:L20"/>
  </mergeCells>
  <printOptions horizontalCentered="1"/>
  <pageMargins left="0" right="0" top="0" bottom="0" header="0" footer="0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indexed="11"/>
    <pageSetUpPr fitToPage="1"/>
  </sheetPr>
  <dimension ref="A1:BQ36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0" width="13.7109375" style="3" customWidth="1"/>
    <col min="11" max="11" width="15.7109375" style="3" customWidth="1"/>
    <col min="12" max="13" width="2.7109375" style="3" customWidth="1"/>
    <col min="14" max="14" width="9.140625" style="3" hidden="1" customWidth="1"/>
    <col min="15" max="25" width="0" style="3" hidden="1" customWidth="1"/>
    <col min="26" max="26" width="9.140625" style="3" hidden="1" customWidth="1"/>
    <col min="27" max="35" width="0" style="3" hidden="1" customWidth="1"/>
    <col min="36" max="36" width="9.140625" style="3" hidden="1" customWidth="1"/>
    <col min="37" max="40" width="0" style="3" hidden="1" customWidth="1"/>
    <col min="41" max="41" width="9.140625" style="3" hidden="1" customWidth="1"/>
    <col min="42" max="53" width="0" style="3" hidden="1" customWidth="1"/>
    <col min="54" max="54" width="9.140625" style="3" hidden="1" customWidth="1"/>
    <col min="55" max="58" width="0" style="3" hidden="1" customWidth="1"/>
    <col min="59" max="59" width="9.140625" style="3" hidden="1" customWidth="1"/>
    <col min="60" max="69" width="0" style="3" hidden="1" customWidth="1"/>
    <col min="70" max="16384" width="9.140625" style="3" hidden="1"/>
  </cols>
  <sheetData>
    <row r="1" spans="1:13" s="1" customFormat="1" ht="12" customHeight="1" thickBot="1" x14ac:dyDescent="0.2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3" s="1" customFormat="1" ht="12" customHeight="1" thickBot="1" x14ac:dyDescent="0.25">
      <c r="A2" s="3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3"/>
    </row>
    <row r="3" spans="1:13" s="1" customFormat="1" ht="30" customHeight="1" thickBot="1" x14ac:dyDescent="0.25">
      <c r="A3" s="32"/>
      <c r="B3" s="2"/>
      <c r="C3" s="22" t="s">
        <v>1</v>
      </c>
      <c r="D3" s="23" t="s">
        <v>0</v>
      </c>
      <c r="E3" s="21" t="s">
        <v>4</v>
      </c>
      <c r="F3" s="17" t="s">
        <v>3</v>
      </c>
      <c r="G3" s="18" t="s">
        <v>6</v>
      </c>
      <c r="H3" s="23" t="s">
        <v>7</v>
      </c>
      <c r="I3" s="23" t="s">
        <v>8</v>
      </c>
      <c r="J3" s="23" t="s">
        <v>9</v>
      </c>
      <c r="K3" s="17" t="s">
        <v>5</v>
      </c>
      <c r="L3" s="2"/>
      <c r="M3" s="33"/>
    </row>
    <row r="4" spans="1:13" s="1" customFormat="1" ht="15" customHeight="1" x14ac:dyDescent="0.2">
      <c r="A4" s="32"/>
      <c r="B4" s="2"/>
      <c r="C4" s="9">
        <v>1</v>
      </c>
      <c r="D4" s="4" t="str">
        <f>'[1]25-5'!D12</f>
        <v>Біологія</v>
      </c>
      <c r="E4" s="6" t="str">
        <f>'[1]25-5'!$E12</f>
        <v>Богданенко О.В.</v>
      </c>
      <c r="F4" s="8">
        <v>34</v>
      </c>
      <c r="G4" s="28">
        <f>'[1]25-5'!$AJ12</f>
        <v>8</v>
      </c>
      <c r="H4" s="28">
        <f>'[2]25-5'!$AK12</f>
        <v>2</v>
      </c>
      <c r="I4" s="28">
        <f>'[3]25-5'!$AG12</f>
        <v>8</v>
      </c>
      <c r="J4" s="28">
        <f>'[4]25-5'!$AH12</f>
        <v>16</v>
      </c>
      <c r="K4" s="8" t="str">
        <f t="shared" ref="K4:K18" si="0">IF(F4-SUM(G4:J4)=0,"0", IF(F4-SUM(G4:J4)&lt;0,"Избыток "&amp;(F4-SUM(G4:J4))*(-1),"Не хватает "&amp;F4-SUM(G4:J4)))</f>
        <v>0</v>
      </c>
      <c r="L4" s="2"/>
      <c r="M4" s="33"/>
    </row>
    <row r="5" spans="1:13" s="1" customFormat="1" ht="15" customHeight="1" x14ac:dyDescent="0.2">
      <c r="A5" s="32"/>
      <c r="B5" s="2"/>
      <c r="C5" s="10">
        <v>2</v>
      </c>
      <c r="D5" s="12" t="str">
        <f>'[1]25-5'!D13</f>
        <v>Всесвітня Історія</v>
      </c>
      <c r="E5" s="13" t="str">
        <f>'[1]25-5'!$E13</f>
        <v>Мельничук С.А.</v>
      </c>
      <c r="F5" s="11">
        <v>34</v>
      </c>
      <c r="G5" s="26">
        <f>'[1]25-5'!$AJ13</f>
        <v>8</v>
      </c>
      <c r="H5" s="26">
        <f>'[2]25-5'!$AK13</f>
        <v>10</v>
      </c>
      <c r="I5" s="26">
        <f>'[3]25-5'!$AG13</f>
        <v>8</v>
      </c>
      <c r="J5" s="26">
        <f>'[4]25-5'!$AH13</f>
        <v>8</v>
      </c>
      <c r="K5" s="11" t="str">
        <f t="shared" si="0"/>
        <v>0</v>
      </c>
      <c r="L5" s="2"/>
      <c r="M5" s="33"/>
    </row>
    <row r="6" spans="1:13" s="1" customFormat="1" ht="15" customHeight="1" x14ac:dyDescent="0.2">
      <c r="A6" s="32"/>
      <c r="B6" s="2"/>
      <c r="C6" s="9">
        <v>3</v>
      </c>
      <c r="D6" s="5" t="str">
        <f>'[1]25-5'!D14</f>
        <v>Географія</v>
      </c>
      <c r="E6" s="7" t="str">
        <f>'[1]25-5'!$E14</f>
        <v>Наговська Т.С.</v>
      </c>
      <c r="F6" s="8">
        <v>40</v>
      </c>
      <c r="G6" s="27">
        <f>'[1]25-5'!$AJ14</f>
        <v>12</v>
      </c>
      <c r="H6" s="27">
        <f>'[2]25-5'!$AK14</f>
        <v>10</v>
      </c>
      <c r="I6" s="27">
        <f>'[3]25-5'!$AG14</f>
        <v>14</v>
      </c>
      <c r="J6" s="27">
        <f>'[4]25-5'!$AH14</f>
        <v>4</v>
      </c>
      <c r="K6" s="8" t="str">
        <f t="shared" si="0"/>
        <v>0</v>
      </c>
      <c r="L6" s="2"/>
      <c r="M6" s="33"/>
    </row>
    <row r="7" spans="1:13" s="1" customFormat="1" ht="15" customHeight="1" x14ac:dyDescent="0.2">
      <c r="A7" s="32"/>
      <c r="B7" s="2"/>
      <c r="C7" s="10">
        <v>4</v>
      </c>
      <c r="D7" s="12" t="str">
        <f>'[1]25-5'!D15</f>
        <v>Зарубіжна література</v>
      </c>
      <c r="E7" s="13" t="str">
        <f>'[1]25-5'!$E15</f>
        <v>Бабенко Л. Е.</v>
      </c>
      <c r="F7" s="11">
        <v>34</v>
      </c>
      <c r="G7" s="26">
        <f>'[1]25-5'!$AJ15</f>
        <v>6</v>
      </c>
      <c r="H7" s="26">
        <f>'[2]25-5'!$AK15</f>
        <v>10</v>
      </c>
      <c r="I7" s="26">
        <f>'[3]25-5'!$AG15</f>
        <v>10</v>
      </c>
      <c r="J7" s="26">
        <f>'[4]25-5'!$AH15</f>
        <v>8</v>
      </c>
      <c r="K7" s="11" t="str">
        <f t="shared" si="0"/>
        <v>0</v>
      </c>
      <c r="L7" s="2"/>
      <c r="M7" s="33"/>
    </row>
    <row r="8" spans="1:13" s="1" customFormat="1" ht="15" customHeight="1" x14ac:dyDescent="0.2">
      <c r="A8" s="32"/>
      <c r="B8" s="2"/>
      <c r="C8" s="24">
        <v>5</v>
      </c>
      <c r="D8" s="5" t="str">
        <f>'[1]25-5'!D16</f>
        <v>Захист України</v>
      </c>
      <c r="E8" s="7" t="str">
        <f>'[1]25-5'!$E16</f>
        <v>Лазар В.І.</v>
      </c>
      <c r="F8" s="8">
        <v>34</v>
      </c>
      <c r="G8" s="27">
        <f>'[1]25-5'!$AJ16</f>
        <v>8</v>
      </c>
      <c r="H8" s="27">
        <f>'[2]25-5'!$AK16</f>
        <v>10</v>
      </c>
      <c r="I8" s="27">
        <f>'[3]25-5'!$AG16</f>
        <v>8</v>
      </c>
      <c r="J8" s="27">
        <f>'[4]25-5'!$AH16</f>
        <v>8</v>
      </c>
      <c r="K8" s="8" t="str">
        <f t="shared" si="0"/>
        <v>0</v>
      </c>
      <c r="L8" s="2"/>
      <c r="M8" s="33"/>
    </row>
    <row r="9" spans="1:13" s="1" customFormat="1" ht="15" customHeight="1" x14ac:dyDescent="0.2">
      <c r="A9" s="32"/>
      <c r="B9" s="2"/>
      <c r="C9" s="10">
        <v>6</v>
      </c>
      <c r="D9" s="12" t="str">
        <f>'[1]25-5'!D17</f>
        <v>Іноземна мова</v>
      </c>
      <c r="E9" s="13" t="str">
        <f>'[1]25-5'!$E17</f>
        <v>Нічик Н.О.</v>
      </c>
      <c r="F9" s="11">
        <v>34</v>
      </c>
      <c r="G9" s="26">
        <f>'[1]25-5'!$AJ17</f>
        <v>8</v>
      </c>
      <c r="H9" s="26">
        <f>'[2]25-5'!$AK17</f>
        <v>10</v>
      </c>
      <c r="I9" s="26">
        <f>'[3]25-5'!$AG17</f>
        <v>8</v>
      </c>
      <c r="J9" s="26">
        <f>'[4]25-5'!$AH17</f>
        <v>8</v>
      </c>
      <c r="K9" s="11" t="str">
        <f t="shared" si="0"/>
        <v>0</v>
      </c>
      <c r="L9" s="2"/>
      <c r="M9" s="33"/>
    </row>
    <row r="10" spans="1:13" s="1" customFormat="1" ht="15" customHeight="1" x14ac:dyDescent="0.2">
      <c r="A10" s="32"/>
      <c r="B10" s="2"/>
      <c r="C10" s="9">
        <v>7</v>
      </c>
      <c r="D10" s="4" t="str">
        <f>'[1]25-5'!D18</f>
        <v>Інформатика</v>
      </c>
      <c r="E10" s="6" t="str">
        <f>'[1]25-5'!$E18</f>
        <v>Андрльє І.О.</v>
      </c>
      <c r="F10" s="8">
        <v>34</v>
      </c>
      <c r="G10" s="28">
        <f>'[1]25-5'!$AJ18</f>
        <v>10</v>
      </c>
      <c r="H10" s="28">
        <f>'[2]25-5'!$AK18</f>
        <v>12</v>
      </c>
      <c r="I10" s="28">
        <f>'[3]25-5'!$AG18</f>
        <v>10</v>
      </c>
      <c r="J10" s="28">
        <f>'[4]25-5'!$AH18</f>
        <v>2</v>
      </c>
      <c r="K10" s="8" t="str">
        <f t="shared" si="0"/>
        <v>0</v>
      </c>
      <c r="L10" s="2"/>
      <c r="M10" s="33"/>
    </row>
    <row r="11" spans="1:13" s="1" customFormat="1" ht="15" customHeight="1" x14ac:dyDescent="0.2">
      <c r="A11" s="32"/>
      <c r="B11" s="2"/>
      <c r="C11" s="10">
        <v>8</v>
      </c>
      <c r="D11" s="12" t="str">
        <f>'[1]25-5'!D19</f>
        <v>Історія України</v>
      </c>
      <c r="E11" s="13" t="str">
        <f>'[1]25-5'!$E19</f>
        <v>Левчук Т.Г.</v>
      </c>
      <c r="F11" s="11">
        <v>34</v>
      </c>
      <c r="G11" s="26">
        <f>'[1]25-5'!$AJ19</f>
        <v>8</v>
      </c>
      <c r="H11" s="26">
        <f>'[2]25-5'!$AK19</f>
        <v>10</v>
      </c>
      <c r="I11" s="26">
        <f>'[3]25-5'!$AG19</f>
        <v>8</v>
      </c>
      <c r="J11" s="26">
        <f>'[4]25-5'!$AH19</f>
        <v>8</v>
      </c>
      <c r="K11" s="11" t="str">
        <f t="shared" si="0"/>
        <v>0</v>
      </c>
      <c r="L11" s="2"/>
      <c r="M11" s="33"/>
    </row>
    <row r="12" spans="1:13" s="1" customFormat="1" ht="15" customHeight="1" x14ac:dyDescent="0.2">
      <c r="A12" s="32"/>
      <c r="B12" s="2"/>
      <c r="C12" s="9">
        <v>9</v>
      </c>
      <c r="D12" s="4" t="str">
        <f>'[1]25-5'!D20</f>
        <v>Математика</v>
      </c>
      <c r="E12" s="6" t="str">
        <f>'[1]25-5'!$E20</f>
        <v>Земляна Т.М.</v>
      </c>
      <c r="F12" s="8">
        <v>68</v>
      </c>
      <c r="G12" s="28">
        <f>'[1]25-5'!$AJ20</f>
        <v>18</v>
      </c>
      <c r="H12" s="28">
        <f>'[2]25-5'!$AK20</f>
        <v>18</v>
      </c>
      <c r="I12" s="28">
        <f>'[3]25-5'!$AG20</f>
        <v>16</v>
      </c>
      <c r="J12" s="28">
        <f>'[4]25-5'!$AH20</f>
        <v>16</v>
      </c>
      <c r="K12" s="8" t="str">
        <f t="shared" si="0"/>
        <v>0</v>
      </c>
      <c r="L12" s="2"/>
      <c r="M12" s="33"/>
    </row>
    <row r="13" spans="1:13" s="1" customFormat="1" ht="15" customHeight="1" x14ac:dyDescent="0.2">
      <c r="A13" s="32"/>
      <c r="B13" s="2"/>
      <c r="C13" s="10">
        <v>10</v>
      </c>
      <c r="D13" s="12" t="str">
        <f>'[1]25-5'!D21</f>
        <v>Українська література</v>
      </c>
      <c r="E13" s="13" t="str">
        <f>'[1]25-5'!$E21</f>
        <v>Юрченко О.Б.</v>
      </c>
      <c r="F13" s="11">
        <v>34</v>
      </c>
      <c r="G13" s="26">
        <f>'[1]25-5'!$AJ21</f>
        <v>8</v>
      </c>
      <c r="H13" s="26">
        <f>'[2]25-5'!$AK21</f>
        <v>10</v>
      </c>
      <c r="I13" s="26">
        <f>'[3]25-5'!$AG21</f>
        <v>8</v>
      </c>
      <c r="J13" s="26">
        <f>'[4]25-5'!$AH21</f>
        <v>8</v>
      </c>
      <c r="K13" s="11" t="str">
        <f t="shared" si="0"/>
        <v>0</v>
      </c>
      <c r="L13" s="2"/>
      <c r="M13" s="33"/>
    </row>
    <row r="14" spans="1:13" s="1" customFormat="1" ht="15" customHeight="1" x14ac:dyDescent="0.2">
      <c r="A14" s="32"/>
      <c r="B14" s="2"/>
      <c r="C14" s="9">
        <v>11</v>
      </c>
      <c r="D14" s="4" t="str">
        <f>'[1]25-5'!D22</f>
        <v>Українська мова</v>
      </c>
      <c r="E14" s="6" t="str">
        <f>'[1]25-5'!$E22</f>
        <v>Юрченко О.Б.</v>
      </c>
      <c r="F14" s="8">
        <v>34</v>
      </c>
      <c r="G14" s="28">
        <f>'[1]25-5'!$AJ22</f>
        <v>8</v>
      </c>
      <c r="H14" s="28">
        <f>'[2]25-5'!$AK22</f>
        <v>10</v>
      </c>
      <c r="I14" s="28">
        <f>'[3]25-5'!$AG22</f>
        <v>8</v>
      </c>
      <c r="J14" s="28">
        <f>'[4]25-5'!$AH22</f>
        <v>8</v>
      </c>
      <c r="K14" s="8" t="str">
        <f t="shared" si="0"/>
        <v>0</v>
      </c>
      <c r="L14" s="2"/>
      <c r="M14" s="33"/>
    </row>
    <row r="15" spans="1:13" s="1" customFormat="1" ht="15" customHeight="1" x14ac:dyDescent="0.2">
      <c r="A15" s="32"/>
      <c r="B15" s="2"/>
      <c r="C15" s="10">
        <v>12</v>
      </c>
      <c r="D15" s="12" t="str">
        <f>'[1]25-5'!D23</f>
        <v>Фізика</v>
      </c>
      <c r="E15" s="13" t="str">
        <f>'[1]25-5'!$E23</f>
        <v>Калюта Н.М.</v>
      </c>
      <c r="F15" s="11">
        <v>68</v>
      </c>
      <c r="G15" s="26">
        <f>'[1]25-5'!$AJ23</f>
        <v>16</v>
      </c>
      <c r="H15" s="26">
        <f>'[2]25-5'!$AK23</f>
        <v>14</v>
      </c>
      <c r="I15" s="26">
        <f>'[3]25-5'!$AG23</f>
        <v>18</v>
      </c>
      <c r="J15" s="26">
        <f>'[4]25-5'!$AH23</f>
        <v>16</v>
      </c>
      <c r="K15" s="11" t="str">
        <f t="shared" si="0"/>
        <v>Не хватает 4</v>
      </c>
      <c r="L15" s="2"/>
      <c r="M15" s="33"/>
    </row>
    <row r="16" spans="1:13" s="1" customFormat="1" ht="15" customHeight="1" x14ac:dyDescent="0.2">
      <c r="A16" s="32"/>
      <c r="B16" s="2"/>
      <c r="C16" s="9">
        <v>13</v>
      </c>
      <c r="D16" s="4" t="str">
        <f>'[1]25-5'!D24</f>
        <v>Фізична культура</v>
      </c>
      <c r="E16" s="6" t="str">
        <f>'[1]25-5'!$E24</f>
        <v>Галеніна І.С.</v>
      </c>
      <c r="F16" s="8">
        <v>51</v>
      </c>
      <c r="G16" s="28">
        <f>'[1]25-5'!$AJ24</f>
        <v>12</v>
      </c>
      <c r="H16" s="28">
        <f>'[2]25-5'!$AK24</f>
        <v>22</v>
      </c>
      <c r="I16" s="28">
        <f>'[3]25-5'!$AG24</f>
        <v>14</v>
      </c>
      <c r="J16" s="28">
        <f>'[4]25-5'!$AH24</f>
        <v>3</v>
      </c>
      <c r="K16" s="8" t="str">
        <f t="shared" si="0"/>
        <v>0</v>
      </c>
      <c r="L16" s="2"/>
      <c r="M16" s="33"/>
    </row>
    <row r="17" spans="1:13" s="1" customFormat="1" ht="15" customHeight="1" thickBot="1" x14ac:dyDescent="0.25">
      <c r="A17" s="32"/>
      <c r="B17" s="2"/>
      <c r="C17" s="10">
        <v>14</v>
      </c>
      <c r="D17" s="14" t="str">
        <f>'[1]25-5'!D25</f>
        <v>Хімія</v>
      </c>
      <c r="E17" s="15" t="str">
        <f>'[1]25-5'!$E25</f>
        <v>Пономарьов К.М.</v>
      </c>
      <c r="F17" s="16">
        <v>34</v>
      </c>
      <c r="G17" s="29">
        <f>'[1]25-5'!$AJ25</f>
        <v>10</v>
      </c>
      <c r="H17" s="29">
        <f>'[2]25-5'!$AK25</f>
        <v>8</v>
      </c>
      <c r="I17" s="29">
        <f>'[3]25-5'!$AG25</f>
        <v>8</v>
      </c>
      <c r="J17" s="29">
        <f>'[4]25-5'!$AH25</f>
        <v>8</v>
      </c>
      <c r="K17" s="16" t="str">
        <f t="shared" si="0"/>
        <v>0</v>
      </c>
      <c r="L17" s="2"/>
      <c r="M17" s="33"/>
    </row>
    <row r="18" spans="1:13" s="1" customFormat="1" ht="15" customHeight="1" thickBot="1" x14ac:dyDescent="0.25">
      <c r="A18" s="32"/>
      <c r="B18" s="2"/>
      <c r="C18" s="34" t="s">
        <v>2</v>
      </c>
      <c r="D18" s="35"/>
      <c r="E18" s="36"/>
      <c r="F18" s="17">
        <f>SUM(F4:F17)</f>
        <v>567</v>
      </c>
      <c r="G18" s="18">
        <f>SUM(G4:G17)</f>
        <v>140</v>
      </c>
      <c r="H18" s="23">
        <f>SUM(H4:H17)</f>
        <v>156</v>
      </c>
      <c r="I18" s="23">
        <f>SUM(I4:I17)</f>
        <v>146</v>
      </c>
      <c r="J18" s="23">
        <f>SUM(J4:J17)</f>
        <v>121</v>
      </c>
      <c r="K18" s="17" t="str">
        <f t="shared" si="0"/>
        <v>Не хватает 4</v>
      </c>
      <c r="L18" s="2"/>
      <c r="M18" s="33"/>
    </row>
    <row r="19" spans="1:13" ht="12.95" customHeight="1" thickBot="1" x14ac:dyDescent="0.25">
      <c r="A19" s="3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33"/>
    </row>
    <row r="20" spans="1:13" ht="12" customHeight="1" x14ac:dyDescent="0.2">
      <c r="A20" s="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1"/>
    </row>
    <row r="21" spans="1:13" ht="12.75" hidden="1" customHeight="1" x14ac:dyDescent="0.2"/>
    <row r="22" spans="1:13" ht="12.75" hidden="1" customHeight="1" x14ac:dyDescent="0.2"/>
    <row r="23" spans="1:13" ht="12.75" hidden="1" customHeight="1" x14ac:dyDescent="0.2"/>
    <row r="24" spans="1:13" ht="12.75" hidden="1" customHeight="1" x14ac:dyDescent="0.2"/>
    <row r="25" spans="1:13" ht="12.75" hidden="1" customHeight="1" x14ac:dyDescent="0.2"/>
    <row r="26" spans="1:13" ht="12.75" hidden="1" customHeight="1" x14ac:dyDescent="0.2"/>
    <row r="27" spans="1:13" ht="12.75" hidden="1" customHeight="1" x14ac:dyDescent="0.2"/>
    <row r="28" spans="1:13" ht="12.75" hidden="1" customHeight="1" x14ac:dyDescent="0.2"/>
    <row r="29" spans="1:13" ht="12.75" hidden="1" customHeight="1" x14ac:dyDescent="0.2"/>
    <row r="30" spans="1:13" ht="12.75" hidden="1" customHeight="1" x14ac:dyDescent="0.2"/>
    <row r="31" spans="1:13" ht="12.75" hidden="1" customHeight="1" x14ac:dyDescent="0.2"/>
    <row r="32" spans="1:13" ht="12.75" hidden="1" customHeight="1" x14ac:dyDescent="0.2"/>
    <row r="33" ht="12.75" hidden="1" customHeight="1" x14ac:dyDescent="0.2"/>
    <row r="34" ht="12.75" hidden="1" customHeight="1" x14ac:dyDescent="0.2"/>
    <row r="35" ht="12.75" hidden="1" customHeight="1" x14ac:dyDescent="0.2"/>
    <row r="36" ht="12.75" hidden="1" customHeight="1" x14ac:dyDescent="0.2"/>
  </sheetData>
  <mergeCells count="5">
    <mergeCell ref="B1:L1"/>
    <mergeCell ref="A2:A19"/>
    <mergeCell ref="M2:M19"/>
    <mergeCell ref="C18:E18"/>
    <mergeCell ref="B20:L20"/>
  </mergeCells>
  <printOptions horizontalCentered="1"/>
  <pageMargins left="0" right="0" top="0" bottom="0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25-1</vt:lpstr>
      <vt:lpstr>25-2</vt:lpstr>
      <vt:lpstr>25-3</vt:lpstr>
      <vt:lpstr>25-4</vt:lpstr>
      <vt:lpstr>25-5</vt:lpstr>
      <vt:lpstr>'25-1'!Область_печати</vt:lpstr>
      <vt:lpstr>'25-2'!Область_печати</vt:lpstr>
      <vt:lpstr>'25-3'!Область_печати</vt:lpstr>
      <vt:lpstr>'25-4'!Область_печати</vt:lpstr>
      <vt:lpstr>'25-5'!Область_печати</vt:lpstr>
    </vt:vector>
  </TitlesOfParts>
  <Company>технолого-економічне відділення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K404</cp:lastModifiedBy>
  <cp:lastPrinted>2024-11-25T14:09:21Z</cp:lastPrinted>
  <dcterms:created xsi:type="dcterms:W3CDTF">2009-12-09T07:28:47Z</dcterms:created>
  <dcterms:modified xsi:type="dcterms:W3CDTF">2025-11-27T08:01:00Z</dcterms:modified>
</cp:coreProperties>
</file>