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ЭтаКнига"/>
  <mc:AlternateContent xmlns:mc="http://schemas.openxmlformats.org/markup-compatibility/2006">
    <mc:Choice Requires="x15">
      <x15ac:absPath xmlns:x15ac="http://schemas.microsoft.com/office/spreadsheetml/2010/11/ac" url="D:\Мои документы\JavaScript\Sonata\public\examples\work\"/>
    </mc:Choice>
  </mc:AlternateContent>
  <xr:revisionPtr revIDLastSave="0" documentId="13_ncr:1_{7900762E-7F76-462A-A4FE-21D6F1C6F431}" xr6:coauthVersionLast="47" xr6:coauthVersionMax="47" xr10:uidLastSave="{00000000-0000-0000-0000-000000000000}"/>
  <bookViews>
    <workbookView xWindow="-120" yWindow="-120" windowWidth="38640" windowHeight="21120" tabRatio="876" xr2:uid="{00000000-000D-0000-FFFF-FFFF00000000}"/>
  </bookViews>
  <sheets>
    <sheet name="Л_Загальна" sheetId="72" r:id="rId1"/>
    <sheet name="ЛЗ1" sheetId="38" r:id="rId2"/>
    <sheet name="ЛЗ2" sheetId="50" r:id="rId3"/>
    <sheet name="ЛЗ3" sheetId="51" r:id="rId4"/>
    <sheet name="ЛЗ4" sheetId="52" r:id="rId5"/>
    <sheet name="ЛЗ5" sheetId="53" r:id="rId6"/>
    <sheet name="ЛЗ6" sheetId="54" r:id="rId7"/>
    <sheet name="ЛЗ7" sheetId="56" r:id="rId8"/>
    <sheet name="ЛЗ8" sheetId="55" r:id="rId9"/>
    <sheet name="ЛЗ9" sheetId="57" r:id="rId10"/>
    <sheet name="ЛР1" sheetId="73" r:id="rId11"/>
    <sheet name="ЛР2" sheetId="60" r:id="rId12"/>
    <sheet name="ЛР3" sheetId="61" r:id="rId13"/>
    <sheet name="ЛР4" sheetId="62" r:id="rId14"/>
    <sheet name="ЛР5" sheetId="63" r:id="rId15"/>
    <sheet name="ЛР6" sheetId="64" r:id="rId16"/>
    <sheet name="ЛР7" sheetId="65" r:id="rId17"/>
    <sheet name="ЛР8" sheetId="66" r:id="rId18"/>
    <sheet name="ЛР9" sheetId="67" r:id="rId19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 localSheetId="5">#REF!</definedName>
    <definedName name="A1048577" localSheetId="6">#REF!</definedName>
    <definedName name="A1048577" localSheetId="7">#REF!</definedName>
    <definedName name="A1048577" localSheetId="8">#REF!</definedName>
    <definedName name="A1048577" localSheetId="9">#REF!</definedName>
    <definedName name="A1048577" localSheetId="10">#REF!</definedName>
    <definedName name="A1048577" localSheetId="11">#REF!</definedName>
    <definedName name="A1048577" localSheetId="12">#REF!</definedName>
    <definedName name="A1048577" localSheetId="13">#REF!</definedName>
    <definedName name="A1048577" localSheetId="14">#REF!</definedName>
    <definedName name="A1048577" localSheetId="15">#REF!</definedName>
    <definedName name="A1048577" localSheetId="16">#REF!</definedName>
    <definedName name="A1048577" localSheetId="17">#REF!</definedName>
    <definedName name="A1048577" localSheetId="18">#REF!</definedName>
    <definedName name="A1048577">#REF!</definedName>
    <definedName name="_xlnm.Print_Area" localSheetId="0">Л_Загальна!$C$3:$Z$118</definedName>
    <definedName name="_xlnm.Print_Area" localSheetId="1">ЛЗ1!$C$3:$Z$118</definedName>
    <definedName name="_xlnm.Print_Area" localSheetId="2">ЛЗ2!$C$3:$Z$118</definedName>
    <definedName name="_xlnm.Print_Area" localSheetId="3">ЛЗ3!$C$3:$Z$118</definedName>
    <definedName name="_xlnm.Print_Area" localSheetId="4">ЛЗ4!$C$3:$Z$118</definedName>
    <definedName name="_xlnm.Print_Area" localSheetId="5">ЛЗ5!$C$3:$Z$118</definedName>
    <definedName name="_xlnm.Print_Area" localSheetId="6">ЛЗ6!$C$3:$Z$118</definedName>
    <definedName name="_xlnm.Print_Area" localSheetId="7">ЛЗ7!$C$3:$Z$118</definedName>
    <definedName name="_xlnm.Print_Area" localSheetId="8">ЛЗ8!$C$3:$Z$118</definedName>
    <definedName name="_xlnm.Print_Area" localSheetId="9">ЛЗ9!$C$3:$Z$118</definedName>
    <definedName name="_xlnm.Print_Area" localSheetId="10">ЛР1!$C$3:$AA$113</definedName>
    <definedName name="_xlnm.Print_Area" localSheetId="11">ЛР2!$C$3:$AA$113</definedName>
    <definedName name="_xlnm.Print_Area" localSheetId="12">ЛР3!$C$3:$AA$113</definedName>
    <definedName name="_xlnm.Print_Area" localSheetId="13">ЛР4!$C$3:$AA$113</definedName>
    <definedName name="_xlnm.Print_Area" localSheetId="14">ЛР5!$C$3:$AA$113</definedName>
    <definedName name="_xlnm.Print_Area" localSheetId="15">ЛР6!$C$3:$AA$113</definedName>
    <definedName name="_xlnm.Print_Area" localSheetId="16">ЛР7!$C$3:$AA$113</definedName>
    <definedName name="_xlnm.Print_Area" localSheetId="17">ЛР8!$C$3:$AA$113</definedName>
    <definedName name="_xlnm.Print_Area" localSheetId="18">ЛР9!$C$3:$AA$113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 localSheetId="5">#REF!</definedName>
    <definedName name="Ф80" localSheetId="6">#REF!</definedName>
    <definedName name="Ф80" localSheetId="7">#REF!</definedName>
    <definedName name="Ф80" localSheetId="8">#REF!</definedName>
    <definedName name="Ф80" localSheetId="9">#REF!</definedName>
    <definedName name="Ф80" localSheetId="10">#REF!</definedName>
    <definedName name="Ф80" localSheetId="11">#REF!</definedName>
    <definedName name="Ф80" localSheetId="12">#REF!</definedName>
    <definedName name="Ф80" localSheetId="13">#REF!</definedName>
    <definedName name="Ф80" localSheetId="14">#REF!</definedName>
    <definedName name="Ф80" localSheetId="15">#REF!</definedName>
    <definedName name="Ф80" localSheetId="16">#REF!</definedName>
    <definedName name="Ф80" localSheetId="17">#REF!</definedName>
    <definedName name="Ф80" localSheetId="18">#REF!</definedName>
    <definedName name="Ф80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110" i="72" l="1"/>
  <c r="G110" i="72"/>
  <c r="H110" i="72"/>
  <c r="Z110" i="72" s="1"/>
  <c r="I110" i="72"/>
  <c r="J110" i="72"/>
  <c r="K110" i="72"/>
  <c r="L110" i="72"/>
  <c r="M110" i="72"/>
  <c r="N110" i="72"/>
  <c r="O110" i="72"/>
  <c r="P110" i="72"/>
  <c r="Q110" i="72"/>
  <c r="R110" i="72"/>
  <c r="S110" i="72"/>
  <c r="T110" i="72"/>
  <c r="U110" i="72"/>
  <c r="V110" i="72"/>
  <c r="W110" i="72"/>
  <c r="X110" i="72"/>
  <c r="Y110" i="72"/>
  <c r="F111" i="72"/>
  <c r="G111" i="72"/>
  <c r="F113" i="72" s="1"/>
  <c r="H111" i="72"/>
  <c r="I111" i="72"/>
  <c r="J111" i="72"/>
  <c r="K111" i="72"/>
  <c r="L111" i="72"/>
  <c r="M111" i="72"/>
  <c r="N111" i="72"/>
  <c r="O111" i="72"/>
  <c r="P111" i="72"/>
  <c r="Q111" i="72"/>
  <c r="R111" i="72"/>
  <c r="S111" i="72"/>
  <c r="T111" i="72"/>
  <c r="U111" i="72"/>
  <c r="V111" i="72"/>
  <c r="W111" i="72"/>
  <c r="X111" i="72"/>
  <c r="Y111" i="72"/>
  <c r="F112" i="72"/>
  <c r="F114" i="72" s="1"/>
  <c r="G112" i="72"/>
  <c r="H112" i="72"/>
  <c r="I112" i="72"/>
  <c r="J112" i="72"/>
  <c r="K112" i="72"/>
  <c r="L112" i="72"/>
  <c r="M112" i="72"/>
  <c r="N112" i="72"/>
  <c r="O112" i="72"/>
  <c r="P112" i="72"/>
  <c r="Q112" i="72"/>
  <c r="R112" i="72"/>
  <c r="S112" i="72"/>
  <c r="T112" i="72"/>
  <c r="U112" i="72"/>
  <c r="V112" i="72"/>
  <c r="W112" i="72"/>
  <c r="X112" i="72"/>
  <c r="Y112" i="72"/>
  <c r="F115" i="72"/>
  <c r="F118" i="72" s="1"/>
  <c r="F116" i="72"/>
  <c r="C7" i="67"/>
  <c r="C6" i="67"/>
  <c r="C5" i="67"/>
  <c r="C7" i="66"/>
  <c r="C6" i="66"/>
  <c r="C5" i="66"/>
  <c r="C7" i="65"/>
  <c r="C6" i="65"/>
  <c r="C5" i="65"/>
  <c r="C7" i="64"/>
  <c r="C6" i="64"/>
  <c r="C5" i="64"/>
  <c r="C7" i="63"/>
  <c r="C6" i="63"/>
  <c r="C5" i="63"/>
  <c r="C7" i="62"/>
  <c r="C6" i="62"/>
  <c r="C5" i="62"/>
  <c r="C7" i="61"/>
  <c r="C6" i="61"/>
  <c r="C5" i="61"/>
  <c r="C7" i="60"/>
  <c r="C6" i="60"/>
  <c r="C5" i="60"/>
  <c r="C7" i="73"/>
  <c r="C6" i="73"/>
  <c r="C5" i="73"/>
  <c r="F112" i="73"/>
  <c r="AA26" i="73"/>
  <c r="AA42" i="73"/>
  <c r="AA58" i="73"/>
  <c r="AA64" i="73"/>
  <c r="AA71" i="73"/>
  <c r="AA74" i="73"/>
  <c r="AA80" i="73"/>
  <c r="AA89" i="73"/>
  <c r="AA90" i="73"/>
  <c r="AA95" i="73"/>
  <c r="AA106" i="73"/>
  <c r="Z10" i="73"/>
  <c r="AA10" i="73" s="1"/>
  <c r="Z109" i="73"/>
  <c r="AA109" i="73" s="1"/>
  <c r="Z108" i="73"/>
  <c r="AA108" i="73" s="1"/>
  <c r="Z107" i="73"/>
  <c r="AA107" i="73" s="1"/>
  <c r="Z106" i="73"/>
  <c r="Z105" i="73"/>
  <c r="AA105" i="73" s="1"/>
  <c r="Z104" i="73"/>
  <c r="AA104" i="73" s="1"/>
  <c r="Z103" i="73"/>
  <c r="AA103" i="73" s="1"/>
  <c r="Z102" i="73"/>
  <c r="AA102" i="73" s="1"/>
  <c r="Z101" i="73"/>
  <c r="AA101" i="73" s="1"/>
  <c r="Z100" i="73"/>
  <c r="AA100" i="73" s="1"/>
  <c r="Z99" i="73"/>
  <c r="AA99" i="73" s="1"/>
  <c r="Z98" i="73"/>
  <c r="AA98" i="73" s="1"/>
  <c r="Z97" i="73"/>
  <c r="AA97" i="73" s="1"/>
  <c r="Z96" i="73"/>
  <c r="AA96" i="73" s="1"/>
  <c r="Z95" i="73"/>
  <c r="Z94" i="73"/>
  <c r="AA94" i="73" s="1"/>
  <c r="Z93" i="73"/>
  <c r="AA93" i="73" s="1"/>
  <c r="Z92" i="73"/>
  <c r="AA92" i="73" s="1"/>
  <c r="Z91" i="73"/>
  <c r="AA91" i="73" s="1"/>
  <c r="Z90" i="73"/>
  <c r="Z89" i="73"/>
  <c r="Z88" i="73"/>
  <c r="AA88" i="73" s="1"/>
  <c r="Z87" i="73"/>
  <c r="AA87" i="73" s="1"/>
  <c r="Z86" i="73"/>
  <c r="AA86" i="73" s="1"/>
  <c r="Z85" i="73"/>
  <c r="AA85" i="73" s="1"/>
  <c r="Z84" i="73"/>
  <c r="AA84" i="73" s="1"/>
  <c r="Z83" i="73"/>
  <c r="AA83" i="73" s="1"/>
  <c r="Z82" i="73"/>
  <c r="AA82" i="73" s="1"/>
  <c r="Z81" i="73"/>
  <c r="AA81" i="73" s="1"/>
  <c r="Z80" i="73"/>
  <c r="Z79" i="73"/>
  <c r="AA79" i="73" s="1"/>
  <c r="Z78" i="73"/>
  <c r="AA78" i="73" s="1"/>
  <c r="Z77" i="73"/>
  <c r="AA77" i="73" s="1"/>
  <c r="Z76" i="73"/>
  <c r="AA76" i="73" s="1"/>
  <c r="Z75" i="73"/>
  <c r="AA75" i="73" s="1"/>
  <c r="Z74" i="73"/>
  <c r="Z73" i="73"/>
  <c r="AA73" i="73" s="1"/>
  <c r="Z72" i="73"/>
  <c r="AA72" i="73" s="1"/>
  <c r="Z71" i="73"/>
  <c r="Z70" i="73"/>
  <c r="AA70" i="73" s="1"/>
  <c r="Z69" i="73"/>
  <c r="AA69" i="73" s="1"/>
  <c r="Z68" i="73"/>
  <c r="AA68" i="73" s="1"/>
  <c r="Z67" i="73"/>
  <c r="AA67" i="73" s="1"/>
  <c r="Z66" i="73"/>
  <c r="AA66" i="73" s="1"/>
  <c r="Z65" i="73"/>
  <c r="AA65" i="73" s="1"/>
  <c r="Z64" i="73"/>
  <c r="Z63" i="73"/>
  <c r="AA63" i="73" s="1"/>
  <c r="Z62" i="73"/>
  <c r="AA62" i="73" s="1"/>
  <c r="Z61" i="73"/>
  <c r="AA61" i="73" s="1"/>
  <c r="Z60" i="73"/>
  <c r="AA60" i="73" s="1"/>
  <c r="Z59" i="73"/>
  <c r="AA59" i="73" s="1"/>
  <c r="Z58" i="73"/>
  <c r="Z57" i="73"/>
  <c r="AA57" i="73" s="1"/>
  <c r="Z56" i="73"/>
  <c r="AA56" i="73" s="1"/>
  <c r="Z55" i="73"/>
  <c r="AA55" i="73" s="1"/>
  <c r="Z54" i="73"/>
  <c r="AA54" i="73" s="1"/>
  <c r="Z53" i="73"/>
  <c r="AA53" i="73" s="1"/>
  <c r="Z52" i="73"/>
  <c r="AA52" i="73" s="1"/>
  <c r="Z51" i="73"/>
  <c r="AA51" i="73" s="1"/>
  <c r="Z50" i="73"/>
  <c r="AA50" i="73" s="1"/>
  <c r="Z49" i="73"/>
  <c r="AA49" i="73" s="1"/>
  <c r="Z48" i="73"/>
  <c r="AA48" i="73" s="1"/>
  <c r="Z47" i="73"/>
  <c r="AA47" i="73" s="1"/>
  <c r="Z46" i="73"/>
  <c r="AA46" i="73" s="1"/>
  <c r="Z45" i="73"/>
  <c r="AA45" i="73" s="1"/>
  <c r="Z44" i="73"/>
  <c r="AA44" i="73" s="1"/>
  <c r="Z43" i="73"/>
  <c r="AA43" i="73" s="1"/>
  <c r="Z42" i="73"/>
  <c r="Z41" i="73"/>
  <c r="AA41" i="73" s="1"/>
  <c r="Z40" i="73"/>
  <c r="AA40" i="73" s="1"/>
  <c r="Z39" i="73"/>
  <c r="AA39" i="73" s="1"/>
  <c r="Z38" i="73"/>
  <c r="AA38" i="73" s="1"/>
  <c r="Z37" i="73"/>
  <c r="AA37" i="73" s="1"/>
  <c r="Z36" i="73"/>
  <c r="AA36" i="73" s="1"/>
  <c r="Z35" i="73"/>
  <c r="AA35" i="73" s="1"/>
  <c r="Z34" i="73"/>
  <c r="AA34" i="73" s="1"/>
  <c r="Z33" i="73"/>
  <c r="AA33" i="73" s="1"/>
  <c r="Z32" i="73"/>
  <c r="AA32" i="73" s="1"/>
  <c r="Z31" i="73"/>
  <c r="AA31" i="73" s="1"/>
  <c r="Z30" i="73"/>
  <c r="AA30" i="73" s="1"/>
  <c r="Z29" i="73"/>
  <c r="AA29" i="73" s="1"/>
  <c r="Z28" i="73"/>
  <c r="AA28" i="73" s="1"/>
  <c r="Z27" i="73"/>
  <c r="AA27" i="73" s="1"/>
  <c r="Z26" i="73"/>
  <c r="Z25" i="73"/>
  <c r="AA25" i="73" s="1"/>
  <c r="Z24" i="73"/>
  <c r="AA24" i="73" s="1"/>
  <c r="Z23" i="73"/>
  <c r="AA23" i="73" s="1"/>
  <c r="Z22" i="73"/>
  <c r="AA22" i="73" s="1"/>
  <c r="Z21" i="73"/>
  <c r="AA21" i="73" s="1"/>
  <c r="Z20" i="73"/>
  <c r="AA20" i="73" s="1"/>
  <c r="Z19" i="73"/>
  <c r="AA19" i="73" s="1"/>
  <c r="Z18" i="73"/>
  <c r="AA18" i="73" s="1"/>
  <c r="Z17" i="73"/>
  <c r="AA17" i="73" s="1"/>
  <c r="Z16" i="73"/>
  <c r="AA16" i="73" s="1"/>
  <c r="Z15" i="73"/>
  <c r="AA15" i="73" s="1"/>
  <c r="Z14" i="73"/>
  <c r="AA14" i="73" s="1"/>
  <c r="Z13" i="73"/>
  <c r="AA13" i="73" s="1"/>
  <c r="Z12" i="73"/>
  <c r="AA12" i="73" s="1"/>
  <c r="Z11" i="73"/>
  <c r="AA11" i="73" s="1"/>
  <c r="Z109" i="72" l="1"/>
  <c r="Z108" i="72"/>
  <c r="Z107" i="72"/>
  <c r="Z106" i="72"/>
  <c r="Z105" i="72"/>
  <c r="Z104" i="72"/>
  <c r="Z103" i="72"/>
  <c r="Z102" i="72"/>
  <c r="Z101" i="72"/>
  <c r="Z100" i="72"/>
  <c r="Z99" i="72"/>
  <c r="Z98" i="72"/>
  <c r="Z97" i="72"/>
  <c r="Z96" i="72"/>
  <c r="Z95" i="72"/>
  <c r="Z94" i="72"/>
  <c r="Z93" i="72"/>
  <c r="Z92" i="72"/>
  <c r="Z91" i="72"/>
  <c r="Z90" i="72"/>
  <c r="Z89" i="72"/>
  <c r="Z88" i="72"/>
  <c r="Z87" i="72"/>
  <c r="Z86" i="72"/>
  <c r="Z85" i="72"/>
  <c r="Z84" i="72"/>
  <c r="Z83" i="72"/>
  <c r="Z82" i="72"/>
  <c r="Z81" i="72"/>
  <c r="Z80" i="72"/>
  <c r="Z79" i="72"/>
  <c r="Z78" i="72"/>
  <c r="Z77" i="72"/>
  <c r="Z76" i="72"/>
  <c r="Z75" i="72"/>
  <c r="Z74" i="72"/>
  <c r="Z73" i="72"/>
  <c r="Z72" i="72"/>
  <c r="Z71" i="72"/>
  <c r="Z70" i="72"/>
  <c r="Z69" i="72"/>
  <c r="Z68" i="72"/>
  <c r="Z67" i="72"/>
  <c r="Z66" i="72"/>
  <c r="Z65" i="72"/>
  <c r="Z64" i="72"/>
  <c r="Z63" i="72"/>
  <c r="Z62" i="72"/>
  <c r="Z61" i="72"/>
  <c r="Z60" i="72"/>
  <c r="Z59" i="72"/>
  <c r="Z58" i="72"/>
  <c r="Z57" i="72"/>
  <c r="Z56" i="72"/>
  <c r="Z55" i="72"/>
  <c r="Z54" i="72"/>
  <c r="Z53" i="72"/>
  <c r="Z52" i="72"/>
  <c r="Z51" i="72"/>
  <c r="Z50" i="72"/>
  <c r="Z49" i="72"/>
  <c r="Z48" i="72"/>
  <c r="Z47" i="72"/>
  <c r="Z46" i="72"/>
  <c r="Z45" i="72"/>
  <c r="Z44" i="72"/>
  <c r="Z43" i="72"/>
  <c r="Z42" i="72"/>
  <c r="Z41" i="72"/>
  <c r="Z40" i="72"/>
  <c r="Z39" i="72"/>
  <c r="Z38" i="72"/>
  <c r="Z37" i="72"/>
  <c r="Z36" i="72"/>
  <c r="Z35" i="72"/>
  <c r="Z34" i="72"/>
  <c r="Z33" i="72"/>
  <c r="Z32" i="72"/>
  <c r="Z31" i="72"/>
  <c r="Z30" i="72"/>
  <c r="Z29" i="72"/>
  <c r="Z28" i="72"/>
  <c r="Z27" i="72"/>
  <c r="Z26" i="72"/>
  <c r="Z25" i="72"/>
  <c r="Z24" i="72"/>
  <c r="Z23" i="72"/>
  <c r="Z22" i="72"/>
  <c r="Z21" i="72"/>
  <c r="Z20" i="72"/>
  <c r="Z19" i="72"/>
  <c r="Z18" i="72"/>
  <c r="Z17" i="72"/>
  <c r="Z16" i="72"/>
  <c r="Z15" i="72"/>
  <c r="Z14" i="72"/>
  <c r="Z13" i="72"/>
  <c r="Z12" i="72"/>
  <c r="Z11" i="72"/>
  <c r="Z10" i="72"/>
  <c r="Z11" i="60"/>
  <c r="AA11" i="60" s="1"/>
  <c r="Z12" i="60"/>
  <c r="AA12" i="60" s="1"/>
  <c r="Z13" i="60"/>
  <c r="AA13" i="60" s="1"/>
  <c r="Z14" i="60"/>
  <c r="AA14" i="60" s="1"/>
  <c r="Z15" i="60"/>
  <c r="AA15" i="60" s="1"/>
  <c r="Z16" i="60"/>
  <c r="AA16" i="60" s="1"/>
  <c r="Z17" i="60"/>
  <c r="AA17" i="60" s="1"/>
  <c r="Z18" i="60"/>
  <c r="AA18" i="60"/>
  <c r="Z19" i="60"/>
  <c r="AA19" i="60" s="1"/>
  <c r="Z20" i="60"/>
  <c r="AA20" i="60" s="1"/>
  <c r="Z21" i="60"/>
  <c r="AA21" i="60" s="1"/>
  <c r="Z22" i="60"/>
  <c r="AA22" i="60" s="1"/>
  <c r="Z23" i="60"/>
  <c r="AA23" i="60" s="1"/>
  <c r="Z24" i="60"/>
  <c r="AA24" i="60" s="1"/>
  <c r="Z25" i="60"/>
  <c r="AA25" i="60" s="1"/>
  <c r="Z26" i="60"/>
  <c r="AA26" i="60" s="1"/>
  <c r="Z27" i="60"/>
  <c r="AA27" i="60" s="1"/>
  <c r="Z28" i="60"/>
  <c r="AA28" i="60"/>
  <c r="Z29" i="60"/>
  <c r="AA29" i="60" s="1"/>
  <c r="Z30" i="60"/>
  <c r="AA30" i="60" s="1"/>
  <c r="Z31" i="60"/>
  <c r="AA31" i="60" s="1"/>
  <c r="Z32" i="60"/>
  <c r="AA32" i="60" s="1"/>
  <c r="Z33" i="60"/>
  <c r="AA33" i="60" s="1"/>
  <c r="Z34" i="60"/>
  <c r="AA34" i="60" s="1"/>
  <c r="Z35" i="60"/>
  <c r="AA35" i="60" s="1"/>
  <c r="Z36" i="60"/>
  <c r="AA36" i="60" s="1"/>
  <c r="Z37" i="60"/>
  <c r="AA37" i="60" s="1"/>
  <c r="Z38" i="60"/>
  <c r="AA38" i="60" s="1"/>
  <c r="Z39" i="60"/>
  <c r="AA39" i="60" s="1"/>
  <c r="Z40" i="60"/>
  <c r="AA40" i="60" s="1"/>
  <c r="Z41" i="60"/>
  <c r="AA41" i="60" s="1"/>
  <c r="Z42" i="60"/>
  <c r="AA42" i="60" s="1"/>
  <c r="Z43" i="60"/>
  <c r="AA43" i="60" s="1"/>
  <c r="Z44" i="60"/>
  <c r="AA44" i="60"/>
  <c r="Z45" i="60"/>
  <c r="AA45" i="60" s="1"/>
  <c r="Z46" i="60"/>
  <c r="AA46" i="60" s="1"/>
  <c r="Z47" i="60"/>
  <c r="AA47" i="60" s="1"/>
  <c r="Z48" i="60"/>
  <c r="AA48" i="60" s="1"/>
  <c r="Z49" i="60"/>
  <c r="AA49" i="60" s="1"/>
  <c r="Z50" i="60"/>
  <c r="AA50" i="60" s="1"/>
  <c r="Z51" i="60"/>
  <c r="AA51" i="60" s="1"/>
  <c r="Z52" i="60"/>
  <c r="AA52" i="60" s="1"/>
  <c r="Z53" i="60"/>
  <c r="AA53" i="60" s="1"/>
  <c r="Z54" i="60"/>
  <c r="AA54" i="60" s="1"/>
  <c r="Z55" i="60"/>
  <c r="AA55" i="60" s="1"/>
  <c r="Z56" i="60"/>
  <c r="AA56" i="60" s="1"/>
  <c r="Z57" i="60"/>
  <c r="AA57" i="60" s="1"/>
  <c r="Z58" i="60"/>
  <c r="AA58" i="60" s="1"/>
  <c r="Z59" i="60"/>
  <c r="AA59" i="60" s="1"/>
  <c r="Z60" i="60"/>
  <c r="AA60" i="60"/>
  <c r="Z61" i="60"/>
  <c r="AA61" i="60" s="1"/>
  <c r="Z62" i="60"/>
  <c r="AA62" i="60" s="1"/>
  <c r="Z63" i="60"/>
  <c r="AA63" i="60" s="1"/>
  <c r="Z64" i="60"/>
  <c r="AA64" i="60" s="1"/>
  <c r="Z65" i="60"/>
  <c r="AA65" i="60" s="1"/>
  <c r="Z66" i="60"/>
  <c r="AA66" i="60" s="1"/>
  <c r="Z67" i="60"/>
  <c r="AA67" i="60" s="1"/>
  <c r="Z68" i="60"/>
  <c r="AA68" i="60"/>
  <c r="Z69" i="60"/>
  <c r="AA69" i="60" s="1"/>
  <c r="Z70" i="60"/>
  <c r="AA70" i="60" s="1"/>
  <c r="Z71" i="60"/>
  <c r="AA71" i="60" s="1"/>
  <c r="Z72" i="60"/>
  <c r="AA72" i="60" s="1"/>
  <c r="Z73" i="60"/>
  <c r="AA73" i="60" s="1"/>
  <c r="Z74" i="60"/>
  <c r="AA74" i="60" s="1"/>
  <c r="Z75" i="60"/>
  <c r="AA75" i="60" s="1"/>
  <c r="Z76" i="60"/>
  <c r="AA76" i="60"/>
  <c r="Z77" i="60"/>
  <c r="AA77" i="60" s="1"/>
  <c r="Z78" i="60"/>
  <c r="AA78" i="60" s="1"/>
  <c r="Z79" i="60"/>
  <c r="AA79" i="60" s="1"/>
  <c r="Z80" i="60"/>
  <c r="AA80" i="60" s="1"/>
  <c r="Z81" i="60"/>
  <c r="AA81" i="60" s="1"/>
  <c r="Z82" i="60"/>
  <c r="AA82" i="60" s="1"/>
  <c r="Z83" i="60"/>
  <c r="AA83" i="60" s="1"/>
  <c r="Z84" i="60"/>
  <c r="AA84" i="60" s="1"/>
  <c r="Z85" i="60"/>
  <c r="AA85" i="60" s="1"/>
  <c r="Z86" i="60"/>
  <c r="AA86" i="60" s="1"/>
  <c r="Z87" i="60"/>
  <c r="AA87" i="60" s="1"/>
  <c r="Z88" i="60"/>
  <c r="AA88" i="60" s="1"/>
  <c r="Z89" i="60"/>
  <c r="AA89" i="60" s="1"/>
  <c r="Z90" i="60"/>
  <c r="AA90" i="60" s="1"/>
  <c r="Z91" i="60"/>
  <c r="AA91" i="60" s="1"/>
  <c r="Z92" i="60"/>
  <c r="AA92" i="60" s="1"/>
  <c r="Z93" i="60"/>
  <c r="AA93" i="60" s="1"/>
  <c r="Z94" i="60"/>
  <c r="AA94" i="60" s="1"/>
  <c r="Z95" i="60"/>
  <c r="AA95" i="60" s="1"/>
  <c r="Z96" i="60"/>
  <c r="AA96" i="60" s="1"/>
  <c r="Z97" i="60"/>
  <c r="AA97" i="60" s="1"/>
  <c r="Z98" i="60"/>
  <c r="AA98" i="60" s="1"/>
  <c r="Z99" i="60"/>
  <c r="AA99" i="60" s="1"/>
  <c r="Z100" i="60"/>
  <c r="AA100" i="60"/>
  <c r="Z101" i="60"/>
  <c r="AA101" i="60" s="1"/>
  <c r="Z102" i="60"/>
  <c r="AA102" i="60" s="1"/>
  <c r="Z103" i="60"/>
  <c r="AA103" i="60" s="1"/>
  <c r="Z104" i="60"/>
  <c r="AA104" i="60" s="1"/>
  <c r="Z105" i="60"/>
  <c r="AA105" i="60" s="1"/>
  <c r="Z106" i="60"/>
  <c r="AA106" i="60" s="1"/>
  <c r="Z107" i="60"/>
  <c r="AA107" i="60" s="1"/>
  <c r="Z108" i="60"/>
  <c r="AA108" i="60" s="1"/>
  <c r="Z109" i="60"/>
  <c r="AA109" i="60" s="1"/>
  <c r="Z11" i="61"/>
  <c r="AA11" i="61" s="1"/>
  <c r="Z12" i="61"/>
  <c r="AA12" i="61" s="1"/>
  <c r="Z13" i="61"/>
  <c r="AA13" i="61" s="1"/>
  <c r="Z14" i="61"/>
  <c r="AA14" i="61" s="1"/>
  <c r="Z15" i="61"/>
  <c r="AA15" i="61" s="1"/>
  <c r="Z16" i="61"/>
  <c r="AA16" i="61" s="1"/>
  <c r="Z17" i="61"/>
  <c r="AA17" i="61" s="1"/>
  <c r="Z18" i="61"/>
  <c r="AA18" i="61" s="1"/>
  <c r="Z19" i="61"/>
  <c r="AA19" i="61" s="1"/>
  <c r="Z20" i="61"/>
  <c r="AA20" i="61" s="1"/>
  <c r="Z21" i="61"/>
  <c r="AA21" i="61" s="1"/>
  <c r="Z22" i="61"/>
  <c r="AA22" i="61" s="1"/>
  <c r="Z23" i="61"/>
  <c r="AA23" i="61" s="1"/>
  <c r="Z24" i="61"/>
  <c r="AA24" i="61" s="1"/>
  <c r="Z25" i="61"/>
  <c r="AA25" i="61"/>
  <c r="Z26" i="61"/>
  <c r="AA26" i="61" s="1"/>
  <c r="Z27" i="61"/>
  <c r="AA27" i="61" s="1"/>
  <c r="Z28" i="61"/>
  <c r="AA28" i="61" s="1"/>
  <c r="Z29" i="61"/>
  <c r="AA29" i="61" s="1"/>
  <c r="Z30" i="61"/>
  <c r="AA30" i="61" s="1"/>
  <c r="Z31" i="61"/>
  <c r="AA31" i="61" s="1"/>
  <c r="Z32" i="61"/>
  <c r="AA32" i="61" s="1"/>
  <c r="Z33" i="61"/>
  <c r="AA33" i="61" s="1"/>
  <c r="Z34" i="61"/>
  <c r="AA34" i="61" s="1"/>
  <c r="Z35" i="61"/>
  <c r="AA35" i="61" s="1"/>
  <c r="Z36" i="61"/>
  <c r="AA36" i="61" s="1"/>
  <c r="Z37" i="61"/>
  <c r="AA37" i="61" s="1"/>
  <c r="Z38" i="61"/>
  <c r="AA38" i="61" s="1"/>
  <c r="Z39" i="61"/>
  <c r="AA39" i="61" s="1"/>
  <c r="Z40" i="61"/>
  <c r="AA40" i="61" s="1"/>
  <c r="Z41" i="61"/>
  <c r="AA41" i="61"/>
  <c r="Z42" i="61"/>
  <c r="AA42" i="61" s="1"/>
  <c r="Z43" i="61"/>
  <c r="AA43" i="61" s="1"/>
  <c r="Z44" i="61"/>
  <c r="AA44" i="61" s="1"/>
  <c r="Z45" i="61"/>
  <c r="AA45" i="61" s="1"/>
  <c r="Z46" i="61"/>
  <c r="AA46" i="61" s="1"/>
  <c r="Z47" i="61"/>
  <c r="AA47" i="61" s="1"/>
  <c r="Z48" i="61"/>
  <c r="AA48" i="61" s="1"/>
  <c r="Z49" i="61"/>
  <c r="AA49" i="61"/>
  <c r="Z50" i="61"/>
  <c r="AA50" i="61" s="1"/>
  <c r="Z51" i="61"/>
  <c r="AA51" i="61" s="1"/>
  <c r="Z52" i="61"/>
  <c r="AA52" i="61" s="1"/>
  <c r="Z53" i="61"/>
  <c r="AA53" i="61" s="1"/>
  <c r="Z54" i="61"/>
  <c r="AA54" i="61" s="1"/>
  <c r="Z55" i="61"/>
  <c r="AA55" i="61" s="1"/>
  <c r="Z56" i="61"/>
  <c r="AA56" i="61" s="1"/>
  <c r="Z57" i="61"/>
  <c r="AA57" i="61" s="1"/>
  <c r="Z58" i="61"/>
  <c r="AA58" i="61" s="1"/>
  <c r="Z59" i="61"/>
  <c r="AA59" i="61" s="1"/>
  <c r="Z60" i="61"/>
  <c r="AA60" i="61" s="1"/>
  <c r="Z61" i="61"/>
  <c r="AA61" i="61" s="1"/>
  <c r="Z62" i="61"/>
  <c r="AA62" i="61" s="1"/>
  <c r="Z63" i="61"/>
  <c r="AA63" i="61" s="1"/>
  <c r="Z64" i="61"/>
  <c r="AA64" i="61" s="1"/>
  <c r="Z65" i="61"/>
  <c r="AA65" i="61" s="1"/>
  <c r="Z66" i="61"/>
  <c r="AA66" i="61" s="1"/>
  <c r="Z67" i="61"/>
  <c r="AA67" i="61" s="1"/>
  <c r="Z68" i="61"/>
  <c r="AA68" i="61" s="1"/>
  <c r="Z69" i="61"/>
  <c r="AA69" i="61" s="1"/>
  <c r="Z70" i="61"/>
  <c r="AA70" i="61" s="1"/>
  <c r="Z71" i="61"/>
  <c r="AA71" i="61" s="1"/>
  <c r="Z72" i="61"/>
  <c r="AA72" i="61" s="1"/>
  <c r="Z73" i="61"/>
  <c r="AA73" i="61"/>
  <c r="Z74" i="61"/>
  <c r="AA74" i="61" s="1"/>
  <c r="Z75" i="61"/>
  <c r="AA75" i="61" s="1"/>
  <c r="Z76" i="61"/>
  <c r="AA76" i="61" s="1"/>
  <c r="Z77" i="61"/>
  <c r="AA77" i="61" s="1"/>
  <c r="Z78" i="61"/>
  <c r="AA78" i="61" s="1"/>
  <c r="Z79" i="61"/>
  <c r="AA79" i="61" s="1"/>
  <c r="Z80" i="61"/>
  <c r="AA80" i="61" s="1"/>
  <c r="Z81" i="61"/>
  <c r="AA81" i="61" s="1"/>
  <c r="Z82" i="61"/>
  <c r="AA82" i="61" s="1"/>
  <c r="Z83" i="61"/>
  <c r="AA83" i="61" s="1"/>
  <c r="Z84" i="61"/>
  <c r="AA84" i="61" s="1"/>
  <c r="Z85" i="61"/>
  <c r="AA85" i="61" s="1"/>
  <c r="Z86" i="61"/>
  <c r="AA86" i="61" s="1"/>
  <c r="Z87" i="61"/>
  <c r="AA87" i="61" s="1"/>
  <c r="Z88" i="61"/>
  <c r="AA88" i="61" s="1"/>
  <c r="Z89" i="61"/>
  <c r="AA89" i="61"/>
  <c r="Z90" i="61"/>
  <c r="AA90" i="61" s="1"/>
  <c r="Z91" i="61"/>
  <c r="AA91" i="61" s="1"/>
  <c r="Z92" i="61"/>
  <c r="AA92" i="61" s="1"/>
  <c r="Z93" i="61"/>
  <c r="AA93" i="61" s="1"/>
  <c r="Z94" i="61"/>
  <c r="AA94" i="61" s="1"/>
  <c r="Z95" i="61"/>
  <c r="AA95" i="61" s="1"/>
  <c r="Z96" i="61"/>
  <c r="AA96" i="61" s="1"/>
  <c r="Z97" i="61"/>
  <c r="AA97" i="61" s="1"/>
  <c r="Z98" i="61"/>
  <c r="AA98" i="61" s="1"/>
  <c r="Z99" i="61"/>
  <c r="AA99" i="61" s="1"/>
  <c r="Z100" i="61"/>
  <c r="AA100" i="61" s="1"/>
  <c r="Z101" i="61"/>
  <c r="AA101" i="61" s="1"/>
  <c r="Z102" i="61"/>
  <c r="AA102" i="61" s="1"/>
  <c r="Z103" i="61"/>
  <c r="AA103" i="61" s="1"/>
  <c r="Z104" i="61"/>
  <c r="AA104" i="61" s="1"/>
  <c r="Z105" i="61"/>
  <c r="AA105" i="61" s="1"/>
  <c r="Z106" i="61"/>
  <c r="AA106" i="61" s="1"/>
  <c r="Z107" i="61"/>
  <c r="AA107" i="61" s="1"/>
  <c r="Z108" i="61"/>
  <c r="AA108" i="61" s="1"/>
  <c r="Z109" i="61"/>
  <c r="AA109" i="61" s="1"/>
  <c r="Z11" i="62"/>
  <c r="AA11" i="62" s="1"/>
  <c r="Z12" i="62"/>
  <c r="AA12" i="62" s="1"/>
  <c r="Z13" i="62"/>
  <c r="AA13" i="62" s="1"/>
  <c r="Z14" i="62"/>
  <c r="AA14" i="62" s="1"/>
  <c r="Z15" i="62"/>
  <c r="AA15" i="62" s="1"/>
  <c r="Z16" i="62"/>
  <c r="AA16" i="62" s="1"/>
  <c r="Z17" i="62"/>
  <c r="AA17" i="62" s="1"/>
  <c r="Z18" i="62"/>
  <c r="AA18" i="62" s="1"/>
  <c r="Z19" i="62"/>
  <c r="AA19" i="62" s="1"/>
  <c r="Z20" i="62"/>
  <c r="AA20" i="62" s="1"/>
  <c r="Z21" i="62"/>
  <c r="AA21" i="62" s="1"/>
  <c r="Z22" i="62"/>
  <c r="AA22" i="62" s="1"/>
  <c r="Z23" i="62"/>
  <c r="AA23" i="62" s="1"/>
  <c r="Z24" i="62"/>
  <c r="AA24" i="62"/>
  <c r="Z25" i="62"/>
  <c r="AA25" i="62" s="1"/>
  <c r="Z26" i="62"/>
  <c r="AA26" i="62" s="1"/>
  <c r="Z27" i="62"/>
  <c r="AA27" i="62" s="1"/>
  <c r="Z28" i="62"/>
  <c r="AA28" i="62" s="1"/>
  <c r="Z29" i="62"/>
  <c r="AA29" i="62" s="1"/>
  <c r="Z30" i="62"/>
  <c r="AA30" i="62" s="1"/>
  <c r="Z31" i="62"/>
  <c r="AA31" i="62" s="1"/>
  <c r="Z32" i="62"/>
  <c r="AA32" i="62" s="1"/>
  <c r="Z33" i="62"/>
  <c r="AA33" i="62" s="1"/>
  <c r="Z34" i="62"/>
  <c r="AA34" i="62" s="1"/>
  <c r="Z35" i="62"/>
  <c r="AA35" i="62" s="1"/>
  <c r="Z36" i="62"/>
  <c r="AA36" i="62" s="1"/>
  <c r="Z37" i="62"/>
  <c r="AA37" i="62" s="1"/>
  <c r="Z38" i="62"/>
  <c r="AA38" i="62" s="1"/>
  <c r="Z39" i="62"/>
  <c r="AA39" i="62" s="1"/>
  <c r="Z40" i="62"/>
  <c r="AA40" i="62"/>
  <c r="Z41" i="62"/>
  <c r="AA41" i="62" s="1"/>
  <c r="Z42" i="62"/>
  <c r="AA42" i="62" s="1"/>
  <c r="Z43" i="62"/>
  <c r="AA43" i="62" s="1"/>
  <c r="Z44" i="62"/>
  <c r="AA44" i="62" s="1"/>
  <c r="Z45" i="62"/>
  <c r="AA45" i="62" s="1"/>
  <c r="Z46" i="62"/>
  <c r="AA46" i="62" s="1"/>
  <c r="Z47" i="62"/>
  <c r="AA47" i="62" s="1"/>
  <c r="Z48" i="62"/>
  <c r="AA48" i="62" s="1"/>
  <c r="Z49" i="62"/>
  <c r="AA49" i="62" s="1"/>
  <c r="Z50" i="62"/>
  <c r="AA50" i="62" s="1"/>
  <c r="Z51" i="62"/>
  <c r="AA51" i="62" s="1"/>
  <c r="Z52" i="62"/>
  <c r="AA52" i="62" s="1"/>
  <c r="Z53" i="62"/>
  <c r="AA53" i="62" s="1"/>
  <c r="Z54" i="62"/>
  <c r="AA54" i="62" s="1"/>
  <c r="Z55" i="62"/>
  <c r="AA55" i="62" s="1"/>
  <c r="Z56" i="62"/>
  <c r="AA56" i="62" s="1"/>
  <c r="Z57" i="62"/>
  <c r="AA57" i="62" s="1"/>
  <c r="Z58" i="62"/>
  <c r="AA58" i="62" s="1"/>
  <c r="Z59" i="62"/>
  <c r="AA59" i="62" s="1"/>
  <c r="Z60" i="62"/>
  <c r="AA60" i="62" s="1"/>
  <c r="Z61" i="62"/>
  <c r="AA61" i="62" s="1"/>
  <c r="Z62" i="62"/>
  <c r="AA62" i="62" s="1"/>
  <c r="Z63" i="62"/>
  <c r="AA63" i="62" s="1"/>
  <c r="Z64" i="62"/>
  <c r="AA64" i="62" s="1"/>
  <c r="Z65" i="62"/>
  <c r="AA65" i="62" s="1"/>
  <c r="Z66" i="62"/>
  <c r="AA66" i="62" s="1"/>
  <c r="Z67" i="62"/>
  <c r="AA67" i="62" s="1"/>
  <c r="Z68" i="62"/>
  <c r="AA68" i="62" s="1"/>
  <c r="Z69" i="62"/>
  <c r="AA69" i="62" s="1"/>
  <c r="Z70" i="62"/>
  <c r="AA70" i="62" s="1"/>
  <c r="Z71" i="62"/>
  <c r="AA71" i="62" s="1"/>
  <c r="Z72" i="62"/>
  <c r="AA72" i="62"/>
  <c r="Z73" i="62"/>
  <c r="AA73" i="62" s="1"/>
  <c r="Z74" i="62"/>
  <c r="AA74" i="62" s="1"/>
  <c r="Z75" i="62"/>
  <c r="AA75" i="62" s="1"/>
  <c r="Z76" i="62"/>
  <c r="AA76" i="62" s="1"/>
  <c r="Z77" i="62"/>
  <c r="AA77" i="62" s="1"/>
  <c r="Z78" i="62"/>
  <c r="AA78" i="62" s="1"/>
  <c r="Z79" i="62"/>
  <c r="AA79" i="62" s="1"/>
  <c r="Z80" i="62"/>
  <c r="AA80" i="62" s="1"/>
  <c r="Z81" i="62"/>
  <c r="AA81" i="62" s="1"/>
  <c r="Z82" i="62"/>
  <c r="AA82" i="62" s="1"/>
  <c r="Z83" i="62"/>
  <c r="AA83" i="62" s="1"/>
  <c r="Z84" i="62"/>
  <c r="AA84" i="62" s="1"/>
  <c r="Z85" i="62"/>
  <c r="AA85" i="62" s="1"/>
  <c r="Z86" i="62"/>
  <c r="AA86" i="62" s="1"/>
  <c r="Z87" i="62"/>
  <c r="AA87" i="62" s="1"/>
  <c r="Z88" i="62"/>
  <c r="AA88" i="62" s="1"/>
  <c r="Z89" i="62"/>
  <c r="AA89" i="62" s="1"/>
  <c r="Z90" i="62"/>
  <c r="AA90" i="62" s="1"/>
  <c r="Z91" i="62"/>
  <c r="AA91" i="62" s="1"/>
  <c r="Z92" i="62"/>
  <c r="AA92" i="62" s="1"/>
  <c r="Z93" i="62"/>
  <c r="AA93" i="62" s="1"/>
  <c r="Z94" i="62"/>
  <c r="AA94" i="62" s="1"/>
  <c r="Z95" i="62"/>
  <c r="AA95" i="62" s="1"/>
  <c r="Z96" i="62"/>
  <c r="AA96" i="62" s="1"/>
  <c r="Z97" i="62"/>
  <c r="AA97" i="62" s="1"/>
  <c r="Z98" i="62"/>
  <c r="AA98" i="62" s="1"/>
  <c r="Z99" i="62"/>
  <c r="AA99" i="62" s="1"/>
  <c r="Z100" i="62"/>
  <c r="AA100" i="62" s="1"/>
  <c r="Z101" i="62"/>
  <c r="AA101" i="62" s="1"/>
  <c r="Z102" i="62"/>
  <c r="AA102" i="62" s="1"/>
  <c r="Z103" i="62"/>
  <c r="AA103" i="62" s="1"/>
  <c r="Z104" i="62"/>
  <c r="AA104" i="62"/>
  <c r="Z105" i="62"/>
  <c r="AA105" i="62" s="1"/>
  <c r="Z106" i="62"/>
  <c r="AA106" i="62" s="1"/>
  <c r="Z107" i="62"/>
  <c r="AA107" i="62" s="1"/>
  <c r="Z108" i="62"/>
  <c r="AA108" i="62" s="1"/>
  <c r="Z109" i="62"/>
  <c r="AA109" i="62" s="1"/>
  <c r="Z11" i="63"/>
  <c r="AA11" i="63" s="1"/>
  <c r="Z12" i="63"/>
  <c r="AA12" i="63" s="1"/>
  <c r="Z13" i="63"/>
  <c r="AA13" i="63" s="1"/>
  <c r="Z14" i="63"/>
  <c r="AA14" i="63" s="1"/>
  <c r="Z15" i="63"/>
  <c r="AA15" i="63" s="1"/>
  <c r="Z16" i="63"/>
  <c r="AA16" i="63" s="1"/>
  <c r="Z17" i="63"/>
  <c r="AA17" i="63" s="1"/>
  <c r="Z18" i="63"/>
  <c r="AA18" i="63" s="1"/>
  <c r="Z19" i="63"/>
  <c r="AA19" i="63" s="1"/>
  <c r="Z20" i="63"/>
  <c r="AA20" i="63" s="1"/>
  <c r="Z21" i="63"/>
  <c r="AA21" i="63" s="1"/>
  <c r="Z22" i="63"/>
  <c r="AA22" i="63" s="1"/>
  <c r="Z23" i="63"/>
  <c r="AA23" i="63" s="1"/>
  <c r="Z24" i="63"/>
  <c r="AA24" i="63" s="1"/>
  <c r="Z25" i="63"/>
  <c r="AA25" i="63" s="1"/>
  <c r="Z26" i="63"/>
  <c r="AA26" i="63" s="1"/>
  <c r="Z27" i="63"/>
  <c r="AA27" i="63" s="1"/>
  <c r="Z28" i="63"/>
  <c r="AA28" i="63" s="1"/>
  <c r="Z29" i="63"/>
  <c r="AA29" i="63" s="1"/>
  <c r="Z30" i="63"/>
  <c r="AA30" i="63" s="1"/>
  <c r="Z31" i="63"/>
  <c r="AA31" i="63" s="1"/>
  <c r="Z32" i="63"/>
  <c r="AA32" i="63" s="1"/>
  <c r="Z33" i="63"/>
  <c r="AA33" i="63" s="1"/>
  <c r="Z34" i="63"/>
  <c r="AA34" i="63" s="1"/>
  <c r="Z35" i="63"/>
  <c r="AA35" i="63" s="1"/>
  <c r="Z36" i="63"/>
  <c r="AA36" i="63" s="1"/>
  <c r="Z37" i="63"/>
  <c r="AA37" i="63" s="1"/>
  <c r="Z38" i="63"/>
  <c r="AA38" i="63" s="1"/>
  <c r="Z39" i="63"/>
  <c r="AA39" i="63" s="1"/>
  <c r="Z40" i="63"/>
  <c r="AA40" i="63" s="1"/>
  <c r="Z41" i="63"/>
  <c r="AA41" i="63" s="1"/>
  <c r="Z42" i="63"/>
  <c r="AA42" i="63" s="1"/>
  <c r="Z43" i="63"/>
  <c r="AA43" i="63" s="1"/>
  <c r="Z44" i="63"/>
  <c r="AA44" i="63" s="1"/>
  <c r="Z45" i="63"/>
  <c r="AA45" i="63" s="1"/>
  <c r="Z46" i="63"/>
  <c r="AA46" i="63" s="1"/>
  <c r="Z47" i="63"/>
  <c r="AA47" i="63" s="1"/>
  <c r="Z48" i="63"/>
  <c r="AA48" i="63" s="1"/>
  <c r="Z49" i="63"/>
  <c r="AA49" i="63" s="1"/>
  <c r="Z50" i="63"/>
  <c r="AA50" i="63" s="1"/>
  <c r="Z51" i="63"/>
  <c r="AA51" i="63" s="1"/>
  <c r="Z52" i="63"/>
  <c r="AA52" i="63" s="1"/>
  <c r="Z53" i="63"/>
  <c r="AA53" i="63" s="1"/>
  <c r="Z54" i="63"/>
  <c r="AA54" i="63" s="1"/>
  <c r="Z55" i="63"/>
  <c r="AA55" i="63" s="1"/>
  <c r="Z56" i="63"/>
  <c r="AA56" i="63" s="1"/>
  <c r="Z57" i="63"/>
  <c r="AA57" i="63"/>
  <c r="Z58" i="63"/>
  <c r="AA58" i="63" s="1"/>
  <c r="Z59" i="63"/>
  <c r="AA59" i="63" s="1"/>
  <c r="Z60" i="63"/>
  <c r="AA60" i="63" s="1"/>
  <c r="Z61" i="63"/>
  <c r="AA61" i="63" s="1"/>
  <c r="Z62" i="63"/>
  <c r="AA62" i="63" s="1"/>
  <c r="Z63" i="63"/>
  <c r="AA63" i="63" s="1"/>
  <c r="Z64" i="63"/>
  <c r="AA64" i="63" s="1"/>
  <c r="Z65" i="63"/>
  <c r="AA65" i="63"/>
  <c r="Z66" i="63"/>
  <c r="AA66" i="63" s="1"/>
  <c r="Z67" i="63"/>
  <c r="AA67" i="63" s="1"/>
  <c r="Z68" i="63"/>
  <c r="AA68" i="63" s="1"/>
  <c r="Z69" i="63"/>
  <c r="AA69" i="63" s="1"/>
  <c r="Z70" i="63"/>
  <c r="AA70" i="63" s="1"/>
  <c r="Z71" i="63"/>
  <c r="AA71" i="63" s="1"/>
  <c r="Z72" i="63"/>
  <c r="AA72" i="63" s="1"/>
  <c r="Z73" i="63"/>
  <c r="AA73" i="63" s="1"/>
  <c r="Z74" i="63"/>
  <c r="AA74" i="63" s="1"/>
  <c r="Z75" i="63"/>
  <c r="AA75" i="63" s="1"/>
  <c r="Z76" i="63"/>
  <c r="AA76" i="63" s="1"/>
  <c r="Z77" i="63"/>
  <c r="AA77" i="63" s="1"/>
  <c r="Z78" i="63"/>
  <c r="AA78" i="63" s="1"/>
  <c r="Z79" i="63"/>
  <c r="AA79" i="63" s="1"/>
  <c r="Z80" i="63"/>
  <c r="AA80" i="63" s="1"/>
  <c r="Z81" i="63"/>
  <c r="AA81" i="63" s="1"/>
  <c r="Z82" i="63"/>
  <c r="AA82" i="63" s="1"/>
  <c r="Z83" i="63"/>
  <c r="AA83" i="63" s="1"/>
  <c r="Z84" i="63"/>
  <c r="AA84" i="63" s="1"/>
  <c r="Z85" i="63"/>
  <c r="AA85" i="63" s="1"/>
  <c r="Z86" i="63"/>
  <c r="AA86" i="63" s="1"/>
  <c r="Z87" i="63"/>
  <c r="AA87" i="63" s="1"/>
  <c r="Z88" i="63"/>
  <c r="AA88" i="63" s="1"/>
  <c r="Z89" i="63"/>
  <c r="AA89" i="63" s="1"/>
  <c r="Z90" i="63"/>
  <c r="AA90" i="63" s="1"/>
  <c r="Z91" i="63"/>
  <c r="AA91" i="63" s="1"/>
  <c r="Z92" i="63"/>
  <c r="AA92" i="63" s="1"/>
  <c r="Z93" i="63"/>
  <c r="AA93" i="63"/>
  <c r="Z94" i="63"/>
  <c r="AA94" i="63" s="1"/>
  <c r="Z95" i="63"/>
  <c r="AA95" i="63" s="1"/>
  <c r="Z96" i="63"/>
  <c r="AA96" i="63" s="1"/>
  <c r="Z97" i="63"/>
  <c r="AA97" i="63" s="1"/>
  <c r="Z98" i="63"/>
  <c r="AA98" i="63" s="1"/>
  <c r="Z99" i="63"/>
  <c r="AA99" i="63" s="1"/>
  <c r="Z100" i="63"/>
  <c r="AA100" i="63" s="1"/>
  <c r="Z101" i="63"/>
  <c r="AA101" i="63" s="1"/>
  <c r="Z102" i="63"/>
  <c r="AA102" i="63" s="1"/>
  <c r="Z103" i="63"/>
  <c r="AA103" i="63" s="1"/>
  <c r="Z104" i="63"/>
  <c r="AA104" i="63" s="1"/>
  <c r="Z105" i="63"/>
  <c r="AA105" i="63"/>
  <c r="Z106" i="63"/>
  <c r="AA106" i="63" s="1"/>
  <c r="Z107" i="63"/>
  <c r="AA107" i="63" s="1"/>
  <c r="Z108" i="63"/>
  <c r="AA108" i="63" s="1"/>
  <c r="Z109" i="63"/>
  <c r="AA109" i="63" s="1"/>
  <c r="Z11" i="64"/>
  <c r="AA11" i="64" s="1"/>
  <c r="Z12" i="64"/>
  <c r="AA12" i="64" s="1"/>
  <c r="Z13" i="64"/>
  <c r="AA13" i="64" s="1"/>
  <c r="Z14" i="64"/>
  <c r="AA14" i="64" s="1"/>
  <c r="Z15" i="64"/>
  <c r="AA15" i="64" s="1"/>
  <c r="Z16" i="64"/>
  <c r="AA16" i="64" s="1"/>
  <c r="Z17" i="64"/>
  <c r="AA17" i="64" s="1"/>
  <c r="Z18" i="64"/>
  <c r="AA18" i="64" s="1"/>
  <c r="Z19" i="64"/>
  <c r="AA19" i="64" s="1"/>
  <c r="Z20" i="64"/>
  <c r="AA20" i="64" s="1"/>
  <c r="Z21" i="64"/>
  <c r="AA21" i="64" s="1"/>
  <c r="Z22" i="64"/>
  <c r="AA22" i="64" s="1"/>
  <c r="Z23" i="64"/>
  <c r="AA23" i="64" s="1"/>
  <c r="Z24" i="64"/>
  <c r="AA24" i="64" s="1"/>
  <c r="Z25" i="64"/>
  <c r="AA25" i="64" s="1"/>
  <c r="Z26" i="64"/>
  <c r="AA26" i="64" s="1"/>
  <c r="Z27" i="64"/>
  <c r="AA27" i="64" s="1"/>
  <c r="Z28" i="64"/>
  <c r="AA28" i="64" s="1"/>
  <c r="Z29" i="64"/>
  <c r="AA29" i="64" s="1"/>
  <c r="Z30" i="64"/>
  <c r="AA30" i="64"/>
  <c r="Z31" i="64"/>
  <c r="AA31" i="64" s="1"/>
  <c r="Z32" i="64"/>
  <c r="AA32" i="64" s="1"/>
  <c r="Z33" i="64"/>
  <c r="AA33" i="64" s="1"/>
  <c r="Z34" i="64"/>
  <c r="AA34" i="64" s="1"/>
  <c r="Z35" i="64"/>
  <c r="AA35" i="64" s="1"/>
  <c r="Z36" i="64"/>
  <c r="AA36" i="64" s="1"/>
  <c r="Z37" i="64"/>
  <c r="AA37" i="64" s="1"/>
  <c r="Z38" i="64"/>
  <c r="AA38" i="64" s="1"/>
  <c r="Z39" i="64"/>
  <c r="AA39" i="64" s="1"/>
  <c r="Z40" i="64"/>
  <c r="AA40" i="64" s="1"/>
  <c r="Z41" i="64"/>
  <c r="AA41" i="64" s="1"/>
  <c r="Z42" i="64"/>
  <c r="AA42" i="64" s="1"/>
  <c r="Z43" i="64"/>
  <c r="AA43" i="64" s="1"/>
  <c r="Z44" i="64"/>
  <c r="AA44" i="64" s="1"/>
  <c r="Z45" i="64"/>
  <c r="AA45" i="64" s="1"/>
  <c r="Z46" i="64"/>
  <c r="AA46" i="64" s="1"/>
  <c r="Z47" i="64"/>
  <c r="AA47" i="64" s="1"/>
  <c r="Z48" i="64"/>
  <c r="AA48" i="64" s="1"/>
  <c r="Z49" i="64"/>
  <c r="AA49" i="64" s="1"/>
  <c r="Z50" i="64"/>
  <c r="AA50" i="64" s="1"/>
  <c r="Z51" i="64"/>
  <c r="AA51" i="64" s="1"/>
  <c r="Z52" i="64"/>
  <c r="AA52" i="64" s="1"/>
  <c r="Z53" i="64"/>
  <c r="AA53" i="64" s="1"/>
  <c r="Z54" i="64"/>
  <c r="AA54" i="64"/>
  <c r="Z55" i="64"/>
  <c r="AA55" i="64"/>
  <c r="Z56" i="64"/>
  <c r="AA56" i="64" s="1"/>
  <c r="Z57" i="64"/>
  <c r="AA57" i="64" s="1"/>
  <c r="Z58" i="64"/>
  <c r="AA58" i="64" s="1"/>
  <c r="Z59" i="64"/>
  <c r="AA59" i="64" s="1"/>
  <c r="Z60" i="64"/>
  <c r="AA60" i="64"/>
  <c r="Z61" i="64"/>
  <c r="AA61" i="64" s="1"/>
  <c r="Z62" i="64"/>
  <c r="AA62" i="64" s="1"/>
  <c r="Z63" i="64"/>
  <c r="AA63" i="64"/>
  <c r="Z64" i="64"/>
  <c r="AA64" i="64" s="1"/>
  <c r="Z65" i="64"/>
  <c r="AA65" i="64" s="1"/>
  <c r="Z66" i="64"/>
  <c r="AA66" i="64" s="1"/>
  <c r="Z67" i="64"/>
  <c r="AA67" i="64"/>
  <c r="Z68" i="64"/>
  <c r="AA68" i="64" s="1"/>
  <c r="Z69" i="64"/>
  <c r="AA69" i="64" s="1"/>
  <c r="Z70" i="64"/>
  <c r="AA70" i="64" s="1"/>
  <c r="Z71" i="64"/>
  <c r="AA71" i="64" s="1"/>
  <c r="Z72" i="64"/>
  <c r="AA72" i="64" s="1"/>
  <c r="Z73" i="64"/>
  <c r="AA73" i="64"/>
  <c r="Z74" i="64"/>
  <c r="AA74" i="64" s="1"/>
  <c r="Z75" i="64"/>
  <c r="AA75" i="64" s="1"/>
  <c r="Z76" i="64"/>
  <c r="AA76" i="64" s="1"/>
  <c r="Z77" i="64"/>
  <c r="AA77" i="64" s="1"/>
  <c r="Z78" i="64"/>
  <c r="AA78" i="64" s="1"/>
  <c r="Z79" i="64"/>
  <c r="AA79" i="64" s="1"/>
  <c r="Z80" i="64"/>
  <c r="AA80" i="64" s="1"/>
  <c r="Z81" i="64"/>
  <c r="AA81" i="64" s="1"/>
  <c r="Z82" i="64"/>
  <c r="AA82" i="64" s="1"/>
  <c r="Z83" i="64"/>
  <c r="AA83" i="64" s="1"/>
  <c r="Z84" i="64"/>
  <c r="AA84" i="64" s="1"/>
  <c r="Z85" i="64"/>
  <c r="AA85" i="64"/>
  <c r="Z86" i="64"/>
  <c r="AA86" i="64" s="1"/>
  <c r="Z87" i="64"/>
  <c r="AA87" i="64" s="1"/>
  <c r="Z88" i="64"/>
  <c r="AA88" i="64" s="1"/>
  <c r="Z89" i="64"/>
  <c r="AA89" i="64" s="1"/>
  <c r="Z90" i="64"/>
  <c r="AA90" i="64" s="1"/>
  <c r="Z91" i="64"/>
  <c r="AA91" i="64" s="1"/>
  <c r="Z92" i="64"/>
  <c r="AA92" i="64" s="1"/>
  <c r="Z93" i="64"/>
  <c r="AA93" i="64" s="1"/>
  <c r="Z94" i="64"/>
  <c r="AA94" i="64" s="1"/>
  <c r="Z95" i="64"/>
  <c r="AA95" i="64" s="1"/>
  <c r="Z96" i="64"/>
  <c r="AA96" i="64" s="1"/>
  <c r="Z97" i="64"/>
  <c r="AA97" i="64" s="1"/>
  <c r="Z98" i="64"/>
  <c r="AA98" i="64" s="1"/>
  <c r="Z99" i="64"/>
  <c r="AA99" i="64" s="1"/>
  <c r="Z100" i="64"/>
  <c r="AA100" i="64" s="1"/>
  <c r="Z101" i="64"/>
  <c r="AA101" i="64"/>
  <c r="Z102" i="64"/>
  <c r="AA102" i="64" s="1"/>
  <c r="Z103" i="64"/>
  <c r="AA103" i="64" s="1"/>
  <c r="Z104" i="64"/>
  <c r="AA104" i="64" s="1"/>
  <c r="Z105" i="64"/>
  <c r="AA105" i="64" s="1"/>
  <c r="Z106" i="64"/>
  <c r="AA106" i="64" s="1"/>
  <c r="Z107" i="64"/>
  <c r="AA107" i="64"/>
  <c r="Z108" i="64"/>
  <c r="AA108" i="64" s="1"/>
  <c r="Z109" i="64"/>
  <c r="AA109" i="64" s="1"/>
  <c r="Z11" i="65"/>
  <c r="AA11" i="65" s="1"/>
  <c r="Z12" i="65"/>
  <c r="AA12" i="65" s="1"/>
  <c r="Z13" i="65"/>
  <c r="AA13" i="65" s="1"/>
  <c r="Z14" i="65"/>
  <c r="AA14" i="65" s="1"/>
  <c r="Z15" i="65"/>
  <c r="AA15" i="65" s="1"/>
  <c r="Z16" i="65"/>
  <c r="AA16" i="65" s="1"/>
  <c r="Z17" i="65"/>
  <c r="AA17" i="65" s="1"/>
  <c r="Z18" i="65"/>
  <c r="AA18" i="65" s="1"/>
  <c r="Z19" i="65"/>
  <c r="AA19" i="65" s="1"/>
  <c r="Z20" i="65"/>
  <c r="AA20" i="65"/>
  <c r="Z21" i="65"/>
  <c r="AA21" i="65" s="1"/>
  <c r="Z22" i="65"/>
  <c r="AA22" i="65"/>
  <c r="Z23" i="65"/>
  <c r="AA23" i="65" s="1"/>
  <c r="Z24" i="65"/>
  <c r="AA24" i="65" s="1"/>
  <c r="Z25" i="65"/>
  <c r="AA25" i="65" s="1"/>
  <c r="Z26" i="65"/>
  <c r="AA26" i="65" s="1"/>
  <c r="Z27" i="65"/>
  <c r="AA27" i="65" s="1"/>
  <c r="Z28" i="65"/>
  <c r="AA28" i="65"/>
  <c r="Z29" i="65"/>
  <c r="AA29" i="65" s="1"/>
  <c r="Z30" i="65"/>
  <c r="AA30" i="65" s="1"/>
  <c r="Z31" i="65"/>
  <c r="AA31" i="65" s="1"/>
  <c r="Z32" i="65"/>
  <c r="AA32" i="65" s="1"/>
  <c r="Z33" i="65"/>
  <c r="AA33" i="65" s="1"/>
  <c r="Z34" i="65"/>
  <c r="AA34" i="65" s="1"/>
  <c r="Z35" i="65"/>
  <c r="AA35" i="65" s="1"/>
  <c r="Z36" i="65"/>
  <c r="AA36" i="65"/>
  <c r="Z37" i="65"/>
  <c r="AA37" i="65" s="1"/>
  <c r="Z38" i="65"/>
  <c r="AA38" i="65" s="1"/>
  <c r="Z39" i="65"/>
  <c r="AA39" i="65" s="1"/>
  <c r="Z40" i="65"/>
  <c r="AA40" i="65" s="1"/>
  <c r="Z41" i="65"/>
  <c r="AA41" i="65" s="1"/>
  <c r="Z42" i="65"/>
  <c r="AA42" i="65" s="1"/>
  <c r="Z43" i="65"/>
  <c r="AA43" i="65" s="1"/>
  <c r="Z44" i="65"/>
  <c r="AA44" i="65" s="1"/>
  <c r="Z45" i="65"/>
  <c r="AA45" i="65" s="1"/>
  <c r="Z46" i="65"/>
  <c r="AA46" i="65" s="1"/>
  <c r="Z47" i="65"/>
  <c r="AA47" i="65" s="1"/>
  <c r="Z48" i="65"/>
  <c r="AA48" i="65" s="1"/>
  <c r="Z49" i="65"/>
  <c r="AA49" i="65" s="1"/>
  <c r="Z50" i="65"/>
  <c r="AA50" i="65" s="1"/>
  <c r="Z51" i="65"/>
  <c r="AA51" i="65" s="1"/>
  <c r="Z52" i="65"/>
  <c r="AA52" i="65"/>
  <c r="Z53" i="65"/>
  <c r="AA53" i="65" s="1"/>
  <c r="Z54" i="65"/>
  <c r="AA54" i="65" s="1"/>
  <c r="Z55" i="65"/>
  <c r="AA55" i="65" s="1"/>
  <c r="Z56" i="65"/>
  <c r="AA56" i="65" s="1"/>
  <c r="Z57" i="65"/>
  <c r="AA57" i="65" s="1"/>
  <c r="Z58" i="65"/>
  <c r="AA58" i="65" s="1"/>
  <c r="Z59" i="65"/>
  <c r="AA59" i="65" s="1"/>
  <c r="Z60" i="65"/>
  <c r="AA60" i="65" s="1"/>
  <c r="Z61" i="65"/>
  <c r="AA61" i="65" s="1"/>
  <c r="Z62" i="65"/>
  <c r="AA62" i="65" s="1"/>
  <c r="Z63" i="65"/>
  <c r="AA63" i="65" s="1"/>
  <c r="Z64" i="65"/>
  <c r="AA64" i="65" s="1"/>
  <c r="Z65" i="65"/>
  <c r="AA65" i="65" s="1"/>
  <c r="Z66" i="65"/>
  <c r="AA66" i="65" s="1"/>
  <c r="Z67" i="65"/>
  <c r="AA67" i="65" s="1"/>
  <c r="Z68" i="65"/>
  <c r="AA68" i="65"/>
  <c r="Z69" i="65"/>
  <c r="AA69" i="65" s="1"/>
  <c r="Z70" i="65"/>
  <c r="AA70" i="65" s="1"/>
  <c r="Z71" i="65"/>
  <c r="AA71" i="65" s="1"/>
  <c r="Z72" i="65"/>
  <c r="AA72" i="65" s="1"/>
  <c r="Z73" i="65"/>
  <c r="AA73" i="65" s="1"/>
  <c r="Z74" i="65"/>
  <c r="AA74" i="65" s="1"/>
  <c r="Z75" i="65"/>
  <c r="AA75" i="65" s="1"/>
  <c r="Z76" i="65"/>
  <c r="AA76" i="65" s="1"/>
  <c r="Z77" i="65"/>
  <c r="AA77" i="65" s="1"/>
  <c r="Z78" i="65"/>
  <c r="AA78" i="65" s="1"/>
  <c r="Z79" i="65"/>
  <c r="AA79" i="65" s="1"/>
  <c r="Z80" i="65"/>
  <c r="AA80" i="65" s="1"/>
  <c r="Z81" i="65"/>
  <c r="AA81" i="65" s="1"/>
  <c r="Z82" i="65"/>
  <c r="AA82" i="65" s="1"/>
  <c r="Z83" i="65"/>
  <c r="AA83" i="65" s="1"/>
  <c r="Z84" i="65"/>
  <c r="AA84" i="65"/>
  <c r="Z85" i="65"/>
  <c r="AA85" i="65" s="1"/>
  <c r="Z86" i="65"/>
  <c r="AA86" i="65"/>
  <c r="Z87" i="65"/>
  <c r="AA87" i="65" s="1"/>
  <c r="Z88" i="65"/>
  <c r="AA88" i="65" s="1"/>
  <c r="Z89" i="65"/>
  <c r="AA89" i="65" s="1"/>
  <c r="Z90" i="65"/>
  <c r="AA90" i="65" s="1"/>
  <c r="Z91" i="65"/>
  <c r="AA91" i="65" s="1"/>
  <c r="Z92" i="65"/>
  <c r="AA92" i="65"/>
  <c r="Z93" i="65"/>
  <c r="AA93" i="65" s="1"/>
  <c r="Z94" i="65"/>
  <c r="AA94" i="65" s="1"/>
  <c r="Z95" i="65"/>
  <c r="AA95" i="65" s="1"/>
  <c r="Z96" i="65"/>
  <c r="AA96" i="65" s="1"/>
  <c r="Z97" i="65"/>
  <c r="AA97" i="65" s="1"/>
  <c r="Z98" i="65"/>
  <c r="AA98" i="65" s="1"/>
  <c r="Z99" i="65"/>
  <c r="AA99" i="65" s="1"/>
  <c r="Z100" i="65"/>
  <c r="AA100" i="65"/>
  <c r="Z101" i="65"/>
  <c r="AA101" i="65" s="1"/>
  <c r="Z102" i="65"/>
  <c r="AA102" i="65" s="1"/>
  <c r="Z103" i="65"/>
  <c r="AA103" i="65" s="1"/>
  <c r="Z104" i="65"/>
  <c r="AA104" i="65" s="1"/>
  <c r="Z105" i="65"/>
  <c r="AA105" i="65" s="1"/>
  <c r="Z106" i="65"/>
  <c r="AA106" i="65" s="1"/>
  <c r="Z107" i="65"/>
  <c r="AA107" i="65" s="1"/>
  <c r="Z108" i="65"/>
  <c r="AA108" i="65"/>
  <c r="Z109" i="65"/>
  <c r="AA109" i="65" s="1"/>
  <c r="Z11" i="66"/>
  <c r="AA11" i="66" s="1"/>
  <c r="Z12" i="66"/>
  <c r="AA12" i="66" s="1"/>
  <c r="Z13" i="66"/>
  <c r="AA13" i="66" s="1"/>
  <c r="Z14" i="66"/>
  <c r="AA14" i="66" s="1"/>
  <c r="Z15" i="66"/>
  <c r="AA15" i="66" s="1"/>
  <c r="Z16" i="66"/>
  <c r="AA16" i="66" s="1"/>
  <c r="Z17" i="66"/>
  <c r="AA17" i="66"/>
  <c r="Z18" i="66"/>
  <c r="AA18" i="66" s="1"/>
  <c r="Z19" i="66"/>
  <c r="AA19" i="66" s="1"/>
  <c r="Z20" i="66"/>
  <c r="AA20" i="66" s="1"/>
  <c r="Z21" i="66"/>
  <c r="AA21" i="66" s="1"/>
  <c r="Z22" i="66"/>
  <c r="AA22" i="66" s="1"/>
  <c r="Z23" i="66"/>
  <c r="AA23" i="66" s="1"/>
  <c r="Z24" i="66"/>
  <c r="AA24" i="66" s="1"/>
  <c r="Z25" i="66"/>
  <c r="AA25" i="66" s="1"/>
  <c r="Z26" i="66"/>
  <c r="AA26" i="66" s="1"/>
  <c r="Z27" i="66"/>
  <c r="AA27" i="66" s="1"/>
  <c r="Z28" i="66"/>
  <c r="AA28" i="66" s="1"/>
  <c r="Z29" i="66"/>
  <c r="AA29" i="66" s="1"/>
  <c r="Z30" i="66"/>
  <c r="AA30" i="66" s="1"/>
  <c r="Z31" i="66"/>
  <c r="AA31" i="66" s="1"/>
  <c r="Z32" i="66"/>
  <c r="AA32" i="66" s="1"/>
  <c r="Z33" i="66"/>
  <c r="AA33" i="66"/>
  <c r="Z34" i="66"/>
  <c r="AA34" i="66" s="1"/>
  <c r="Z35" i="66"/>
  <c r="AA35" i="66" s="1"/>
  <c r="Z36" i="66"/>
  <c r="AA36" i="66" s="1"/>
  <c r="Z37" i="66"/>
  <c r="AA37" i="66" s="1"/>
  <c r="Z38" i="66"/>
  <c r="AA38" i="66" s="1"/>
  <c r="Z39" i="66"/>
  <c r="AA39" i="66" s="1"/>
  <c r="Z40" i="66"/>
  <c r="AA40" i="66" s="1"/>
  <c r="Z41" i="66"/>
  <c r="AA41" i="66" s="1"/>
  <c r="Z42" i="66"/>
  <c r="AA42" i="66" s="1"/>
  <c r="Z43" i="66"/>
  <c r="AA43" i="66" s="1"/>
  <c r="Z44" i="66"/>
  <c r="AA44" i="66" s="1"/>
  <c r="Z45" i="66"/>
  <c r="AA45" i="66" s="1"/>
  <c r="Z46" i="66"/>
  <c r="AA46" i="66" s="1"/>
  <c r="Z47" i="66"/>
  <c r="AA47" i="66" s="1"/>
  <c r="Z48" i="66"/>
  <c r="AA48" i="66" s="1"/>
  <c r="Z49" i="66"/>
  <c r="AA49" i="66"/>
  <c r="Z50" i="66"/>
  <c r="AA50" i="66" s="1"/>
  <c r="Z51" i="66"/>
  <c r="AA51" i="66" s="1"/>
  <c r="Z52" i="66"/>
  <c r="AA52" i="66" s="1"/>
  <c r="Z53" i="66"/>
  <c r="AA53" i="66" s="1"/>
  <c r="Z54" i="66"/>
  <c r="AA54" i="66" s="1"/>
  <c r="Z55" i="66"/>
  <c r="AA55" i="66" s="1"/>
  <c r="Z56" i="66"/>
  <c r="AA56" i="66" s="1"/>
  <c r="Z57" i="66"/>
  <c r="AA57" i="66" s="1"/>
  <c r="Z58" i="66"/>
  <c r="AA58" i="66" s="1"/>
  <c r="Z59" i="66"/>
  <c r="AA59" i="66" s="1"/>
  <c r="Z60" i="66"/>
  <c r="AA60" i="66" s="1"/>
  <c r="Z61" i="66"/>
  <c r="AA61" i="66" s="1"/>
  <c r="Z62" i="66"/>
  <c r="AA62" i="66" s="1"/>
  <c r="Z63" i="66"/>
  <c r="AA63" i="66" s="1"/>
  <c r="Z64" i="66"/>
  <c r="AA64" i="66" s="1"/>
  <c r="Z65" i="66"/>
  <c r="AA65" i="66" s="1"/>
  <c r="Z66" i="66"/>
  <c r="AA66" i="66" s="1"/>
  <c r="Z67" i="66"/>
  <c r="AA67" i="66" s="1"/>
  <c r="Z68" i="66"/>
  <c r="AA68" i="66" s="1"/>
  <c r="Z69" i="66"/>
  <c r="AA69" i="66" s="1"/>
  <c r="Z70" i="66"/>
  <c r="AA70" i="66" s="1"/>
  <c r="Z71" i="66"/>
  <c r="AA71" i="66" s="1"/>
  <c r="Z72" i="66"/>
  <c r="AA72" i="66" s="1"/>
  <c r="Z73" i="66"/>
  <c r="AA73" i="66"/>
  <c r="Z74" i="66"/>
  <c r="AA74" i="66" s="1"/>
  <c r="Z75" i="66"/>
  <c r="AA75" i="66"/>
  <c r="Z76" i="66"/>
  <c r="AA76" i="66" s="1"/>
  <c r="Z77" i="66"/>
  <c r="AA77" i="66" s="1"/>
  <c r="Z78" i="66"/>
  <c r="AA78" i="66" s="1"/>
  <c r="Z79" i="66"/>
  <c r="AA79" i="66" s="1"/>
  <c r="Z80" i="66"/>
  <c r="AA80" i="66" s="1"/>
  <c r="Z81" i="66"/>
  <c r="AA81" i="66" s="1"/>
  <c r="Z82" i="66"/>
  <c r="AA82" i="66" s="1"/>
  <c r="Z83" i="66"/>
  <c r="AA83" i="66" s="1"/>
  <c r="Z84" i="66"/>
  <c r="AA84" i="66" s="1"/>
  <c r="Z85" i="66"/>
  <c r="AA85" i="66" s="1"/>
  <c r="Z86" i="66"/>
  <c r="AA86" i="66" s="1"/>
  <c r="Z87" i="66"/>
  <c r="AA87" i="66" s="1"/>
  <c r="Z88" i="66"/>
  <c r="AA88" i="66" s="1"/>
  <c r="Z89" i="66"/>
  <c r="AA89" i="66" s="1"/>
  <c r="Z90" i="66"/>
  <c r="AA90" i="66" s="1"/>
  <c r="Z91" i="66"/>
  <c r="AA91" i="66" s="1"/>
  <c r="Z92" i="66"/>
  <c r="AA92" i="66" s="1"/>
  <c r="Z93" i="66"/>
  <c r="AA93" i="66" s="1"/>
  <c r="Z94" i="66"/>
  <c r="AA94" i="66" s="1"/>
  <c r="Z95" i="66"/>
  <c r="AA95" i="66" s="1"/>
  <c r="Z96" i="66"/>
  <c r="AA96" i="66" s="1"/>
  <c r="Z97" i="66"/>
  <c r="AA97" i="66" s="1"/>
  <c r="Z98" i="66"/>
  <c r="AA98" i="66" s="1"/>
  <c r="Z99" i="66"/>
  <c r="AA99" i="66" s="1"/>
  <c r="Z100" i="66"/>
  <c r="AA100" i="66" s="1"/>
  <c r="Z101" i="66"/>
  <c r="AA101" i="66" s="1"/>
  <c r="Z102" i="66"/>
  <c r="AA102" i="66" s="1"/>
  <c r="Z103" i="66"/>
  <c r="AA103" i="66" s="1"/>
  <c r="Z104" i="66"/>
  <c r="AA104" i="66" s="1"/>
  <c r="Z105" i="66"/>
  <c r="AA105" i="66" s="1"/>
  <c r="Z106" i="66"/>
  <c r="AA106" i="66" s="1"/>
  <c r="Z107" i="66"/>
  <c r="AA107" i="66" s="1"/>
  <c r="Z108" i="66"/>
  <c r="AA108" i="66" s="1"/>
  <c r="Z109" i="66"/>
  <c r="AA109" i="66" s="1"/>
  <c r="Z11" i="67"/>
  <c r="AA11" i="67" s="1"/>
  <c r="Z12" i="67"/>
  <c r="AA12" i="67" s="1"/>
  <c r="Z13" i="67"/>
  <c r="AA13" i="67" s="1"/>
  <c r="Z14" i="67"/>
  <c r="AA14" i="67"/>
  <c r="Z15" i="67"/>
  <c r="AA15" i="67" s="1"/>
  <c r="Z16" i="67"/>
  <c r="AA16" i="67" s="1"/>
  <c r="Z17" i="67"/>
  <c r="AA17" i="67" s="1"/>
  <c r="Z18" i="67"/>
  <c r="AA18" i="67" s="1"/>
  <c r="Z19" i="67"/>
  <c r="AA19" i="67" s="1"/>
  <c r="Z20" i="67"/>
  <c r="AA20" i="67" s="1"/>
  <c r="Z21" i="67"/>
  <c r="AA21" i="67" s="1"/>
  <c r="Z22" i="67"/>
  <c r="AA22" i="67"/>
  <c r="Z23" i="67"/>
  <c r="AA23" i="67" s="1"/>
  <c r="Z24" i="67"/>
  <c r="AA24" i="67" s="1"/>
  <c r="Z25" i="67"/>
  <c r="AA25" i="67" s="1"/>
  <c r="Z26" i="67"/>
  <c r="AA26" i="67" s="1"/>
  <c r="Z27" i="67"/>
  <c r="AA27" i="67" s="1"/>
  <c r="Z28" i="67"/>
  <c r="AA28" i="67" s="1"/>
  <c r="Z29" i="67"/>
  <c r="AA29" i="67" s="1"/>
  <c r="Z30" i="67"/>
  <c r="AA30" i="67" s="1"/>
  <c r="Z31" i="67"/>
  <c r="AA31" i="67" s="1"/>
  <c r="Z32" i="67"/>
  <c r="AA32" i="67" s="1"/>
  <c r="Z33" i="67"/>
  <c r="AA33" i="67" s="1"/>
  <c r="Z34" i="67"/>
  <c r="AA34" i="67" s="1"/>
  <c r="Z35" i="67"/>
  <c r="AA35" i="67" s="1"/>
  <c r="Z36" i="67"/>
  <c r="AA36" i="67" s="1"/>
  <c r="Z37" i="67"/>
  <c r="AA37" i="67" s="1"/>
  <c r="Z38" i="67"/>
  <c r="AA38" i="67" s="1"/>
  <c r="Z39" i="67"/>
  <c r="AA39" i="67" s="1"/>
  <c r="Z40" i="67"/>
  <c r="AA40" i="67"/>
  <c r="Z41" i="67"/>
  <c r="AA41" i="67" s="1"/>
  <c r="Z42" i="67"/>
  <c r="AA42" i="67" s="1"/>
  <c r="Z43" i="67"/>
  <c r="AA43" i="67" s="1"/>
  <c r="Z44" i="67"/>
  <c r="AA44" i="67" s="1"/>
  <c r="Z45" i="67"/>
  <c r="AA45" i="67" s="1"/>
  <c r="Z46" i="67"/>
  <c r="AA46" i="67"/>
  <c r="Z47" i="67"/>
  <c r="AA47" i="67" s="1"/>
  <c r="Z48" i="67"/>
  <c r="AA48" i="67" s="1"/>
  <c r="Z49" i="67"/>
  <c r="AA49" i="67" s="1"/>
  <c r="Z50" i="67"/>
  <c r="AA50" i="67" s="1"/>
  <c r="Z51" i="67"/>
  <c r="AA51" i="67" s="1"/>
  <c r="Z52" i="67"/>
  <c r="AA52" i="67" s="1"/>
  <c r="Z53" i="67"/>
  <c r="AA53" i="67" s="1"/>
  <c r="Z54" i="67"/>
  <c r="AA54" i="67" s="1"/>
  <c r="Z55" i="67"/>
  <c r="AA55" i="67" s="1"/>
  <c r="Z56" i="67"/>
  <c r="AA56" i="67" s="1"/>
  <c r="Z57" i="67"/>
  <c r="AA57" i="67" s="1"/>
  <c r="Z58" i="67"/>
  <c r="AA58" i="67" s="1"/>
  <c r="Z59" i="67"/>
  <c r="AA59" i="67" s="1"/>
  <c r="Z60" i="67"/>
  <c r="AA60" i="67" s="1"/>
  <c r="Z61" i="67"/>
  <c r="AA61" i="67" s="1"/>
  <c r="Z62" i="67"/>
  <c r="AA62" i="67"/>
  <c r="Z63" i="67"/>
  <c r="AA63" i="67" s="1"/>
  <c r="Z64" i="67"/>
  <c r="AA64" i="67" s="1"/>
  <c r="Z65" i="67"/>
  <c r="AA65" i="67" s="1"/>
  <c r="Z66" i="67"/>
  <c r="AA66" i="67" s="1"/>
  <c r="Z67" i="67"/>
  <c r="AA67" i="67" s="1"/>
  <c r="Z68" i="67"/>
  <c r="AA68" i="67" s="1"/>
  <c r="Z69" i="67"/>
  <c r="AA69" i="67" s="1"/>
  <c r="Z70" i="67"/>
  <c r="AA70" i="67" s="1"/>
  <c r="Z71" i="67"/>
  <c r="AA71" i="67" s="1"/>
  <c r="Z72" i="67"/>
  <c r="AA72" i="67" s="1"/>
  <c r="Z73" i="67"/>
  <c r="AA73" i="67" s="1"/>
  <c r="Z74" i="67"/>
  <c r="AA74" i="67" s="1"/>
  <c r="Z75" i="67"/>
  <c r="AA75" i="67" s="1"/>
  <c r="Z76" i="67"/>
  <c r="AA76" i="67" s="1"/>
  <c r="Z77" i="67"/>
  <c r="AA77" i="67" s="1"/>
  <c r="Z78" i="67"/>
  <c r="AA78" i="67"/>
  <c r="Z79" i="67"/>
  <c r="AA79" i="67" s="1"/>
  <c r="Z80" i="67"/>
  <c r="AA80" i="67" s="1"/>
  <c r="Z81" i="67"/>
  <c r="AA81" i="67" s="1"/>
  <c r="Z82" i="67"/>
  <c r="AA82" i="67" s="1"/>
  <c r="Z83" i="67"/>
  <c r="AA83" i="67" s="1"/>
  <c r="Z84" i="67"/>
  <c r="AA84" i="67" s="1"/>
  <c r="Z85" i="67"/>
  <c r="AA85" i="67" s="1"/>
  <c r="Z86" i="67"/>
  <c r="AA86" i="67"/>
  <c r="Z87" i="67"/>
  <c r="AA87" i="67" s="1"/>
  <c r="Z88" i="67"/>
  <c r="AA88" i="67" s="1"/>
  <c r="Z89" i="67"/>
  <c r="AA89" i="67" s="1"/>
  <c r="Z90" i="67"/>
  <c r="AA90" i="67" s="1"/>
  <c r="Z91" i="67"/>
  <c r="AA91" i="67" s="1"/>
  <c r="Z92" i="67"/>
  <c r="AA92" i="67" s="1"/>
  <c r="Z93" i="67"/>
  <c r="AA93" i="67" s="1"/>
  <c r="Z94" i="67"/>
  <c r="AA94" i="67" s="1"/>
  <c r="Z95" i="67"/>
  <c r="AA95" i="67" s="1"/>
  <c r="Z96" i="67"/>
  <c r="AA96" i="67" s="1"/>
  <c r="Z97" i="67"/>
  <c r="AA97" i="67" s="1"/>
  <c r="Z98" i="67"/>
  <c r="AA98" i="67" s="1"/>
  <c r="Z99" i="67"/>
  <c r="AA99" i="67" s="1"/>
  <c r="Z100" i="67"/>
  <c r="AA100" i="67" s="1"/>
  <c r="Z101" i="67"/>
  <c r="AA101" i="67" s="1"/>
  <c r="Z102" i="67"/>
  <c r="AA102" i="67"/>
  <c r="Z103" i="67"/>
  <c r="AA103" i="67" s="1"/>
  <c r="Z104" i="67"/>
  <c r="AA104" i="67" s="1"/>
  <c r="Z105" i="67"/>
  <c r="AA105" i="67" s="1"/>
  <c r="Z106" i="67"/>
  <c r="AA106" i="67" s="1"/>
  <c r="Z107" i="67"/>
  <c r="AA107" i="67" s="1"/>
  <c r="Z108" i="67"/>
  <c r="AA108" i="67" s="1"/>
  <c r="Z109" i="67"/>
  <c r="AA109" i="67" s="1"/>
  <c r="Z10" i="60"/>
  <c r="Z10" i="61"/>
  <c r="Z10" i="62"/>
  <c r="Z10" i="63"/>
  <c r="Z10" i="64"/>
  <c r="Z10" i="65"/>
  <c r="Z10" i="66"/>
  <c r="Z10" i="67"/>
  <c r="F118" i="50"/>
  <c r="F116" i="38"/>
  <c r="F111" i="73" s="1"/>
  <c r="F116" i="50"/>
  <c r="F116" i="51"/>
  <c r="F116" i="52"/>
  <c r="F116" i="53"/>
  <c r="F116" i="54"/>
  <c r="F116" i="56"/>
  <c r="F116" i="55"/>
  <c r="F116" i="57"/>
  <c r="F115" i="38"/>
  <c r="F110" i="73" s="1"/>
  <c r="F115" i="50"/>
  <c r="F115" i="51"/>
  <c r="F118" i="51" s="1"/>
  <c r="F115" i="52"/>
  <c r="F118" i="52" s="1"/>
  <c r="F115" i="53"/>
  <c r="F118" i="53" s="1"/>
  <c r="F115" i="54"/>
  <c r="F118" i="54" s="1"/>
  <c r="F115" i="56"/>
  <c r="F118" i="56" s="1"/>
  <c r="F115" i="55"/>
  <c r="F118" i="55" s="1"/>
  <c r="F115" i="57"/>
  <c r="F118" i="57" s="1"/>
  <c r="M112" i="38"/>
  <c r="M112" i="50"/>
  <c r="M112" i="51"/>
  <c r="M112" i="52"/>
  <c r="M112" i="53"/>
  <c r="M112" i="54"/>
  <c r="M112" i="56"/>
  <c r="M112" i="55"/>
  <c r="M112" i="57"/>
  <c r="G110" i="38"/>
  <c r="H110" i="38"/>
  <c r="I110" i="38"/>
  <c r="J110" i="38"/>
  <c r="K110" i="38"/>
  <c r="L110" i="38"/>
  <c r="M110" i="38"/>
  <c r="N110" i="38"/>
  <c r="O110" i="38"/>
  <c r="P110" i="38"/>
  <c r="Q110" i="38"/>
  <c r="R110" i="38"/>
  <c r="S110" i="38"/>
  <c r="T110" i="38"/>
  <c r="U110" i="38"/>
  <c r="V110" i="38"/>
  <c r="W110" i="38"/>
  <c r="X110" i="38"/>
  <c r="Y110" i="38"/>
  <c r="G111" i="38"/>
  <c r="H111" i="38"/>
  <c r="I111" i="38"/>
  <c r="J111" i="38"/>
  <c r="K111" i="38"/>
  <c r="L111" i="38"/>
  <c r="M111" i="38"/>
  <c r="N111" i="38"/>
  <c r="O111" i="38"/>
  <c r="P111" i="38"/>
  <c r="Q111" i="38"/>
  <c r="R111" i="38"/>
  <c r="S111" i="38"/>
  <c r="T111" i="38"/>
  <c r="U111" i="38"/>
  <c r="V111" i="38"/>
  <c r="W111" i="38"/>
  <c r="X111" i="38"/>
  <c r="Y111" i="38"/>
  <c r="G112" i="38"/>
  <c r="H112" i="38"/>
  <c r="I112" i="38"/>
  <c r="J112" i="38"/>
  <c r="K112" i="38"/>
  <c r="L112" i="38"/>
  <c r="N112" i="38"/>
  <c r="O112" i="38"/>
  <c r="P112" i="38"/>
  <c r="Q112" i="38"/>
  <c r="R112" i="38"/>
  <c r="S112" i="38"/>
  <c r="T112" i="38"/>
  <c r="U112" i="38"/>
  <c r="V112" i="38"/>
  <c r="W112" i="38"/>
  <c r="X112" i="38"/>
  <c r="Y112" i="38"/>
  <c r="G110" i="50"/>
  <c r="H110" i="50"/>
  <c r="I110" i="50"/>
  <c r="J110" i="50"/>
  <c r="K110" i="50"/>
  <c r="L110" i="50"/>
  <c r="M110" i="50"/>
  <c r="N110" i="50"/>
  <c r="O110" i="50"/>
  <c r="P110" i="50"/>
  <c r="Q110" i="50"/>
  <c r="R110" i="50"/>
  <c r="S110" i="50"/>
  <c r="T110" i="50"/>
  <c r="U110" i="50"/>
  <c r="V110" i="50"/>
  <c r="W110" i="50"/>
  <c r="X110" i="50"/>
  <c r="Y110" i="50"/>
  <c r="G111" i="50"/>
  <c r="H111" i="50"/>
  <c r="I111" i="50"/>
  <c r="J111" i="50"/>
  <c r="K111" i="50"/>
  <c r="L111" i="50"/>
  <c r="M111" i="50"/>
  <c r="N111" i="50"/>
  <c r="O111" i="50"/>
  <c r="P111" i="50"/>
  <c r="Q111" i="50"/>
  <c r="R111" i="50"/>
  <c r="S111" i="50"/>
  <c r="T111" i="50"/>
  <c r="U111" i="50"/>
  <c r="V111" i="50"/>
  <c r="W111" i="50"/>
  <c r="X111" i="50"/>
  <c r="Y111" i="50"/>
  <c r="G112" i="50"/>
  <c r="H112" i="50"/>
  <c r="I112" i="50"/>
  <c r="J112" i="50"/>
  <c r="K112" i="50"/>
  <c r="L112" i="50"/>
  <c r="N112" i="50"/>
  <c r="O112" i="50"/>
  <c r="P112" i="50"/>
  <c r="Q112" i="50"/>
  <c r="R112" i="50"/>
  <c r="S112" i="50"/>
  <c r="T112" i="50"/>
  <c r="U112" i="50"/>
  <c r="V112" i="50"/>
  <c r="W112" i="50"/>
  <c r="X112" i="50"/>
  <c r="Y112" i="50"/>
  <c r="G110" i="51"/>
  <c r="H110" i="51"/>
  <c r="I110" i="51"/>
  <c r="J110" i="51"/>
  <c r="K110" i="51"/>
  <c r="L110" i="51"/>
  <c r="M110" i="51"/>
  <c r="N110" i="51"/>
  <c r="O110" i="51"/>
  <c r="P110" i="51"/>
  <c r="Q110" i="51"/>
  <c r="R110" i="51"/>
  <c r="S110" i="51"/>
  <c r="T110" i="51"/>
  <c r="U110" i="51"/>
  <c r="V110" i="51"/>
  <c r="W110" i="51"/>
  <c r="X110" i="51"/>
  <c r="Y110" i="51"/>
  <c r="G111" i="51"/>
  <c r="H111" i="51"/>
  <c r="I111" i="51"/>
  <c r="J111" i="51"/>
  <c r="K111" i="51"/>
  <c r="L111" i="51"/>
  <c r="M111" i="51"/>
  <c r="N111" i="51"/>
  <c r="O111" i="51"/>
  <c r="P111" i="51"/>
  <c r="Q111" i="51"/>
  <c r="R111" i="51"/>
  <c r="S111" i="51"/>
  <c r="T111" i="51"/>
  <c r="U111" i="51"/>
  <c r="V111" i="51"/>
  <c r="W111" i="51"/>
  <c r="X111" i="51"/>
  <c r="Y111" i="51"/>
  <c r="G112" i="51"/>
  <c r="H112" i="51"/>
  <c r="I112" i="51"/>
  <c r="J112" i="51"/>
  <c r="K112" i="51"/>
  <c r="L112" i="51"/>
  <c r="N112" i="51"/>
  <c r="O112" i="51"/>
  <c r="P112" i="51"/>
  <c r="Q112" i="51"/>
  <c r="R112" i="51"/>
  <c r="S112" i="51"/>
  <c r="T112" i="51"/>
  <c r="U112" i="51"/>
  <c r="V112" i="51"/>
  <c r="W112" i="51"/>
  <c r="X112" i="51"/>
  <c r="Y112" i="51"/>
  <c r="G110" i="52"/>
  <c r="H110" i="52"/>
  <c r="I110" i="52"/>
  <c r="J110" i="52"/>
  <c r="K110" i="52"/>
  <c r="L110" i="52"/>
  <c r="M110" i="52"/>
  <c r="N110" i="52"/>
  <c r="O110" i="52"/>
  <c r="P110" i="52"/>
  <c r="Q110" i="52"/>
  <c r="R110" i="52"/>
  <c r="S110" i="52"/>
  <c r="T110" i="52"/>
  <c r="U110" i="52"/>
  <c r="V110" i="52"/>
  <c r="W110" i="52"/>
  <c r="X110" i="52"/>
  <c r="Y110" i="52"/>
  <c r="G111" i="52"/>
  <c r="H111" i="52"/>
  <c r="I111" i="52"/>
  <c r="J111" i="52"/>
  <c r="K111" i="52"/>
  <c r="L111" i="52"/>
  <c r="M111" i="52"/>
  <c r="N111" i="52"/>
  <c r="O111" i="52"/>
  <c r="P111" i="52"/>
  <c r="Q111" i="52"/>
  <c r="R111" i="52"/>
  <c r="S111" i="52"/>
  <c r="T111" i="52"/>
  <c r="U111" i="52"/>
  <c r="V111" i="52"/>
  <c r="W111" i="52"/>
  <c r="X111" i="52"/>
  <c r="Y111" i="52"/>
  <c r="G112" i="52"/>
  <c r="H112" i="52"/>
  <c r="I112" i="52"/>
  <c r="J112" i="52"/>
  <c r="K112" i="52"/>
  <c r="L112" i="52"/>
  <c r="N112" i="52"/>
  <c r="O112" i="52"/>
  <c r="P112" i="52"/>
  <c r="Q112" i="52"/>
  <c r="R112" i="52"/>
  <c r="S112" i="52"/>
  <c r="T112" i="52"/>
  <c r="U112" i="52"/>
  <c r="V112" i="52"/>
  <c r="W112" i="52"/>
  <c r="X112" i="52"/>
  <c r="Y112" i="52"/>
  <c r="G110" i="53"/>
  <c r="H110" i="53"/>
  <c r="I110" i="53"/>
  <c r="J110" i="53"/>
  <c r="K110" i="53"/>
  <c r="L110" i="53"/>
  <c r="M110" i="53"/>
  <c r="N110" i="53"/>
  <c r="O110" i="53"/>
  <c r="P110" i="53"/>
  <c r="Q110" i="53"/>
  <c r="R110" i="53"/>
  <c r="S110" i="53"/>
  <c r="T110" i="53"/>
  <c r="U110" i="53"/>
  <c r="V110" i="53"/>
  <c r="W110" i="53"/>
  <c r="X110" i="53"/>
  <c r="Y110" i="53"/>
  <c r="G111" i="53"/>
  <c r="H111" i="53"/>
  <c r="I111" i="53"/>
  <c r="J111" i="53"/>
  <c r="K111" i="53"/>
  <c r="L111" i="53"/>
  <c r="M111" i="53"/>
  <c r="N111" i="53"/>
  <c r="O111" i="53"/>
  <c r="P111" i="53"/>
  <c r="Q111" i="53"/>
  <c r="R111" i="53"/>
  <c r="S111" i="53"/>
  <c r="T111" i="53"/>
  <c r="U111" i="53"/>
  <c r="V111" i="53"/>
  <c r="W111" i="53"/>
  <c r="X111" i="53"/>
  <c r="Y111" i="53"/>
  <c r="G112" i="53"/>
  <c r="H112" i="53"/>
  <c r="I112" i="53"/>
  <c r="J112" i="53"/>
  <c r="K112" i="53"/>
  <c r="L112" i="53"/>
  <c r="N112" i="53"/>
  <c r="O112" i="53"/>
  <c r="P112" i="53"/>
  <c r="Q112" i="53"/>
  <c r="R112" i="53"/>
  <c r="S112" i="53"/>
  <c r="T112" i="53"/>
  <c r="U112" i="53"/>
  <c r="V112" i="53"/>
  <c r="W112" i="53"/>
  <c r="X112" i="53"/>
  <c r="Y112" i="53"/>
  <c r="G110" i="54"/>
  <c r="H110" i="54"/>
  <c r="I110" i="54"/>
  <c r="J110" i="54"/>
  <c r="K110" i="54"/>
  <c r="L110" i="54"/>
  <c r="M110" i="54"/>
  <c r="N110" i="54"/>
  <c r="O110" i="54"/>
  <c r="P110" i="54"/>
  <c r="Q110" i="54"/>
  <c r="R110" i="54"/>
  <c r="S110" i="54"/>
  <c r="T110" i="54"/>
  <c r="U110" i="54"/>
  <c r="V110" i="54"/>
  <c r="W110" i="54"/>
  <c r="X110" i="54"/>
  <c r="Y110" i="54"/>
  <c r="G111" i="54"/>
  <c r="H111" i="54"/>
  <c r="I111" i="54"/>
  <c r="J111" i="54"/>
  <c r="K111" i="54"/>
  <c r="L111" i="54"/>
  <c r="M111" i="54"/>
  <c r="N111" i="54"/>
  <c r="O111" i="54"/>
  <c r="P111" i="54"/>
  <c r="Q111" i="54"/>
  <c r="R111" i="54"/>
  <c r="S111" i="54"/>
  <c r="T111" i="54"/>
  <c r="U111" i="54"/>
  <c r="V111" i="54"/>
  <c r="W111" i="54"/>
  <c r="X111" i="54"/>
  <c r="Y111" i="54"/>
  <c r="G112" i="54"/>
  <c r="H112" i="54"/>
  <c r="I112" i="54"/>
  <c r="J112" i="54"/>
  <c r="K112" i="54"/>
  <c r="L112" i="54"/>
  <c r="N112" i="54"/>
  <c r="O112" i="54"/>
  <c r="P112" i="54"/>
  <c r="Q112" i="54"/>
  <c r="R112" i="54"/>
  <c r="S112" i="54"/>
  <c r="T112" i="54"/>
  <c r="U112" i="54"/>
  <c r="V112" i="54"/>
  <c r="W112" i="54"/>
  <c r="X112" i="54"/>
  <c r="Y112" i="54"/>
  <c r="G110" i="56"/>
  <c r="H110" i="56"/>
  <c r="I110" i="56"/>
  <c r="J110" i="56"/>
  <c r="K110" i="56"/>
  <c r="L110" i="56"/>
  <c r="M110" i="56"/>
  <c r="N110" i="56"/>
  <c r="O110" i="56"/>
  <c r="P110" i="56"/>
  <c r="Q110" i="56"/>
  <c r="R110" i="56"/>
  <c r="S110" i="56"/>
  <c r="T110" i="56"/>
  <c r="U110" i="56"/>
  <c r="V110" i="56"/>
  <c r="W110" i="56"/>
  <c r="X110" i="56"/>
  <c r="Y110" i="56"/>
  <c r="G111" i="56"/>
  <c r="H111" i="56"/>
  <c r="I111" i="56"/>
  <c r="J111" i="56"/>
  <c r="K111" i="56"/>
  <c r="L111" i="56"/>
  <c r="M111" i="56"/>
  <c r="N111" i="56"/>
  <c r="O111" i="56"/>
  <c r="P111" i="56"/>
  <c r="Q111" i="56"/>
  <c r="R111" i="56"/>
  <c r="S111" i="56"/>
  <c r="T111" i="56"/>
  <c r="U111" i="56"/>
  <c r="V111" i="56"/>
  <c r="W111" i="56"/>
  <c r="X111" i="56"/>
  <c r="Y111" i="56"/>
  <c r="G112" i="56"/>
  <c r="H112" i="56"/>
  <c r="I112" i="56"/>
  <c r="J112" i="56"/>
  <c r="K112" i="56"/>
  <c r="L112" i="56"/>
  <c r="N112" i="56"/>
  <c r="O112" i="56"/>
  <c r="P112" i="56"/>
  <c r="Q112" i="56"/>
  <c r="R112" i="56"/>
  <c r="S112" i="56"/>
  <c r="T112" i="56"/>
  <c r="U112" i="56"/>
  <c r="V112" i="56"/>
  <c r="W112" i="56"/>
  <c r="X112" i="56"/>
  <c r="Y112" i="56"/>
  <c r="G110" i="55"/>
  <c r="H110" i="55"/>
  <c r="I110" i="55"/>
  <c r="J110" i="55"/>
  <c r="K110" i="55"/>
  <c r="L110" i="55"/>
  <c r="M110" i="55"/>
  <c r="N110" i="55"/>
  <c r="O110" i="55"/>
  <c r="P110" i="55"/>
  <c r="Q110" i="55"/>
  <c r="R110" i="55"/>
  <c r="S110" i="55"/>
  <c r="T110" i="55"/>
  <c r="U110" i="55"/>
  <c r="V110" i="55"/>
  <c r="W110" i="55"/>
  <c r="X110" i="55"/>
  <c r="Y110" i="55"/>
  <c r="G111" i="55"/>
  <c r="H111" i="55"/>
  <c r="I111" i="55"/>
  <c r="J111" i="55"/>
  <c r="K111" i="55"/>
  <c r="L111" i="55"/>
  <c r="M111" i="55"/>
  <c r="N111" i="55"/>
  <c r="O111" i="55"/>
  <c r="P111" i="55"/>
  <c r="Q111" i="55"/>
  <c r="R111" i="55"/>
  <c r="S111" i="55"/>
  <c r="T111" i="55"/>
  <c r="U111" i="55"/>
  <c r="V111" i="55"/>
  <c r="W111" i="55"/>
  <c r="X111" i="55"/>
  <c r="Y111" i="55"/>
  <c r="G112" i="55"/>
  <c r="H112" i="55"/>
  <c r="I112" i="55"/>
  <c r="J112" i="55"/>
  <c r="K112" i="55"/>
  <c r="L112" i="55"/>
  <c r="N112" i="55"/>
  <c r="O112" i="55"/>
  <c r="P112" i="55"/>
  <c r="Q112" i="55"/>
  <c r="R112" i="55"/>
  <c r="S112" i="55"/>
  <c r="T112" i="55"/>
  <c r="U112" i="55"/>
  <c r="V112" i="55"/>
  <c r="W112" i="55"/>
  <c r="X112" i="55"/>
  <c r="Y112" i="55"/>
  <c r="G110" i="57"/>
  <c r="H110" i="57"/>
  <c r="I110" i="57"/>
  <c r="J110" i="57"/>
  <c r="K110" i="57"/>
  <c r="L110" i="57"/>
  <c r="M110" i="57"/>
  <c r="N110" i="57"/>
  <c r="O110" i="57"/>
  <c r="P110" i="57"/>
  <c r="Q110" i="57"/>
  <c r="R110" i="57"/>
  <c r="S110" i="57"/>
  <c r="T110" i="57"/>
  <c r="U110" i="57"/>
  <c r="V110" i="57"/>
  <c r="W110" i="57"/>
  <c r="X110" i="57"/>
  <c r="Y110" i="57"/>
  <c r="G111" i="57"/>
  <c r="H111" i="57"/>
  <c r="I111" i="57"/>
  <c r="J111" i="57"/>
  <c r="K111" i="57"/>
  <c r="L111" i="57"/>
  <c r="M111" i="57"/>
  <c r="N111" i="57"/>
  <c r="O111" i="57"/>
  <c r="P111" i="57"/>
  <c r="Q111" i="57"/>
  <c r="R111" i="57"/>
  <c r="S111" i="57"/>
  <c r="T111" i="57"/>
  <c r="U111" i="57"/>
  <c r="V111" i="57"/>
  <c r="W111" i="57"/>
  <c r="X111" i="57"/>
  <c r="Y111" i="57"/>
  <c r="G112" i="57"/>
  <c r="H112" i="57"/>
  <c r="I112" i="57"/>
  <c r="J112" i="57"/>
  <c r="K112" i="57"/>
  <c r="L112" i="57"/>
  <c r="N112" i="57"/>
  <c r="O112" i="57"/>
  <c r="P112" i="57"/>
  <c r="Q112" i="57"/>
  <c r="R112" i="57"/>
  <c r="S112" i="57"/>
  <c r="T112" i="57"/>
  <c r="U112" i="57"/>
  <c r="V112" i="57"/>
  <c r="W112" i="57"/>
  <c r="X112" i="57"/>
  <c r="Y112" i="57"/>
  <c r="F111" i="38"/>
  <c r="F111" i="50"/>
  <c r="F111" i="51"/>
  <c r="F111" i="52"/>
  <c r="F111" i="53"/>
  <c r="F111" i="54"/>
  <c r="F111" i="56"/>
  <c r="F111" i="55"/>
  <c r="F111" i="57"/>
  <c r="F110" i="38"/>
  <c r="F110" i="50"/>
  <c r="F110" i="51"/>
  <c r="F110" i="52"/>
  <c r="F110" i="53"/>
  <c r="F110" i="54"/>
  <c r="F110" i="56"/>
  <c r="F110" i="55"/>
  <c r="F110" i="57"/>
  <c r="F112" i="38"/>
  <c r="F112" i="50"/>
  <c r="F112" i="51"/>
  <c r="F112" i="52"/>
  <c r="F112" i="53"/>
  <c r="F112" i="54"/>
  <c r="F112" i="56"/>
  <c r="F112" i="55"/>
  <c r="F114" i="55" s="1"/>
  <c r="F112" i="57"/>
  <c r="F114" i="57" s="1"/>
  <c r="Z11" i="38"/>
  <c r="Z12" i="38"/>
  <c r="Z13" i="38"/>
  <c r="Z14" i="38"/>
  <c r="Z15" i="38"/>
  <c r="Z16" i="38"/>
  <c r="Z17" i="38"/>
  <c r="Z18" i="38"/>
  <c r="Z19" i="38"/>
  <c r="Z20" i="38"/>
  <c r="Z21" i="38"/>
  <c r="Z22" i="38"/>
  <c r="Z23" i="38"/>
  <c r="Z24" i="38"/>
  <c r="Z25" i="38"/>
  <c r="Z26" i="38"/>
  <c r="Z27" i="38"/>
  <c r="Z28" i="38"/>
  <c r="Z29" i="38"/>
  <c r="Z30" i="38"/>
  <c r="Z31" i="38"/>
  <c r="Z32" i="38"/>
  <c r="Z33" i="38"/>
  <c r="Z34" i="38"/>
  <c r="Z35" i="38"/>
  <c r="Z36" i="38"/>
  <c r="Z37" i="38"/>
  <c r="Z38" i="38"/>
  <c r="Z39" i="38"/>
  <c r="Z40" i="38"/>
  <c r="Z41" i="38"/>
  <c r="Z42" i="38"/>
  <c r="Z43" i="38"/>
  <c r="Z44" i="38"/>
  <c r="Z45" i="38"/>
  <c r="Z46" i="38"/>
  <c r="Z47" i="38"/>
  <c r="Z48" i="38"/>
  <c r="Z49" i="38"/>
  <c r="Z50" i="38"/>
  <c r="Z51" i="38"/>
  <c r="Z52" i="38"/>
  <c r="Z53" i="38"/>
  <c r="Z54" i="38"/>
  <c r="Z55" i="38"/>
  <c r="Z56" i="38"/>
  <c r="Z57" i="38"/>
  <c r="Z58" i="38"/>
  <c r="Z59" i="38"/>
  <c r="Z60" i="38"/>
  <c r="Z61" i="38"/>
  <c r="Z62" i="38"/>
  <c r="Z63" i="38"/>
  <c r="Z64" i="38"/>
  <c r="Z65" i="38"/>
  <c r="Z66" i="38"/>
  <c r="Z67" i="38"/>
  <c r="Z68" i="38"/>
  <c r="Z69" i="38"/>
  <c r="Z70" i="38"/>
  <c r="Z71" i="38"/>
  <c r="Z72" i="38"/>
  <c r="Z73" i="38"/>
  <c r="Z74" i="38"/>
  <c r="Z75" i="38"/>
  <c r="Z76" i="38"/>
  <c r="Z77" i="38"/>
  <c r="Z78" i="38"/>
  <c r="Z79" i="38"/>
  <c r="Z80" i="38"/>
  <c r="Z81" i="38"/>
  <c r="Z82" i="38"/>
  <c r="Z83" i="38"/>
  <c r="Z84" i="38"/>
  <c r="Z85" i="38"/>
  <c r="Z86" i="38"/>
  <c r="Z87" i="38"/>
  <c r="Z88" i="38"/>
  <c r="Z89" i="38"/>
  <c r="Z90" i="38"/>
  <c r="Z91" i="38"/>
  <c r="Z92" i="38"/>
  <c r="Z93" i="38"/>
  <c r="Z94" i="38"/>
  <c r="Z95" i="38"/>
  <c r="Z96" i="38"/>
  <c r="Z97" i="38"/>
  <c r="Z98" i="38"/>
  <c r="Z99" i="38"/>
  <c r="Z100" i="38"/>
  <c r="Z101" i="38"/>
  <c r="Z102" i="38"/>
  <c r="Z103" i="38"/>
  <c r="Z104" i="38"/>
  <c r="Z105" i="38"/>
  <c r="Z106" i="38"/>
  <c r="Z107" i="38"/>
  <c r="Z108" i="38"/>
  <c r="Z109" i="38"/>
  <c r="Z11" i="50"/>
  <c r="Z12" i="50"/>
  <c r="Z13" i="50"/>
  <c r="Z14" i="50"/>
  <c r="Z15" i="50"/>
  <c r="Z16" i="50"/>
  <c r="Z17" i="50"/>
  <c r="Z18" i="50"/>
  <c r="Z19" i="50"/>
  <c r="Z20" i="50"/>
  <c r="Z21" i="50"/>
  <c r="Z22" i="50"/>
  <c r="Z23" i="50"/>
  <c r="Z24" i="50"/>
  <c r="Z25" i="50"/>
  <c r="Z26" i="50"/>
  <c r="Z27" i="50"/>
  <c r="Z28" i="50"/>
  <c r="Z29" i="50"/>
  <c r="Z30" i="50"/>
  <c r="Z31" i="50"/>
  <c r="Z32" i="50"/>
  <c r="Z33" i="50"/>
  <c r="Z34" i="50"/>
  <c r="Z35" i="50"/>
  <c r="Z36" i="50"/>
  <c r="Z37" i="50"/>
  <c r="Z38" i="50"/>
  <c r="Z39" i="50"/>
  <c r="Z40" i="50"/>
  <c r="Z41" i="50"/>
  <c r="Z42" i="50"/>
  <c r="Z43" i="50"/>
  <c r="Z44" i="50"/>
  <c r="Z45" i="50"/>
  <c r="Z46" i="50"/>
  <c r="Z47" i="50"/>
  <c r="Z48" i="50"/>
  <c r="Z49" i="50"/>
  <c r="Z50" i="50"/>
  <c r="Z51" i="50"/>
  <c r="Z52" i="50"/>
  <c r="Z53" i="50"/>
  <c r="Z54" i="50"/>
  <c r="Z55" i="50"/>
  <c r="Z56" i="50"/>
  <c r="Z57" i="50"/>
  <c r="Z58" i="50"/>
  <c r="Z59" i="50"/>
  <c r="Z60" i="50"/>
  <c r="Z61" i="50"/>
  <c r="Z62" i="50"/>
  <c r="Z63" i="50"/>
  <c r="Z64" i="50"/>
  <c r="Z65" i="50"/>
  <c r="Z66" i="50"/>
  <c r="Z67" i="50"/>
  <c r="Z68" i="50"/>
  <c r="Z69" i="50"/>
  <c r="Z70" i="50"/>
  <c r="Z71" i="50"/>
  <c r="Z72" i="50"/>
  <c r="Z73" i="50"/>
  <c r="Z74" i="50"/>
  <c r="Z75" i="50"/>
  <c r="Z76" i="50"/>
  <c r="Z77" i="50"/>
  <c r="Z78" i="50"/>
  <c r="Z79" i="50"/>
  <c r="Z80" i="50"/>
  <c r="Z81" i="50"/>
  <c r="Z82" i="50"/>
  <c r="Z83" i="50"/>
  <c r="Z84" i="50"/>
  <c r="Z85" i="50"/>
  <c r="Z86" i="50"/>
  <c r="Z87" i="50"/>
  <c r="Z88" i="50"/>
  <c r="Z89" i="50"/>
  <c r="Z90" i="50"/>
  <c r="Z91" i="50"/>
  <c r="Z92" i="50"/>
  <c r="Z93" i="50"/>
  <c r="Z94" i="50"/>
  <c r="Z95" i="50"/>
  <c r="Z96" i="50"/>
  <c r="Z97" i="50"/>
  <c r="Z98" i="50"/>
  <c r="Z99" i="50"/>
  <c r="Z100" i="50"/>
  <c r="Z101" i="50"/>
  <c r="Z102" i="50"/>
  <c r="Z103" i="50"/>
  <c r="Z104" i="50"/>
  <c r="Z105" i="50"/>
  <c r="Z106" i="50"/>
  <c r="Z107" i="50"/>
  <c r="Z108" i="50"/>
  <c r="Z109" i="50"/>
  <c r="Z11" i="51"/>
  <c r="Z12" i="51"/>
  <c r="Z13" i="51"/>
  <c r="Z14" i="51"/>
  <c r="Z15" i="51"/>
  <c r="Z16" i="51"/>
  <c r="Z17" i="51"/>
  <c r="Z18" i="51"/>
  <c r="Z19" i="51"/>
  <c r="Z20" i="51"/>
  <c r="Z21" i="51"/>
  <c r="Z22" i="51"/>
  <c r="Z23" i="51"/>
  <c r="Z24" i="51"/>
  <c r="Z25" i="51"/>
  <c r="Z26" i="51"/>
  <c r="Z27" i="51"/>
  <c r="Z28" i="51"/>
  <c r="Z29" i="51"/>
  <c r="Z30" i="51"/>
  <c r="Z31" i="51"/>
  <c r="Z32" i="51"/>
  <c r="Z33" i="51"/>
  <c r="Z34" i="51"/>
  <c r="Z35" i="51"/>
  <c r="Z36" i="51"/>
  <c r="Z37" i="51"/>
  <c r="Z38" i="51"/>
  <c r="Z39" i="51"/>
  <c r="Z40" i="51"/>
  <c r="Z41" i="51"/>
  <c r="Z42" i="51"/>
  <c r="Z43" i="51"/>
  <c r="Z44" i="51"/>
  <c r="Z45" i="51"/>
  <c r="Z46" i="51"/>
  <c r="Z47" i="51"/>
  <c r="Z48" i="51"/>
  <c r="Z49" i="51"/>
  <c r="Z50" i="51"/>
  <c r="Z51" i="51"/>
  <c r="Z52" i="51"/>
  <c r="Z53" i="51"/>
  <c r="Z54" i="51"/>
  <c r="Z55" i="51"/>
  <c r="Z56" i="51"/>
  <c r="Z57" i="51"/>
  <c r="Z58" i="51"/>
  <c r="Z59" i="51"/>
  <c r="Z60" i="51"/>
  <c r="Z61" i="51"/>
  <c r="Z62" i="51"/>
  <c r="Z63" i="51"/>
  <c r="Z64" i="51"/>
  <c r="Z65" i="51"/>
  <c r="Z66" i="51"/>
  <c r="Z67" i="51"/>
  <c r="Z68" i="51"/>
  <c r="Z69" i="51"/>
  <c r="Z70" i="51"/>
  <c r="Z71" i="51"/>
  <c r="Z72" i="51"/>
  <c r="Z73" i="51"/>
  <c r="Z74" i="51"/>
  <c r="Z75" i="51"/>
  <c r="Z76" i="51"/>
  <c r="Z77" i="51"/>
  <c r="Z78" i="51"/>
  <c r="Z79" i="51"/>
  <c r="Z80" i="51"/>
  <c r="Z81" i="51"/>
  <c r="Z82" i="51"/>
  <c r="Z83" i="51"/>
  <c r="Z84" i="51"/>
  <c r="Z85" i="51"/>
  <c r="Z86" i="51"/>
  <c r="Z87" i="51"/>
  <c r="Z88" i="51"/>
  <c r="Z89" i="51"/>
  <c r="Z90" i="51"/>
  <c r="Z91" i="51"/>
  <c r="Z92" i="51"/>
  <c r="Z93" i="51"/>
  <c r="Z94" i="51"/>
  <c r="Z95" i="51"/>
  <c r="Z96" i="51"/>
  <c r="Z97" i="51"/>
  <c r="Z98" i="51"/>
  <c r="Z99" i="51"/>
  <c r="Z100" i="51"/>
  <c r="Z101" i="51"/>
  <c r="Z102" i="51"/>
  <c r="Z103" i="51"/>
  <c r="Z104" i="51"/>
  <c r="Z105" i="51"/>
  <c r="Z106" i="51"/>
  <c r="Z107" i="51"/>
  <c r="Z108" i="51"/>
  <c r="Z109" i="51"/>
  <c r="Z11" i="52"/>
  <c r="Z12" i="52"/>
  <c r="Z13" i="52"/>
  <c r="Z14" i="52"/>
  <c r="Z15" i="52"/>
  <c r="Z16" i="52"/>
  <c r="Z17" i="52"/>
  <c r="Z18" i="52"/>
  <c r="Z19" i="52"/>
  <c r="Z20" i="52"/>
  <c r="Z21" i="52"/>
  <c r="Z22" i="52"/>
  <c r="Z23" i="52"/>
  <c r="Z24" i="52"/>
  <c r="Z25" i="52"/>
  <c r="Z26" i="52"/>
  <c r="Z27" i="52"/>
  <c r="Z28" i="52"/>
  <c r="Z29" i="52"/>
  <c r="Z30" i="52"/>
  <c r="Z31" i="52"/>
  <c r="Z32" i="52"/>
  <c r="Z33" i="52"/>
  <c r="Z34" i="52"/>
  <c r="Z35" i="52"/>
  <c r="Z36" i="52"/>
  <c r="Z37" i="52"/>
  <c r="Z38" i="52"/>
  <c r="Z39" i="52"/>
  <c r="Z40" i="52"/>
  <c r="Z41" i="52"/>
  <c r="Z42" i="52"/>
  <c r="Z43" i="52"/>
  <c r="Z44" i="52"/>
  <c r="Z45" i="52"/>
  <c r="Z46" i="52"/>
  <c r="Z47" i="52"/>
  <c r="Z48" i="52"/>
  <c r="Z49" i="52"/>
  <c r="Z50" i="52"/>
  <c r="Z51" i="52"/>
  <c r="Z52" i="52"/>
  <c r="Z53" i="52"/>
  <c r="Z54" i="52"/>
  <c r="Z55" i="52"/>
  <c r="Z56" i="52"/>
  <c r="Z57" i="52"/>
  <c r="Z58" i="52"/>
  <c r="Z59" i="52"/>
  <c r="Z60" i="52"/>
  <c r="Z61" i="52"/>
  <c r="Z62" i="52"/>
  <c r="Z63" i="52"/>
  <c r="Z64" i="52"/>
  <c r="Z65" i="52"/>
  <c r="Z66" i="52"/>
  <c r="Z67" i="52"/>
  <c r="Z68" i="52"/>
  <c r="Z69" i="52"/>
  <c r="Z70" i="52"/>
  <c r="Z71" i="52"/>
  <c r="Z72" i="52"/>
  <c r="Z73" i="52"/>
  <c r="Z74" i="52"/>
  <c r="Z75" i="52"/>
  <c r="Z76" i="52"/>
  <c r="Z77" i="52"/>
  <c r="Z78" i="52"/>
  <c r="Z79" i="52"/>
  <c r="Z80" i="52"/>
  <c r="Z81" i="52"/>
  <c r="Z82" i="52"/>
  <c r="Z83" i="52"/>
  <c r="Z84" i="52"/>
  <c r="Z85" i="52"/>
  <c r="Z86" i="52"/>
  <c r="Z87" i="52"/>
  <c r="Z88" i="52"/>
  <c r="Z89" i="52"/>
  <c r="Z90" i="52"/>
  <c r="Z91" i="52"/>
  <c r="Z92" i="52"/>
  <c r="Z93" i="52"/>
  <c r="Z94" i="52"/>
  <c r="Z95" i="52"/>
  <c r="Z96" i="52"/>
  <c r="Z97" i="52"/>
  <c r="Z98" i="52"/>
  <c r="Z99" i="52"/>
  <c r="Z100" i="52"/>
  <c r="Z101" i="52"/>
  <c r="Z102" i="52"/>
  <c r="Z103" i="52"/>
  <c r="Z104" i="52"/>
  <c r="Z105" i="52"/>
  <c r="Z106" i="52"/>
  <c r="Z107" i="52"/>
  <c r="Z108" i="52"/>
  <c r="Z109" i="52"/>
  <c r="Z11" i="53"/>
  <c r="Z12" i="53"/>
  <c r="Z13" i="53"/>
  <c r="Z14" i="53"/>
  <c r="Z15" i="53"/>
  <c r="Z16" i="53"/>
  <c r="Z17" i="53"/>
  <c r="Z18" i="53"/>
  <c r="Z19" i="53"/>
  <c r="Z20" i="53"/>
  <c r="Z21" i="53"/>
  <c r="Z22" i="53"/>
  <c r="Z23" i="53"/>
  <c r="Z24" i="53"/>
  <c r="Z25" i="53"/>
  <c r="Z26" i="53"/>
  <c r="Z27" i="53"/>
  <c r="Z28" i="53"/>
  <c r="Z29" i="53"/>
  <c r="Z30" i="53"/>
  <c r="Z31" i="53"/>
  <c r="Z32" i="53"/>
  <c r="Z33" i="53"/>
  <c r="Z34" i="53"/>
  <c r="Z35" i="53"/>
  <c r="Z36" i="53"/>
  <c r="Z37" i="53"/>
  <c r="Z38" i="53"/>
  <c r="Z39" i="53"/>
  <c r="Z40" i="53"/>
  <c r="Z41" i="53"/>
  <c r="Z42" i="53"/>
  <c r="Z43" i="53"/>
  <c r="Z44" i="53"/>
  <c r="Z45" i="53"/>
  <c r="Z46" i="53"/>
  <c r="Z47" i="53"/>
  <c r="Z48" i="53"/>
  <c r="Z49" i="53"/>
  <c r="Z50" i="53"/>
  <c r="Z51" i="53"/>
  <c r="Z52" i="53"/>
  <c r="Z53" i="53"/>
  <c r="Z54" i="53"/>
  <c r="Z55" i="53"/>
  <c r="Z56" i="53"/>
  <c r="Z57" i="53"/>
  <c r="Z58" i="53"/>
  <c r="Z59" i="53"/>
  <c r="Z60" i="53"/>
  <c r="Z61" i="53"/>
  <c r="Z62" i="53"/>
  <c r="Z63" i="53"/>
  <c r="Z64" i="53"/>
  <c r="Z65" i="53"/>
  <c r="Z66" i="53"/>
  <c r="Z67" i="53"/>
  <c r="Z68" i="53"/>
  <c r="Z69" i="53"/>
  <c r="Z70" i="53"/>
  <c r="Z71" i="53"/>
  <c r="Z72" i="53"/>
  <c r="Z73" i="53"/>
  <c r="Z74" i="53"/>
  <c r="Z75" i="53"/>
  <c r="Z76" i="53"/>
  <c r="Z77" i="53"/>
  <c r="Z78" i="53"/>
  <c r="Z79" i="53"/>
  <c r="Z80" i="53"/>
  <c r="Z81" i="53"/>
  <c r="Z82" i="53"/>
  <c r="Z83" i="53"/>
  <c r="Z84" i="53"/>
  <c r="Z85" i="53"/>
  <c r="Z86" i="53"/>
  <c r="Z87" i="53"/>
  <c r="Z88" i="53"/>
  <c r="Z89" i="53"/>
  <c r="Z90" i="53"/>
  <c r="Z91" i="53"/>
  <c r="Z92" i="53"/>
  <c r="Z93" i="53"/>
  <c r="Z94" i="53"/>
  <c r="Z95" i="53"/>
  <c r="Z96" i="53"/>
  <c r="Z97" i="53"/>
  <c r="Z98" i="53"/>
  <c r="Z99" i="53"/>
  <c r="Z100" i="53"/>
  <c r="Z101" i="53"/>
  <c r="Z102" i="53"/>
  <c r="Z103" i="53"/>
  <c r="Z104" i="53"/>
  <c r="Z105" i="53"/>
  <c r="Z106" i="53"/>
  <c r="Z107" i="53"/>
  <c r="Z108" i="53"/>
  <c r="Z109" i="53"/>
  <c r="Z11" i="54"/>
  <c r="Z12" i="54"/>
  <c r="Z13" i="54"/>
  <c r="Z14" i="54"/>
  <c r="Z15" i="54"/>
  <c r="Z16" i="54"/>
  <c r="Z17" i="54"/>
  <c r="Z18" i="54"/>
  <c r="Z19" i="54"/>
  <c r="Z20" i="54"/>
  <c r="Z21" i="54"/>
  <c r="Z22" i="54"/>
  <c r="Z23" i="54"/>
  <c r="Z24" i="54"/>
  <c r="Z25" i="54"/>
  <c r="Z26" i="54"/>
  <c r="Z27" i="54"/>
  <c r="Z28" i="54"/>
  <c r="Z29" i="54"/>
  <c r="Z30" i="54"/>
  <c r="Z31" i="54"/>
  <c r="Z32" i="54"/>
  <c r="Z33" i="54"/>
  <c r="Z34" i="54"/>
  <c r="Z35" i="54"/>
  <c r="Z36" i="54"/>
  <c r="Z37" i="54"/>
  <c r="Z38" i="54"/>
  <c r="Z39" i="54"/>
  <c r="Z40" i="54"/>
  <c r="Z41" i="54"/>
  <c r="Z42" i="54"/>
  <c r="Z43" i="54"/>
  <c r="Z44" i="54"/>
  <c r="Z45" i="54"/>
  <c r="Z46" i="54"/>
  <c r="Z47" i="54"/>
  <c r="Z48" i="54"/>
  <c r="Z49" i="54"/>
  <c r="Z50" i="54"/>
  <c r="Z51" i="54"/>
  <c r="Z52" i="54"/>
  <c r="Z53" i="54"/>
  <c r="Z54" i="54"/>
  <c r="Z55" i="54"/>
  <c r="Z56" i="54"/>
  <c r="Z57" i="54"/>
  <c r="Z58" i="54"/>
  <c r="Z59" i="54"/>
  <c r="Z60" i="54"/>
  <c r="Z61" i="54"/>
  <c r="Z62" i="54"/>
  <c r="Z63" i="54"/>
  <c r="Z64" i="54"/>
  <c r="Z65" i="54"/>
  <c r="Z66" i="54"/>
  <c r="Z67" i="54"/>
  <c r="Z68" i="54"/>
  <c r="Z69" i="54"/>
  <c r="Z70" i="54"/>
  <c r="Z71" i="54"/>
  <c r="Z72" i="54"/>
  <c r="Z73" i="54"/>
  <c r="Z74" i="54"/>
  <c r="Z75" i="54"/>
  <c r="Z76" i="54"/>
  <c r="Z77" i="54"/>
  <c r="Z78" i="54"/>
  <c r="Z79" i="54"/>
  <c r="Z80" i="54"/>
  <c r="Z81" i="54"/>
  <c r="Z82" i="54"/>
  <c r="Z83" i="54"/>
  <c r="Z84" i="54"/>
  <c r="Z85" i="54"/>
  <c r="Z86" i="54"/>
  <c r="Z87" i="54"/>
  <c r="Z88" i="54"/>
  <c r="Z89" i="54"/>
  <c r="Z90" i="54"/>
  <c r="Z91" i="54"/>
  <c r="Z92" i="54"/>
  <c r="Z93" i="54"/>
  <c r="Z94" i="54"/>
  <c r="Z95" i="54"/>
  <c r="Z96" i="54"/>
  <c r="Z97" i="54"/>
  <c r="Z98" i="54"/>
  <c r="Z99" i="54"/>
  <c r="Z100" i="54"/>
  <c r="Z101" i="54"/>
  <c r="Z102" i="54"/>
  <c r="Z103" i="54"/>
  <c r="Z104" i="54"/>
  <c r="Z105" i="54"/>
  <c r="Z106" i="54"/>
  <c r="Z107" i="54"/>
  <c r="Z108" i="54"/>
  <c r="Z109" i="54"/>
  <c r="Z11" i="56"/>
  <c r="Z12" i="56"/>
  <c r="Z13" i="56"/>
  <c r="Z14" i="56"/>
  <c r="Z15" i="56"/>
  <c r="Z16" i="56"/>
  <c r="Z17" i="56"/>
  <c r="Z18" i="56"/>
  <c r="Z19" i="56"/>
  <c r="Z20" i="56"/>
  <c r="Z21" i="56"/>
  <c r="Z22" i="56"/>
  <c r="Z23" i="56"/>
  <c r="Z24" i="56"/>
  <c r="Z25" i="56"/>
  <c r="Z26" i="56"/>
  <c r="Z27" i="56"/>
  <c r="Z28" i="56"/>
  <c r="Z29" i="56"/>
  <c r="Z30" i="56"/>
  <c r="Z31" i="56"/>
  <c r="Z32" i="56"/>
  <c r="Z33" i="56"/>
  <c r="Z34" i="56"/>
  <c r="Z35" i="56"/>
  <c r="Z36" i="56"/>
  <c r="Z37" i="56"/>
  <c r="Z38" i="56"/>
  <c r="Z39" i="56"/>
  <c r="Z40" i="56"/>
  <c r="Z41" i="56"/>
  <c r="Z42" i="56"/>
  <c r="Z43" i="56"/>
  <c r="Z44" i="56"/>
  <c r="Z45" i="56"/>
  <c r="Z46" i="56"/>
  <c r="Z47" i="56"/>
  <c r="Z48" i="56"/>
  <c r="Z49" i="56"/>
  <c r="Z50" i="56"/>
  <c r="Z51" i="56"/>
  <c r="Z52" i="56"/>
  <c r="Z53" i="56"/>
  <c r="Z54" i="56"/>
  <c r="Z55" i="56"/>
  <c r="Z56" i="56"/>
  <c r="Z57" i="56"/>
  <c r="Z58" i="56"/>
  <c r="Z59" i="56"/>
  <c r="Z60" i="56"/>
  <c r="Z61" i="56"/>
  <c r="Z62" i="56"/>
  <c r="Z63" i="56"/>
  <c r="Z64" i="56"/>
  <c r="Z65" i="56"/>
  <c r="Z66" i="56"/>
  <c r="Z67" i="56"/>
  <c r="Z68" i="56"/>
  <c r="Z69" i="56"/>
  <c r="Z70" i="56"/>
  <c r="Z71" i="56"/>
  <c r="Z72" i="56"/>
  <c r="Z73" i="56"/>
  <c r="Z74" i="56"/>
  <c r="Z75" i="56"/>
  <c r="Z76" i="56"/>
  <c r="Z77" i="56"/>
  <c r="Z78" i="56"/>
  <c r="Z79" i="56"/>
  <c r="Z80" i="56"/>
  <c r="Z81" i="56"/>
  <c r="Z82" i="56"/>
  <c r="Z83" i="56"/>
  <c r="Z84" i="56"/>
  <c r="Z85" i="56"/>
  <c r="Z86" i="56"/>
  <c r="Z87" i="56"/>
  <c r="Z88" i="56"/>
  <c r="Z89" i="56"/>
  <c r="Z90" i="56"/>
  <c r="Z91" i="56"/>
  <c r="Z92" i="56"/>
  <c r="Z93" i="56"/>
  <c r="Z94" i="56"/>
  <c r="Z95" i="56"/>
  <c r="Z96" i="56"/>
  <c r="Z97" i="56"/>
  <c r="Z98" i="56"/>
  <c r="Z99" i="56"/>
  <c r="Z100" i="56"/>
  <c r="Z101" i="56"/>
  <c r="Z102" i="56"/>
  <c r="Z103" i="56"/>
  <c r="Z104" i="56"/>
  <c r="Z105" i="56"/>
  <c r="Z106" i="56"/>
  <c r="Z107" i="56"/>
  <c r="Z108" i="56"/>
  <c r="Z109" i="56"/>
  <c r="Z11" i="55"/>
  <c r="Z12" i="55"/>
  <c r="Z13" i="55"/>
  <c r="Z14" i="55"/>
  <c r="Z15" i="55"/>
  <c r="Z16" i="55"/>
  <c r="Z17" i="55"/>
  <c r="Z18" i="55"/>
  <c r="Z19" i="55"/>
  <c r="Z20" i="55"/>
  <c r="Z21" i="55"/>
  <c r="Z22" i="55"/>
  <c r="Z23" i="55"/>
  <c r="Z24" i="55"/>
  <c r="Z25" i="55"/>
  <c r="Z26" i="55"/>
  <c r="Z27" i="55"/>
  <c r="Z28" i="55"/>
  <c r="Z29" i="55"/>
  <c r="Z30" i="55"/>
  <c r="Z31" i="55"/>
  <c r="Z32" i="55"/>
  <c r="Z33" i="55"/>
  <c r="Z34" i="55"/>
  <c r="Z35" i="55"/>
  <c r="Z36" i="55"/>
  <c r="Z37" i="55"/>
  <c r="Z38" i="55"/>
  <c r="Z39" i="55"/>
  <c r="Z40" i="55"/>
  <c r="Z41" i="55"/>
  <c r="Z42" i="55"/>
  <c r="Z43" i="55"/>
  <c r="Z44" i="55"/>
  <c r="Z45" i="55"/>
  <c r="Z46" i="55"/>
  <c r="Z47" i="55"/>
  <c r="Z48" i="55"/>
  <c r="Z49" i="55"/>
  <c r="Z50" i="55"/>
  <c r="Z51" i="55"/>
  <c r="Z52" i="55"/>
  <c r="Z53" i="55"/>
  <c r="Z54" i="55"/>
  <c r="Z55" i="55"/>
  <c r="Z56" i="55"/>
  <c r="Z57" i="55"/>
  <c r="Z58" i="55"/>
  <c r="Z59" i="55"/>
  <c r="Z60" i="55"/>
  <c r="Z61" i="55"/>
  <c r="Z62" i="55"/>
  <c r="Z63" i="55"/>
  <c r="Z64" i="55"/>
  <c r="Z65" i="55"/>
  <c r="Z66" i="55"/>
  <c r="Z67" i="55"/>
  <c r="Z68" i="55"/>
  <c r="Z69" i="55"/>
  <c r="Z70" i="55"/>
  <c r="Z71" i="55"/>
  <c r="Z72" i="55"/>
  <c r="Z73" i="55"/>
  <c r="Z74" i="55"/>
  <c r="Z75" i="55"/>
  <c r="Z76" i="55"/>
  <c r="Z77" i="55"/>
  <c r="Z78" i="55"/>
  <c r="Z79" i="55"/>
  <c r="Z80" i="55"/>
  <c r="Z81" i="55"/>
  <c r="Z82" i="55"/>
  <c r="Z83" i="55"/>
  <c r="Z84" i="55"/>
  <c r="Z85" i="55"/>
  <c r="Z86" i="55"/>
  <c r="Z87" i="55"/>
  <c r="Z88" i="55"/>
  <c r="Z89" i="55"/>
  <c r="Z90" i="55"/>
  <c r="Z91" i="55"/>
  <c r="Z92" i="55"/>
  <c r="Z93" i="55"/>
  <c r="Z94" i="55"/>
  <c r="Z95" i="55"/>
  <c r="Z96" i="55"/>
  <c r="Z97" i="55"/>
  <c r="Z98" i="55"/>
  <c r="Z99" i="55"/>
  <c r="Z100" i="55"/>
  <c r="Z101" i="55"/>
  <c r="Z102" i="55"/>
  <c r="Z103" i="55"/>
  <c r="Z104" i="55"/>
  <c r="Z105" i="55"/>
  <c r="Z106" i="55"/>
  <c r="Z107" i="55"/>
  <c r="Z108" i="55"/>
  <c r="Z109" i="55"/>
  <c r="Z11" i="57"/>
  <c r="Z12" i="57"/>
  <c r="Z13" i="57"/>
  <c r="Z14" i="57"/>
  <c r="Z15" i="57"/>
  <c r="Z16" i="57"/>
  <c r="Z17" i="57"/>
  <c r="Z18" i="57"/>
  <c r="Z19" i="57"/>
  <c r="Z20" i="57"/>
  <c r="Z21" i="57"/>
  <c r="Z22" i="57"/>
  <c r="Z23" i="57"/>
  <c r="Z24" i="57"/>
  <c r="Z25" i="57"/>
  <c r="Z26" i="57"/>
  <c r="Z27" i="57"/>
  <c r="Z28" i="57"/>
  <c r="Z29" i="57"/>
  <c r="Z30" i="57"/>
  <c r="Z31" i="57"/>
  <c r="Z32" i="57"/>
  <c r="Z33" i="57"/>
  <c r="Z34" i="57"/>
  <c r="Z35" i="57"/>
  <c r="Z36" i="57"/>
  <c r="Z37" i="57"/>
  <c r="Z38" i="57"/>
  <c r="Z39" i="57"/>
  <c r="Z40" i="57"/>
  <c r="Z41" i="57"/>
  <c r="Z42" i="57"/>
  <c r="Z43" i="57"/>
  <c r="Z44" i="57"/>
  <c r="Z45" i="57"/>
  <c r="Z46" i="57"/>
  <c r="Z47" i="57"/>
  <c r="Z48" i="57"/>
  <c r="Z49" i="57"/>
  <c r="Z50" i="57"/>
  <c r="Z51" i="57"/>
  <c r="Z52" i="57"/>
  <c r="Z53" i="57"/>
  <c r="Z54" i="57"/>
  <c r="Z55" i="57"/>
  <c r="Z56" i="57"/>
  <c r="Z57" i="57"/>
  <c r="Z58" i="57"/>
  <c r="Z59" i="57"/>
  <c r="Z60" i="57"/>
  <c r="Z61" i="57"/>
  <c r="Z62" i="57"/>
  <c r="Z63" i="57"/>
  <c r="Z64" i="57"/>
  <c r="Z65" i="57"/>
  <c r="Z66" i="57"/>
  <c r="Z67" i="57"/>
  <c r="Z68" i="57"/>
  <c r="Z69" i="57"/>
  <c r="Z70" i="57"/>
  <c r="Z71" i="57"/>
  <c r="Z72" i="57"/>
  <c r="Z73" i="57"/>
  <c r="Z74" i="57"/>
  <c r="Z75" i="57"/>
  <c r="Z76" i="57"/>
  <c r="Z77" i="57"/>
  <c r="Z78" i="57"/>
  <c r="Z79" i="57"/>
  <c r="Z80" i="57"/>
  <c r="Z81" i="57"/>
  <c r="Z82" i="57"/>
  <c r="Z83" i="57"/>
  <c r="Z84" i="57"/>
  <c r="Z85" i="57"/>
  <c r="Z86" i="57"/>
  <c r="Z87" i="57"/>
  <c r="Z88" i="57"/>
  <c r="Z89" i="57"/>
  <c r="Z90" i="57"/>
  <c r="Z91" i="57"/>
  <c r="Z92" i="57"/>
  <c r="Z93" i="57"/>
  <c r="Z94" i="57"/>
  <c r="Z95" i="57"/>
  <c r="Z96" i="57"/>
  <c r="Z97" i="57"/>
  <c r="Z98" i="57"/>
  <c r="Z99" i="57"/>
  <c r="Z100" i="57"/>
  <c r="Z101" i="57"/>
  <c r="Z102" i="57"/>
  <c r="Z103" i="57"/>
  <c r="Z104" i="57"/>
  <c r="Z105" i="57"/>
  <c r="Z106" i="57"/>
  <c r="Z107" i="57"/>
  <c r="Z108" i="57"/>
  <c r="Z109" i="57"/>
  <c r="Z10" i="38"/>
  <c r="Z10" i="50"/>
  <c r="Z10" i="51"/>
  <c r="Z10" i="52"/>
  <c r="Z10" i="53"/>
  <c r="Z10" i="54"/>
  <c r="Z10" i="56"/>
  <c r="Z10" i="55"/>
  <c r="Z10" i="57"/>
  <c r="F118" i="38" l="1"/>
  <c r="F113" i="73" s="1"/>
  <c r="F114" i="56"/>
  <c r="F113" i="57"/>
  <c r="F113" i="55"/>
  <c r="F114" i="53"/>
  <c r="F113" i="56"/>
  <c r="F114" i="52"/>
  <c r="F113" i="54"/>
  <c r="F113" i="50"/>
  <c r="F114" i="51"/>
  <c r="F113" i="53"/>
  <c r="F114" i="50"/>
  <c r="F113" i="52"/>
  <c r="F114" i="38"/>
  <c r="F113" i="51"/>
  <c r="F113" i="38"/>
  <c r="F114" i="54"/>
  <c r="AA10" i="60" l="1"/>
  <c r="F112" i="67"/>
  <c r="F112" i="66"/>
  <c r="F112" i="65"/>
  <c r="F112" i="64"/>
  <c r="F112" i="63"/>
  <c r="F112" i="62"/>
  <c r="F112" i="61"/>
  <c r="F112" i="60"/>
  <c r="AA10" i="61"/>
  <c r="AA10" i="62"/>
  <c r="AA10" i="63"/>
  <c r="AA10" i="64"/>
  <c r="AA10" i="65"/>
  <c r="AA10" i="66"/>
  <c r="AA10" i="67"/>
  <c r="F111" i="60" l="1"/>
  <c r="F111" i="61"/>
  <c r="F111" i="62"/>
  <c r="F111" i="63"/>
  <c r="F111" i="64"/>
  <c r="F111" i="65"/>
  <c r="F111" i="66"/>
  <c r="F111" i="67"/>
  <c r="Z110" i="38"/>
  <c r="F113" i="67" l="1"/>
  <c r="F110" i="67"/>
  <c r="F113" i="66"/>
  <c r="F110" i="66"/>
  <c r="F113" i="65"/>
  <c r="F110" i="65"/>
  <c r="F113" i="64"/>
  <c r="F110" i="64"/>
  <c r="F113" i="63"/>
  <c r="F110" i="63"/>
  <c r="F113" i="62"/>
  <c r="F110" i="62"/>
  <c r="F113" i="61"/>
  <c r="F110" i="61"/>
  <c r="F113" i="60"/>
  <c r="F110" i="60"/>
  <c r="Z110" i="56"/>
  <c r="Z110" i="55"/>
  <c r="Z110" i="53" l="1"/>
  <c r="Z110" i="52"/>
  <c r="Z110" i="51"/>
  <c r="Z110" i="54"/>
  <c r="Z110" i="50"/>
  <c r="Z110" i="57"/>
</calcChain>
</file>

<file path=xl/sharedStrings.xml><?xml version="1.0" encoding="utf-8"?>
<sst xmlns="http://schemas.openxmlformats.org/spreadsheetml/2006/main" count="351" uniqueCount="25">
  <si>
    <t>Б/К</t>
  </si>
  <si>
    <t>№
п/п</t>
  </si>
  <si>
    <t>Прізвище, ім’я,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</si>
  <si>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</si>
  <si>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</si>
  <si>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</si>
  <si>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</si>
  <si>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</si>
  <si>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</si>
  <si>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</si>
  <si>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</si>
  <si>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</si>
  <si>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</si>
  <si>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</si>
  <si>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</si>
  <si>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ЗВЕДЕНА ВІДОМІСТЬ</t>
  </si>
  <si>
    <t>Підсумкові оцінки дисциплін</t>
  </si>
  <si>
    <t>S</t>
  </si>
  <si>
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</si>
  <si>
    <t>Успішності студентів спеціальності XXX «XXXXX»</t>
  </si>
  <si>
    <t>Група XXXX курс X</t>
  </si>
  <si>
    <t>За X семестр XXXX-XXXX н.р.</t>
  </si>
  <si>
    <t>РЕЙТИНГОВА ВІДОМІСТЬ</t>
  </si>
  <si>
    <t>Рейтинговий бал</t>
  </si>
  <si>
    <r>
      <rPr>
        <b/>
        <u/>
        <sz val="14"/>
        <rFont val="Times New Roman"/>
        <family val="1"/>
        <charset val="204"/>
      </rPr>
      <t>ЗАГАЛЬНА ВІДОМІСТЬ З УСІМА СПЕЦІАЛЬНОСТЯМИ</t>
    </r>
    <r>
      <rPr>
        <b/>
        <sz val="14"/>
        <rFont val="Times New Roman"/>
        <family val="1"/>
        <charset val="204"/>
      </rPr>
      <t xml:space="preserve">. НЕ ДЛЯ ДРУКУ. ЗВІДСИ ОЦІНКИ </t>
    </r>
    <r>
      <rPr>
        <b/>
        <u/>
        <sz val="14"/>
        <rFont val="Times New Roman"/>
        <family val="1"/>
        <charset val="204"/>
      </rPr>
      <t>АВТОМАТИЧНО</t>
    </r>
    <r>
      <rPr>
        <b/>
        <sz val="14"/>
        <rFont val="Times New Roman"/>
        <family val="1"/>
        <charset val="204"/>
      </rPr>
      <t xml:space="preserve"> ПЕРЕНОСЯТЬСЯ ДО ВІДОМОСТЕЙ.
</t>
    </r>
    <r>
      <rPr>
        <b/>
        <u/>
        <sz val="14"/>
        <rFont val="Times New Roman"/>
        <family val="1"/>
        <charset val="204"/>
      </rPr>
      <t>СТВОРЕНО ДЛЯ ЛЕГШОГО ЗАПОВНЕННЯ ОЦІНОК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</si>
</sst>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85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5" borderId="1" xfId="5" applyFont="1" applyFill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left" vertical="center" wrapText="1"/>
      <protection hidden="1"/>
    </xf>
    <xf numFmtId="164" fontId="3" fillId="2" borderId="2" xfId="5" applyNumberFormat="1" applyFont="1" applyFill="1" applyBorder="1" applyAlignment="1" applyProtection="1">
      <alignment horizontal="center" vertical="center"/>
      <protection hidden="1"/>
    </xf>
    <xf numFmtId="2" fontId="3" fillId="2" borderId="2" xfId="5" applyNumberFormat="1" applyFont="1" applyFill="1" applyBorder="1" applyAlignment="1" applyProtection="1">
      <alignment horizontal="center" vertical="center"/>
      <protection hidden="1"/>
    </xf>
    <xf numFmtId="0" fontId="5" fillId="5" borderId="1" xfId="5" applyFont="1" applyFill="1" applyAlignment="1" applyProtection="1">
      <alignment horizontal="left" vertical="center"/>
      <protection hidden="1"/>
    </xf>
    <xf numFmtId="0" fontId="3" fillId="4" borderId="1" xfId="5" applyFont="1" applyFill="1" applyAlignment="1" applyProtection="1">
      <alignment horizontal="center" vertical="center"/>
      <protection locked="0" hidden="1"/>
    </xf>
    <xf numFmtId="0" fontId="5" fillId="5" borderId="5" xfId="5" applyFont="1" applyFill="1" applyBorder="1" applyAlignment="1" applyProtection="1">
      <alignment vertical="center"/>
      <protection locked="0" hidden="1"/>
    </xf>
    <xf numFmtId="0" fontId="3" fillId="0" borderId="2" xfId="5" applyFont="1" applyBorder="1" applyAlignment="1" applyProtection="1">
      <alignment horizontal="center" textRotation="90" wrapText="1"/>
      <protection locked="0"/>
    </xf>
    <xf numFmtId="0" fontId="3" fillId="5" borderId="3" xfId="5" applyFont="1" applyFill="1" applyBorder="1" applyAlignment="1" applyProtection="1">
      <alignment vertical="center"/>
      <protection hidden="1"/>
    </xf>
    <xf numFmtId="0" fontId="3" fillId="5" borderId="10" xfId="5" applyFont="1" applyFill="1" applyBorder="1" applyAlignment="1" applyProtection="1">
      <alignment vertical="center"/>
      <protection hidden="1"/>
    </xf>
    <xf numFmtId="0" fontId="3" fillId="4" borderId="1" xfId="5" applyFont="1" applyFill="1" applyAlignment="1" applyProtection="1">
      <alignment vertical="center"/>
      <protection hidden="1"/>
    </xf>
    <xf numFmtId="0" fontId="3" fillId="5" borderId="8" xfId="5" applyFont="1" applyFill="1" applyBorder="1" applyAlignment="1" applyProtection="1">
      <alignment vertical="center"/>
      <protection hidden="1"/>
    </xf>
    <xf numFmtId="0" fontId="3" fillId="5" borderId="6" xfId="5" applyFont="1" applyFill="1" applyBorder="1" applyAlignment="1" applyProtection="1">
      <alignment vertical="center"/>
      <protection hidden="1"/>
    </xf>
    <xf numFmtId="0" fontId="3" fillId="5" borderId="9" xfId="5" applyFont="1" applyFill="1" applyBorder="1" applyAlignment="1" applyProtection="1">
      <alignment vertical="center"/>
      <protection hidden="1"/>
    </xf>
    <xf numFmtId="0" fontId="3" fillId="5" borderId="4" xfId="5" applyFont="1" applyFill="1" applyBorder="1" applyAlignment="1" applyProtection="1">
      <alignment vertical="center"/>
      <protection hidden="1"/>
    </xf>
    <xf numFmtId="0" fontId="5" fillId="5" borderId="11" xfId="5" applyFont="1" applyFill="1" applyBorder="1" applyAlignment="1" applyProtection="1">
      <alignment vertical="center"/>
      <protection locked="0" hidden="1"/>
    </xf>
    <xf numFmtId="0" fontId="3" fillId="5" borderId="4" xfId="5" applyFont="1" applyFill="1" applyBorder="1" applyAlignment="1" applyProtection="1">
      <alignment vertical="center"/>
      <protection locked="0" hidden="1"/>
    </xf>
    <xf numFmtId="0" fontId="3" fillId="6" borderId="2" xfId="5" applyFont="1" applyFill="1" applyBorder="1" applyAlignment="1" applyProtection="1">
      <alignment horizontal="center" textRotation="90" wrapText="1"/>
      <protection locked="0"/>
    </xf>
    <xf numFmtId="0" fontId="3" fillId="6" borderId="1" xfId="5" applyFont="1" applyFill="1" applyAlignment="1" applyProtection="1">
      <alignment horizontal="center" vertical="center"/>
      <protection hidden="1"/>
    </xf>
    <xf numFmtId="0" fontId="3" fillId="6" borderId="2" xfId="5" applyFont="1" applyFill="1" applyBorder="1" applyAlignment="1" applyProtection="1">
      <alignment horizontal="left" vertical="center" wrapText="1"/>
      <protection hidden="1"/>
    </xf>
    <xf numFmtId="0" fontId="5" fillId="6" borderId="1" xfId="5" applyFont="1" applyFill="1" applyAlignment="1" applyProtection="1">
      <alignment horizontal="left" vertical="center"/>
      <protection hidden="1"/>
    </xf>
    <xf numFmtId="0" fontId="5" fillId="6" borderId="1" xfId="5" applyFont="1" applyFill="1" applyAlignment="1" applyProtection="1">
      <alignment horizontal="left" vertical="center"/>
      <protection locked="0"/>
    </xf>
    <xf numFmtId="0" fontId="3" fillId="6" borderId="8" xfId="5" applyFont="1" applyFill="1" applyBorder="1" applyAlignment="1" applyProtection="1">
      <alignment vertical="center"/>
      <protection hidden="1"/>
    </xf>
    <xf numFmtId="0" fontId="3" fillId="6" borderId="6" xfId="5" applyFont="1" applyFill="1" applyBorder="1" applyAlignment="1" applyProtection="1">
      <alignment vertical="center"/>
      <protection hidden="1"/>
    </xf>
    <xf numFmtId="0" fontId="3" fillId="6" borderId="9" xfId="5" applyFont="1" applyFill="1" applyBorder="1" applyAlignment="1" applyProtection="1">
      <alignment vertical="center"/>
      <protection hidden="1"/>
    </xf>
    <xf numFmtId="0" fontId="5" fillId="6" borderId="5" xfId="5" applyFont="1" applyFill="1" applyBorder="1" applyAlignment="1" applyProtection="1">
      <alignment vertical="center"/>
      <protection locked="0" hidden="1"/>
    </xf>
    <xf numFmtId="0" fontId="3" fillId="6" borderId="4" xfId="5" applyFont="1" applyFill="1" applyBorder="1" applyAlignment="1" applyProtection="1">
      <alignment vertical="center"/>
      <protection hidden="1"/>
    </xf>
    <xf numFmtId="0" fontId="3" fillId="6" borderId="4" xfId="5" applyFont="1" applyFill="1" applyBorder="1" applyAlignment="1" applyProtection="1">
      <alignment vertical="center"/>
      <protection locked="0" hidden="1"/>
    </xf>
    <xf numFmtId="0" fontId="5" fillId="6" borderId="11" xfId="5" applyFont="1" applyFill="1" applyBorder="1" applyAlignment="1" applyProtection="1">
      <alignment vertical="center"/>
      <protection locked="0" hidden="1"/>
    </xf>
    <xf numFmtId="0" fontId="3" fillId="6" borderId="3" xfId="5" applyFont="1" applyFill="1" applyBorder="1" applyAlignment="1" applyProtection="1">
      <alignment vertical="center"/>
      <protection hidden="1"/>
    </xf>
    <xf numFmtId="0" fontId="3" fillId="6" borderId="10" xfId="5" applyFont="1" applyFill="1" applyBorder="1" applyAlignment="1" applyProtection="1">
      <alignment vertical="center"/>
      <protection hidden="1"/>
    </xf>
    <xf numFmtId="0" fontId="8" fillId="7" borderId="1" xfId="5" applyFont="1" applyFill="1" applyAlignment="1" applyProtection="1">
      <alignment horizontal="center" vertical="center"/>
      <protection hidden="1"/>
    </xf>
    <xf numFmtId="0" fontId="3" fillId="7" borderId="1" xfId="5" applyFont="1" applyFill="1" applyAlignment="1" applyProtection="1">
      <alignment vertical="center"/>
      <protection hidden="1"/>
    </xf>
    <xf numFmtId="0" fontId="3" fillId="7" borderId="1" xfId="5" applyFont="1" applyFill="1" applyAlignment="1" applyProtection="1">
      <alignment vertical="center"/>
      <protection locked="0" hidden="1"/>
    </xf>
    <xf numFmtId="0" fontId="3" fillId="7" borderId="4" xfId="5" applyFont="1" applyFill="1" applyBorder="1" applyAlignment="1" applyProtection="1">
      <alignment vertical="center"/>
      <protection locked="0" hidden="1"/>
    </xf>
    <xf numFmtId="0" fontId="3" fillId="7" borderId="1" xfId="5" applyFont="1" applyFill="1" applyAlignment="1">
      <alignment horizontal="center" vertical="center"/>
    </xf>
    <xf numFmtId="2" fontId="9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 applyProtection="1">
      <alignment horizontal="center" vertical="center"/>
      <protection hidden="1"/>
    </xf>
    <xf numFmtId="0" fontId="3" fillId="6" borderId="2" xfId="5" applyFont="1" applyFill="1" applyBorder="1" applyAlignment="1">
      <alignment horizontal="center" vertical="center" wrapText="1"/>
    </xf>
    <xf numFmtId="0" fontId="3" fillId="6" borderId="2" xfId="5" applyFont="1" applyFill="1" applyBorder="1" applyAlignment="1">
      <alignment horizontal="left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 applyProtection="1">
      <alignment horizontal="center" textRotation="90" wrapText="1"/>
      <protection locked="0"/>
    </xf>
    <xf numFmtId="2" fontId="3" fillId="5" borderId="2" xfId="5" applyNumberFormat="1" applyFont="1" applyFill="1" applyBorder="1" applyAlignment="1">
      <alignment horizontal="center" vertical="center"/>
    </xf>
    <xf numFmtId="0" fontId="5" fillId="5" borderId="1" xfId="5" applyFont="1" applyFill="1" applyAlignment="1" applyProtection="1">
      <alignment vertical="top"/>
      <protection locked="0"/>
    </xf>
    <xf numFmtId="0" fontId="5" fillId="5" borderId="1" xfId="5" applyFont="1" applyFill="1" applyAlignment="1" applyProtection="1">
      <alignment vertical="top"/>
      <protection hidden="1"/>
    </xf>
    <xf numFmtId="0" fontId="5" fillId="5" borderId="1" xfId="5" applyFont="1" applyFill="1" applyProtection="1">
      <protection locked="0"/>
    </xf>
    <xf numFmtId="0" fontId="5" fillId="5" borderId="1" xfId="5" applyFont="1" applyFill="1" applyAlignment="1" applyProtection="1">
      <alignment vertical="center"/>
      <protection hidden="1"/>
    </xf>
    <xf numFmtId="0" fontId="5" fillId="5" borderId="1" xfId="5" applyFont="1" applyFill="1" applyAlignment="1" applyProtection="1">
      <alignment vertical="center"/>
      <protection locked="0"/>
    </xf>
    <xf numFmtId="2" fontId="9" fillId="5" borderId="2" xfId="5" applyNumberFormat="1" applyFont="1" applyFill="1" applyBorder="1" applyAlignment="1">
      <alignment horizontal="center" vertical="center"/>
    </xf>
    <xf numFmtId="0" fontId="5" fillId="5" borderId="1" xfId="5" applyFont="1" applyFill="1" applyProtection="1">
      <protection hidden="1"/>
    </xf>
    <xf numFmtId="0" fontId="6" fillId="5" borderId="1" xfId="5" applyFont="1" applyFill="1" applyAlignment="1" applyProtection="1">
      <alignment horizontal="center" vertical="center" wrapText="1"/>
      <protection hidden="1"/>
    </xf>
    <xf numFmtId="0" fontId="6" fillId="5" borderId="7" xfId="5" applyFont="1" applyFill="1" applyBorder="1" applyAlignment="1" applyProtection="1">
      <alignment horizontal="center" vertical="center" wrapText="1"/>
      <protection hidden="1"/>
    </xf>
    <xf numFmtId="0" fontId="3" fillId="5" borderId="2" xfId="5" quotePrefix="1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center" vertical="center" wrapText="1"/>
      <protection hidden="1"/>
    </xf>
    <xf numFmtId="0" fontId="3" fillId="5" borderId="14" xfId="5" applyFont="1" applyFill="1" applyBorder="1" applyAlignment="1" applyProtection="1">
      <alignment horizontal="center" vertical="center"/>
      <protection hidden="1"/>
    </xf>
    <xf numFmtId="0" fontId="3" fillId="5" borderId="15" xfId="5" applyFont="1" applyFill="1" applyBorder="1" applyAlignment="1" applyProtection="1">
      <alignment horizontal="center" vertical="center"/>
      <protection hidden="1"/>
    </xf>
    <xf numFmtId="0" fontId="3" fillId="5" borderId="13" xfId="5" applyFont="1" applyFill="1" applyBorder="1" applyAlignment="1" applyProtection="1">
      <alignment horizontal="center" vertical="center"/>
      <protection hidden="1"/>
    </xf>
    <xf numFmtId="0" fontId="4" fillId="5" borderId="16" xfId="5" applyFont="1" applyFill="1" applyBorder="1" applyAlignment="1" applyProtection="1">
      <alignment horizontal="center" vertical="center" textRotation="90" wrapText="1"/>
      <protection hidden="1"/>
    </xf>
    <xf numFmtId="0" fontId="4" fillId="5" borderId="12" xfId="5" applyFont="1" applyFill="1" applyBorder="1" applyAlignment="1" applyProtection="1">
      <alignment horizontal="center" vertical="center" textRotation="90" wrapText="1"/>
      <protection hidden="1"/>
    </xf>
    <xf numFmtId="0" fontId="5" fillId="5" borderId="1" xfId="5" applyFont="1" applyFill="1" applyAlignment="1" applyProtection="1">
      <alignment horizontal="center" wrapText="1"/>
      <protection hidden="1"/>
    </xf>
    <xf numFmtId="0" fontId="6" fillId="5" borderId="1" xfId="5" applyFont="1" applyFill="1" applyAlignment="1" applyProtection="1">
      <alignment horizontal="center" vertical="center"/>
      <protection hidden="1"/>
    </xf>
    <xf numFmtId="0" fontId="5" fillId="5" borderId="1" xfId="5" applyFont="1" applyFill="1" applyAlignment="1" applyProtection="1">
      <alignment horizontal="center" vertical="center"/>
      <protection locked="0"/>
    </xf>
    <xf numFmtId="0" fontId="5" fillId="5" borderId="7" xfId="5" applyFont="1" applyFill="1" applyBorder="1" applyAlignment="1" applyProtection="1">
      <alignment horizontal="center" vertical="center"/>
      <protection locked="0"/>
    </xf>
    <xf numFmtId="0" fontId="6" fillId="6" borderId="1" xfId="5" applyFont="1" applyFill="1" applyAlignment="1" applyProtection="1">
      <alignment horizontal="center" vertical="center"/>
      <protection hidden="1"/>
    </xf>
    <xf numFmtId="0" fontId="5" fillId="6" borderId="1" xfId="5" applyFont="1" applyFill="1" applyAlignment="1" applyProtection="1">
      <alignment horizontal="center" wrapText="1"/>
      <protection hidden="1"/>
    </xf>
    <xf numFmtId="0" fontId="5" fillId="6" borderId="1" xfId="5" applyFont="1" applyFill="1" applyAlignment="1" applyProtection="1">
      <alignment horizontal="center" vertical="center"/>
      <protection locked="0"/>
    </xf>
    <xf numFmtId="0" fontId="5" fillId="6" borderId="7" xfId="5" applyFont="1" applyFill="1" applyBorder="1" applyAlignment="1" applyProtection="1">
      <alignment horizontal="center" vertical="center"/>
      <protection locked="0"/>
    </xf>
    <xf numFmtId="0" fontId="3" fillId="6" borderId="2" xfId="5" quotePrefix="1" applyFont="1" applyFill="1" applyBorder="1" applyAlignment="1" applyProtection="1">
      <alignment horizontal="center" vertical="center"/>
      <protection hidden="1"/>
    </xf>
    <xf numFmtId="0" fontId="3" fillId="6" borderId="2" xfId="5" applyFont="1" applyFill="1" applyBorder="1" applyAlignment="1" applyProtection="1">
      <alignment horizontal="center" vertical="center"/>
      <protection hidden="1"/>
    </xf>
    <xf numFmtId="0" fontId="3" fillId="6" borderId="2" xfId="5" applyFont="1" applyFill="1" applyBorder="1" applyAlignment="1" applyProtection="1">
      <alignment horizontal="center" vertical="center" wrapText="1"/>
      <protection hidden="1"/>
    </xf>
    <xf numFmtId="0" fontId="3" fillId="6" borderId="14" xfId="5" applyFont="1" applyFill="1" applyBorder="1" applyAlignment="1" applyProtection="1">
      <alignment horizontal="center" vertical="center"/>
      <protection hidden="1"/>
    </xf>
    <xf numFmtId="0" fontId="3" fillId="6" borderId="15" xfId="5" applyFont="1" applyFill="1" applyBorder="1" applyAlignment="1" applyProtection="1">
      <alignment horizontal="center" vertical="center"/>
      <protection hidden="1"/>
    </xf>
    <xf numFmtId="0" fontId="3" fillId="6" borderId="13" xfId="5" applyFont="1" applyFill="1" applyBorder="1" applyAlignment="1" applyProtection="1">
      <alignment horizontal="center" vertical="center"/>
      <protection hidden="1"/>
    </xf>
    <xf numFmtId="0" fontId="4" fillId="6" borderId="16" xfId="5" applyFont="1" applyFill="1" applyBorder="1" applyAlignment="1" applyProtection="1">
      <alignment horizontal="center" vertical="center" textRotation="90" wrapText="1"/>
      <protection hidden="1"/>
    </xf>
    <xf numFmtId="0" fontId="4" fillId="6" borderId="12" xfId="5" applyFont="1" applyFill="1" applyBorder="1" applyAlignment="1" applyProtection="1">
      <alignment horizontal="center" vertical="center" textRotation="90" wrapText="1"/>
      <protection hidden="1"/>
    </xf>
  </cellXfs>
  <cellStyles count="28">
    <cellStyle name="Обычный" xfId="0" builtinId="0"/>
    <cellStyle name="Обычный 10" xfId="3" xr:uid="{00000000-0005-0000-0000-000001000000}"/>
    <cellStyle name="Обычный 10 2" xfId="4" xr:uid="{00000000-0005-0000-0000-000002000000}"/>
    <cellStyle name="Обычный 11" xfId="1" xr:uid="{00000000-0005-0000-0000-000003000000}"/>
    <cellStyle name="Обычный 11 2" xfId="5" xr:uid="{00000000-0005-0000-0000-000004000000}"/>
    <cellStyle name="Обычный 12" xfId="22" xr:uid="{00000000-0005-0000-0000-000005000000}"/>
    <cellStyle name="Обычный 13" xfId="23" xr:uid="{00000000-0005-0000-0000-000006000000}"/>
    <cellStyle name="Обычный 14" xfId="24" xr:uid="{00000000-0005-0000-0000-000007000000}"/>
    <cellStyle name="Обычный 15" xfId="25" xr:uid="{00000000-0005-0000-0000-000008000000}"/>
    <cellStyle name="Обычный 2" xfId="2" xr:uid="{00000000-0005-0000-0000-000009000000}"/>
    <cellStyle name="Обычный 2 2" xfId="6" xr:uid="{00000000-0005-0000-0000-00000A000000}"/>
    <cellStyle name="Обычный 2 3" xfId="7" xr:uid="{00000000-0005-0000-0000-00000B000000}"/>
    <cellStyle name="Обычный 2 3 2" xfId="8" xr:uid="{00000000-0005-0000-0000-00000C000000}"/>
    <cellStyle name="Обычный 2 4" xfId="9" xr:uid="{00000000-0005-0000-0000-00000D000000}"/>
    <cellStyle name="Обычный 2 4 2" xfId="10" xr:uid="{00000000-0005-0000-0000-00000E000000}"/>
    <cellStyle name="Обычный 2 5" xfId="26" xr:uid="{00000000-0005-0000-0000-00000F000000}"/>
    <cellStyle name="Обычный 2 6" xfId="27" xr:uid="{00000000-0005-0000-0000-000010000000}"/>
    <cellStyle name="Обычный 3" xfId="11" xr:uid="{00000000-0005-0000-0000-000011000000}"/>
    <cellStyle name="Обычный 3 2" xfId="12" xr:uid="{00000000-0005-0000-0000-000012000000}"/>
    <cellStyle name="Обычный 4" xfId="13" xr:uid="{00000000-0005-0000-0000-000013000000}"/>
    <cellStyle name="Обычный 4 2" xfId="14" xr:uid="{00000000-0005-0000-0000-000014000000}"/>
    <cellStyle name="Обычный 5" xfId="15" xr:uid="{00000000-0005-0000-0000-000015000000}"/>
    <cellStyle name="Обычный 6" xfId="16" xr:uid="{00000000-0005-0000-0000-000016000000}"/>
    <cellStyle name="Обычный 7" xfId="17" xr:uid="{00000000-0005-0000-0000-000017000000}"/>
    <cellStyle name="Обычный 8" xfId="18" xr:uid="{00000000-0005-0000-0000-000018000000}"/>
    <cellStyle name="Обычный 8 2" xfId="19" xr:uid="{00000000-0005-0000-0000-000019000000}"/>
    <cellStyle name="Обычный 9" xfId="20" xr:uid="{00000000-0005-0000-0000-00001A000000}"/>
    <cellStyle name="Обычный 9 2" xfId="21" xr:uid="{00000000-0005-0000-0000-00001B000000}"/>
  </cellStyles>
  <dxfs count="0"/>
  <tableStyles count="1" defaultTableStyle="TableStyleMedium9" defaultPivotStyle="PivotStyleLight16">
    <tableStyle name="Стиль сводной таблицы 1" table="0" count="0" xr9:uid="{00000000-0011-0000-FFFF-FFFF00000000}"/>
  </tableStyles>
  <colors>
    <mruColors>
      <color rgb="FFE26B0A"/>
      <color rgb="FFFEFFFF"/>
      <color rgb="FFFFFF00"/>
      <color rgb="FFFFFFFF"/>
      <color rgb="FFBFBFBF"/>
      <color rgb="FFFF0000"/>
      <color rgb="FF000000"/>
      <color rgb="FFD9D9D9"/>
      <color rgb="FF7030A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P120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12" customHeight="1" x14ac:dyDescent="0.25">
      <c r="A3" s="40"/>
      <c r="B3" s="12"/>
      <c r="C3" s="59" t="s">
        <v>24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20"/>
      <c r="AB3" s="39"/>
    </row>
    <row r="4" spans="1:28" s="3" customFormat="1" ht="12" customHeight="1" x14ac:dyDescent="0.25">
      <c r="A4" s="40"/>
      <c r="B4" s="12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20"/>
      <c r="AB4" s="39"/>
    </row>
    <row r="5" spans="1:28" s="2" customFormat="1" ht="12" customHeight="1" x14ac:dyDescent="0.25">
      <c r="A5" s="40"/>
      <c r="B5" s="12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20"/>
      <c r="AB5" s="39"/>
    </row>
    <row r="6" spans="1:28" s="2" customFormat="1" ht="12" customHeight="1" x14ac:dyDescent="0.25">
      <c r="A6" s="40"/>
      <c r="B6" s="12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20"/>
      <c r="AB6" s="39"/>
    </row>
    <row r="7" spans="1:28" s="2" customFormat="1" ht="12" customHeight="1" x14ac:dyDescent="0.25">
      <c r="A7" s="40"/>
      <c r="B7" s="12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8" t="s">
        <v>11</v>
      </c>
      <c r="I116" s="58"/>
      <c r="J116" s="58"/>
      <c r="K116" s="58"/>
      <c r="L116" s="58"/>
      <c r="M116" s="6"/>
      <c r="N116" s="6"/>
      <c r="O116" s="6"/>
      <c r="P116" s="6"/>
      <c r="Q116" s="6"/>
      <c r="R116" s="6"/>
      <c r="S116" s="6"/>
      <c r="T116" s="6"/>
      <c r="U116" s="54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3"/>
      <c r="I117" s="53"/>
      <c r="J117" s="53"/>
      <c r="K117" s="53"/>
      <c r="L117" s="53"/>
      <c r="M117" s="6"/>
      <c r="N117" s="6"/>
      <c r="O117" s="6"/>
      <c r="P117" s="6"/>
      <c r="Q117" s="6"/>
      <c r="R117" s="6"/>
      <c r="S117" s="6"/>
      <c r="T117" s="6"/>
      <c r="U117" s="52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4" t="s">
        <v>14</v>
      </c>
      <c r="I118" s="54"/>
      <c r="J118" s="54"/>
      <c r="K118" s="54"/>
      <c r="L118" s="54"/>
      <c r="M118" s="6"/>
      <c r="N118" s="6"/>
      <c r="O118" s="6"/>
      <c r="P118" s="6"/>
      <c r="Q118" s="6"/>
      <c r="R118" s="6"/>
      <c r="S118" s="6"/>
      <c r="T118" s="6"/>
      <c r="U118" s="54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6">
    <mergeCell ref="C3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1"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sortState xmlns:xlrd2="http://schemas.microsoft.com/office/spreadsheetml/2017/richdata2" ref="E10:E110">
    <sortCondition ref="E10"/>
  </sortState>
  <mergeCells count="10">
    <mergeCell ref="C3:Z3"/>
    <mergeCell ref="C8:C9"/>
    <mergeCell ref="D8:D9"/>
    <mergeCell ref="E8:E9"/>
    <mergeCell ref="C4:Z4"/>
    <mergeCell ref="F8:Y8"/>
    <mergeCell ref="Z8:Z9"/>
    <mergeCell ref="C7:Z7"/>
    <mergeCell ref="C6:Z6"/>
    <mergeCell ref="C5:Z5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6" width="11.28515625" style="1" customWidth="1"/>
    <col min="27" max="28" width="2.7109375" style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16384" width="14.42578125" style="1" hidden="1"/>
  </cols>
  <sheetData>
    <row r="1" spans="1:28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39"/>
    </row>
    <row r="3" spans="1:28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20"/>
      <c r="AB3" s="39"/>
    </row>
    <row r="4" spans="1:28" s="3" customFormat="1" ht="15" customHeight="1" x14ac:dyDescent="0.25">
      <c r="A4" s="40"/>
      <c r="B4" s="12"/>
      <c r="C4" s="70" t="s">
        <v>15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20"/>
      <c r="AB4" s="39"/>
    </row>
    <row r="5" spans="1:28" s="2" customFormat="1" ht="15" customHeight="1" x14ac:dyDescent="0.25">
      <c r="A5" s="40"/>
      <c r="B5" s="12"/>
      <c r="C5" s="71" t="s">
        <v>19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20"/>
      <c r="AB5" s="39"/>
    </row>
    <row r="6" spans="1:28" s="2" customFormat="1" ht="15" customHeight="1" x14ac:dyDescent="0.25">
      <c r="A6" s="40"/>
      <c r="B6" s="12"/>
      <c r="C6" s="71" t="s">
        <v>21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20"/>
      <c r="AB6" s="39"/>
    </row>
    <row r="7" spans="1:28" s="2" customFormat="1" ht="15" customHeight="1" x14ac:dyDescent="0.25">
      <c r="A7" s="40"/>
      <c r="B7" s="12"/>
      <c r="C7" s="72" t="s">
        <v>20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20"/>
      <c r="AB7" s="39"/>
    </row>
    <row r="8" spans="1:28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20"/>
      <c r="AB8" s="39"/>
    </row>
    <row r="9" spans="1:28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20"/>
      <c r="AB9" s="39"/>
    </row>
    <row r="10" spans="1:28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2" t="str">
        <f>IF(COUNTIF(F10:Y10,"=*")&gt;0,IF($C10="К","-"," - "),IF(COUNTIF(F10:Y10,"&lt;4")&gt;0,IF(C10="К","-"," - "),(IFERROR(AVERAGE(F10:Y10),"Очікую"))))</f>
        <v>Очікую</v>
      </c>
      <c r="AA10" s="22"/>
      <c r="AB10" s="39"/>
    </row>
    <row r="11" spans="1:28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2" t="str">
        <f t="shared" ref="Z11:Z74" si="0">IF(COUNTIF(F11:Y11,"=*")&gt;0,IF($C11="К","-"," - "),IF(COUNTIF(F11:Y11,"&lt;4")&gt;0,IF(C11="К","-"," - "),(IFERROR(AVERAGE(F11:Y11),"Очікую"))))</f>
        <v>Очікую</v>
      </c>
      <c r="AA11" s="22"/>
      <c r="AB11" s="39"/>
    </row>
    <row r="12" spans="1:28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 t="str">
        <f t="shared" si="0"/>
        <v>Очікую</v>
      </c>
      <c r="AA12" s="22"/>
      <c r="AB12" s="39"/>
    </row>
    <row r="13" spans="1:28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 t="str">
        <f t="shared" si="0"/>
        <v>Очікую</v>
      </c>
      <c r="AA13" s="22"/>
      <c r="AB13" s="39"/>
    </row>
    <row r="14" spans="1:28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 t="str">
        <f t="shared" si="0"/>
        <v>Очікую</v>
      </c>
      <c r="AA14" s="22"/>
      <c r="AB14" s="39"/>
    </row>
    <row r="15" spans="1:28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2" t="str">
        <f t="shared" si="0"/>
        <v>Очікую</v>
      </c>
      <c r="AA15" s="22"/>
      <c r="AB15" s="39"/>
    </row>
    <row r="16" spans="1:28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2" t="str">
        <f t="shared" si="0"/>
        <v>Очікую</v>
      </c>
      <c r="AA16" s="22"/>
      <c r="AB16" s="39"/>
    </row>
    <row r="17" spans="1:28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 t="str">
        <f t="shared" si="0"/>
        <v>Очікую</v>
      </c>
      <c r="AA17" s="22"/>
      <c r="AB17" s="39"/>
    </row>
    <row r="18" spans="1:28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 t="str">
        <f t="shared" si="0"/>
        <v>Очікую</v>
      </c>
      <c r="AA18" s="22"/>
      <c r="AB18" s="39"/>
    </row>
    <row r="19" spans="1:28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2" t="str">
        <f t="shared" si="0"/>
        <v>Очікую</v>
      </c>
      <c r="AA19" s="22"/>
      <c r="AB19" s="39"/>
    </row>
    <row r="20" spans="1:28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2" t="str">
        <f t="shared" si="0"/>
        <v>Очікую</v>
      </c>
      <c r="AA20" s="22"/>
      <c r="AB20" s="39"/>
    </row>
    <row r="21" spans="1:28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 t="str">
        <f t="shared" si="0"/>
        <v>Очікую</v>
      </c>
      <c r="AA21" s="22"/>
      <c r="AB21" s="39"/>
    </row>
    <row r="22" spans="1:28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 t="str">
        <f t="shared" si="0"/>
        <v>Очікую</v>
      </c>
      <c r="AA22" s="22"/>
      <c r="AB22" s="39"/>
    </row>
    <row r="23" spans="1:28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 t="str">
        <f t="shared" si="0"/>
        <v>Очікую</v>
      </c>
      <c r="AA23" s="22"/>
      <c r="AB23" s="39"/>
    </row>
    <row r="24" spans="1:28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 t="str">
        <f t="shared" si="0"/>
        <v>Очікую</v>
      </c>
      <c r="AA24" s="22"/>
      <c r="AB24" s="39"/>
    </row>
    <row r="25" spans="1:28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 t="str">
        <f t="shared" si="0"/>
        <v>Очікую</v>
      </c>
      <c r="AA25" s="22"/>
      <c r="AB25" s="39"/>
    </row>
    <row r="26" spans="1:28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 t="str">
        <f t="shared" si="0"/>
        <v>Очікую</v>
      </c>
      <c r="AA26" s="22"/>
      <c r="AB26" s="39"/>
    </row>
    <row r="27" spans="1:28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2" t="str">
        <f t="shared" si="0"/>
        <v>Очікую</v>
      </c>
      <c r="AA27" s="22"/>
      <c r="AB27" s="39"/>
    </row>
    <row r="28" spans="1:28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2" t="str">
        <f t="shared" si="0"/>
        <v>Очікую</v>
      </c>
      <c r="AA28" s="22"/>
      <c r="AB28" s="39"/>
    </row>
    <row r="29" spans="1:28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 t="str">
        <f t="shared" si="0"/>
        <v>Очікую</v>
      </c>
      <c r="AA29" s="22"/>
      <c r="AB29" s="39"/>
    </row>
    <row r="30" spans="1:28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 t="str">
        <f t="shared" si="0"/>
        <v>Очікую</v>
      </c>
      <c r="AA30" s="22"/>
      <c r="AB30" s="39"/>
    </row>
    <row r="31" spans="1:28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 t="str">
        <f t="shared" si="0"/>
        <v>Очікую</v>
      </c>
      <c r="AA31" s="22"/>
      <c r="AB31" s="39"/>
    </row>
    <row r="32" spans="1:28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 t="str">
        <f t="shared" si="0"/>
        <v>Очікую</v>
      </c>
      <c r="AA32" s="22"/>
      <c r="AB32" s="39"/>
    </row>
    <row r="33" spans="1:28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 t="str">
        <f t="shared" si="0"/>
        <v>Очікую</v>
      </c>
      <c r="AA33" s="22"/>
      <c r="AB33" s="39"/>
    </row>
    <row r="34" spans="1:28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 t="str">
        <f t="shared" si="0"/>
        <v>Очікую</v>
      </c>
      <c r="AA34" s="22"/>
      <c r="AB34" s="39"/>
    </row>
    <row r="35" spans="1:28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2" t="str">
        <f t="shared" si="0"/>
        <v>Очікую</v>
      </c>
      <c r="AA35" s="22"/>
      <c r="AB35" s="39"/>
    </row>
    <row r="36" spans="1:28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2" t="str">
        <f t="shared" si="0"/>
        <v>Очікую</v>
      </c>
      <c r="AA36" s="22"/>
      <c r="AB36" s="39"/>
    </row>
    <row r="37" spans="1:28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 t="str">
        <f t="shared" si="0"/>
        <v>Очікую</v>
      </c>
      <c r="AA37" s="22"/>
      <c r="AB37" s="39"/>
    </row>
    <row r="38" spans="1:28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 t="str">
        <f t="shared" si="0"/>
        <v>Очікую</v>
      </c>
      <c r="AA38" s="22"/>
      <c r="AB38" s="39"/>
    </row>
    <row r="39" spans="1:28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 t="str">
        <f t="shared" si="0"/>
        <v>Очікую</v>
      </c>
      <c r="AA39" s="22"/>
      <c r="AB39" s="39"/>
    </row>
    <row r="40" spans="1:28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 t="str">
        <f t="shared" si="0"/>
        <v>Очікую</v>
      </c>
      <c r="AA40" s="22"/>
      <c r="AB40" s="39"/>
    </row>
    <row r="41" spans="1:28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 t="str">
        <f t="shared" si="0"/>
        <v>Очікую</v>
      </c>
      <c r="AA41" s="22"/>
      <c r="AB41" s="39"/>
    </row>
    <row r="42" spans="1:28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 t="str">
        <f t="shared" si="0"/>
        <v>Очікую</v>
      </c>
      <c r="AA42" s="22"/>
      <c r="AB42" s="39"/>
    </row>
    <row r="43" spans="1:28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2" t="str">
        <f t="shared" si="0"/>
        <v>Очікую</v>
      </c>
      <c r="AA43" s="22"/>
      <c r="AB43" s="39"/>
    </row>
    <row r="44" spans="1:28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2" t="str">
        <f t="shared" si="0"/>
        <v>Очікую</v>
      </c>
      <c r="AA44" s="22"/>
      <c r="AB44" s="39"/>
    </row>
    <row r="45" spans="1:28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 t="str">
        <f t="shared" si="0"/>
        <v>Очікую</v>
      </c>
      <c r="AA45" s="22"/>
      <c r="AB45" s="39"/>
    </row>
    <row r="46" spans="1:28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 t="str">
        <f t="shared" si="0"/>
        <v>Очікую</v>
      </c>
      <c r="AA46" s="22"/>
      <c r="AB46" s="39"/>
    </row>
    <row r="47" spans="1:28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 t="str">
        <f t="shared" si="0"/>
        <v>Очікую</v>
      </c>
      <c r="AA47" s="22"/>
      <c r="AB47" s="39"/>
    </row>
    <row r="48" spans="1:28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 t="str">
        <f t="shared" si="0"/>
        <v>Очікую</v>
      </c>
      <c r="AA48" s="22"/>
      <c r="AB48" s="39"/>
    </row>
    <row r="49" spans="1:28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 t="str">
        <f t="shared" si="0"/>
        <v>Очікую</v>
      </c>
      <c r="AA49" s="22"/>
      <c r="AB49" s="39"/>
    </row>
    <row r="50" spans="1:28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 t="str">
        <f t="shared" si="0"/>
        <v>Очікую</v>
      </c>
      <c r="AA50" s="22"/>
      <c r="AB50" s="39"/>
    </row>
    <row r="51" spans="1:28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2" t="str">
        <f t="shared" si="0"/>
        <v>Очікую</v>
      </c>
      <c r="AA51" s="22"/>
      <c r="AB51" s="39"/>
    </row>
    <row r="52" spans="1:28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2" t="str">
        <f t="shared" si="0"/>
        <v>Очікую</v>
      </c>
      <c r="AA52" s="22"/>
      <c r="AB52" s="39"/>
    </row>
    <row r="53" spans="1:28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2" t="str">
        <f t="shared" si="0"/>
        <v>Очікую</v>
      </c>
      <c r="AA53" s="22"/>
      <c r="AB53" s="39"/>
    </row>
    <row r="54" spans="1:28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2" t="str">
        <f t="shared" si="0"/>
        <v>Очікую</v>
      </c>
      <c r="AA54" s="22"/>
      <c r="AB54" s="39"/>
    </row>
    <row r="55" spans="1:28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2" t="str">
        <f t="shared" si="0"/>
        <v>Очікую</v>
      </c>
      <c r="AA55" s="22"/>
      <c r="AB55" s="39"/>
    </row>
    <row r="56" spans="1:28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2" t="str">
        <f t="shared" si="0"/>
        <v>Очікую</v>
      </c>
      <c r="AA56" s="22"/>
      <c r="AB56" s="39"/>
    </row>
    <row r="57" spans="1:28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2" t="str">
        <f t="shared" si="0"/>
        <v>Очікую</v>
      </c>
      <c r="AA57" s="22"/>
      <c r="AB57" s="39"/>
    </row>
    <row r="58" spans="1:28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2" t="str">
        <f t="shared" si="0"/>
        <v>Очікую</v>
      </c>
      <c r="AA58" s="22"/>
      <c r="AB58" s="39"/>
    </row>
    <row r="59" spans="1:28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2" t="str">
        <f t="shared" si="0"/>
        <v>Очікую</v>
      </c>
      <c r="AA59" s="22"/>
      <c r="AB59" s="39"/>
    </row>
    <row r="60" spans="1:28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 t="str">
        <f t="shared" si="0"/>
        <v>Очікую</v>
      </c>
      <c r="AA60" s="22"/>
      <c r="AB60" s="39"/>
    </row>
    <row r="61" spans="1:28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 t="str">
        <f t="shared" si="0"/>
        <v>Очікую</v>
      </c>
      <c r="AA61" s="22"/>
      <c r="AB61" s="39"/>
    </row>
    <row r="62" spans="1:28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2" t="str">
        <f t="shared" si="0"/>
        <v>Очікую</v>
      </c>
      <c r="AA62" s="22"/>
      <c r="AB62" s="39"/>
    </row>
    <row r="63" spans="1:28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2" t="str">
        <f t="shared" si="0"/>
        <v>Очікую</v>
      </c>
      <c r="AA63" s="22"/>
      <c r="AB63" s="39"/>
    </row>
    <row r="64" spans="1:28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 t="str">
        <f t="shared" si="0"/>
        <v>Очікую</v>
      </c>
      <c r="AA64" s="22"/>
      <c r="AB64" s="39"/>
    </row>
    <row r="65" spans="1:28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2" t="str">
        <f t="shared" si="0"/>
        <v>Очікую</v>
      </c>
      <c r="AA65" s="22"/>
      <c r="AB65" s="39"/>
    </row>
    <row r="66" spans="1:28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2" t="str">
        <f t="shared" si="0"/>
        <v>Очікую</v>
      </c>
      <c r="AA66" s="22"/>
      <c r="AB66" s="39"/>
    </row>
    <row r="67" spans="1:28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2" t="str">
        <f t="shared" si="0"/>
        <v>Очікую</v>
      </c>
      <c r="AA67" s="22"/>
      <c r="AB67" s="39"/>
    </row>
    <row r="68" spans="1:28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2" t="str">
        <f t="shared" si="0"/>
        <v>Очікую</v>
      </c>
      <c r="AA68" s="22"/>
      <c r="AB68" s="39"/>
    </row>
    <row r="69" spans="1:28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2" t="str">
        <f t="shared" si="0"/>
        <v>Очікую</v>
      </c>
      <c r="AA69" s="22"/>
      <c r="AB69" s="39"/>
    </row>
    <row r="70" spans="1:28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2" t="str">
        <f t="shared" si="0"/>
        <v>Очікую</v>
      </c>
      <c r="AA70" s="22"/>
      <c r="AB70" s="39"/>
    </row>
    <row r="71" spans="1:28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2" t="str">
        <f t="shared" si="0"/>
        <v>Очікую</v>
      </c>
      <c r="AA71" s="22"/>
      <c r="AB71" s="39"/>
    </row>
    <row r="72" spans="1:28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2" t="str">
        <f t="shared" si="0"/>
        <v>Очікую</v>
      </c>
      <c r="AA72" s="22"/>
      <c r="AB72" s="39"/>
    </row>
    <row r="73" spans="1:28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2" t="str">
        <f t="shared" si="0"/>
        <v>Очікую</v>
      </c>
      <c r="AA73" s="22"/>
      <c r="AB73" s="39"/>
    </row>
    <row r="74" spans="1:28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2" t="str">
        <f t="shared" si="0"/>
        <v>Очікую</v>
      </c>
      <c r="AA74" s="22"/>
      <c r="AB74" s="39"/>
    </row>
    <row r="75" spans="1:28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2" t="str">
        <f t="shared" ref="Z75:Z109" si="1">IF(COUNTIF(F75:Y75,"=*")&gt;0,IF($C75="К","-"," - "),IF(COUNTIF(F75:Y75,"&lt;4")&gt;0,IF(C75="К","-"," - "),(IFERROR(AVERAGE(F75:Y75),"Очікую"))))</f>
        <v>Очікую</v>
      </c>
      <c r="AA75" s="22"/>
      <c r="AB75" s="39"/>
    </row>
    <row r="76" spans="1:28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2" t="str">
        <f t="shared" si="1"/>
        <v>Очікую</v>
      </c>
      <c r="AA76" s="22"/>
      <c r="AB76" s="39"/>
    </row>
    <row r="77" spans="1:28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2" t="str">
        <f t="shared" si="1"/>
        <v>Очікую</v>
      </c>
      <c r="AA77" s="22"/>
      <c r="AB77" s="39"/>
    </row>
    <row r="78" spans="1:28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2" t="str">
        <f t="shared" si="1"/>
        <v>Очікую</v>
      </c>
      <c r="AA78" s="22"/>
      <c r="AB78" s="39"/>
    </row>
    <row r="79" spans="1:28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2" t="str">
        <f t="shared" si="1"/>
        <v>Очікую</v>
      </c>
      <c r="AA79" s="22"/>
      <c r="AB79" s="39"/>
    </row>
    <row r="80" spans="1:28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2" t="str">
        <f t="shared" si="1"/>
        <v>Очікую</v>
      </c>
      <c r="AA80" s="22"/>
      <c r="AB80" s="39"/>
    </row>
    <row r="81" spans="1:28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2" t="str">
        <f t="shared" si="1"/>
        <v>Очікую</v>
      </c>
      <c r="AA81" s="22"/>
      <c r="AB81" s="39"/>
    </row>
    <row r="82" spans="1:28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2" t="str">
        <f t="shared" si="1"/>
        <v>Очікую</v>
      </c>
      <c r="AA82" s="22"/>
      <c r="AB82" s="39"/>
    </row>
    <row r="83" spans="1:28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2" t="str">
        <f t="shared" si="1"/>
        <v>Очікую</v>
      </c>
      <c r="AA83" s="22"/>
      <c r="AB83" s="39"/>
    </row>
    <row r="84" spans="1:28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2" t="str">
        <f t="shared" si="1"/>
        <v>Очікую</v>
      </c>
      <c r="AA84" s="22"/>
      <c r="AB84" s="39"/>
    </row>
    <row r="85" spans="1:28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2" t="str">
        <f t="shared" si="1"/>
        <v>Очікую</v>
      </c>
      <c r="AA85" s="22"/>
      <c r="AB85" s="39"/>
    </row>
    <row r="86" spans="1:28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2" t="str">
        <f t="shared" si="1"/>
        <v>Очікую</v>
      </c>
      <c r="AA86" s="22"/>
      <c r="AB86" s="39"/>
    </row>
    <row r="87" spans="1:28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2" t="str">
        <f t="shared" si="1"/>
        <v>Очікую</v>
      </c>
      <c r="AA87" s="22"/>
      <c r="AB87" s="39"/>
    </row>
    <row r="88" spans="1:28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2" t="str">
        <f t="shared" si="1"/>
        <v>Очікую</v>
      </c>
      <c r="AA88" s="22"/>
      <c r="AB88" s="39"/>
    </row>
    <row r="89" spans="1:28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2" t="str">
        <f t="shared" si="1"/>
        <v>Очікую</v>
      </c>
      <c r="AA89" s="22"/>
      <c r="AB89" s="39"/>
    </row>
    <row r="90" spans="1:28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2" t="str">
        <f t="shared" si="1"/>
        <v>Очікую</v>
      </c>
      <c r="AA90" s="22"/>
      <c r="AB90" s="39"/>
    </row>
    <row r="91" spans="1:28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2" t="str">
        <f t="shared" si="1"/>
        <v>Очікую</v>
      </c>
      <c r="AA91" s="22"/>
      <c r="AB91" s="39"/>
    </row>
    <row r="92" spans="1:28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2" t="str">
        <f t="shared" si="1"/>
        <v>Очікую</v>
      </c>
      <c r="AA92" s="22"/>
      <c r="AB92" s="39"/>
    </row>
    <row r="93" spans="1:28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2" t="str">
        <f t="shared" si="1"/>
        <v>Очікую</v>
      </c>
      <c r="AA93" s="22"/>
      <c r="AB93" s="39"/>
    </row>
    <row r="94" spans="1:28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2" t="str">
        <f t="shared" si="1"/>
        <v>Очікую</v>
      </c>
      <c r="AA94" s="22"/>
      <c r="AB94" s="39"/>
    </row>
    <row r="95" spans="1:28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2" t="str">
        <f t="shared" si="1"/>
        <v>Очікую</v>
      </c>
      <c r="AA95" s="22"/>
      <c r="AB95" s="39"/>
    </row>
    <row r="96" spans="1:28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2" t="str">
        <f t="shared" si="1"/>
        <v>Очікую</v>
      </c>
      <c r="AA96" s="22"/>
      <c r="AB96" s="39"/>
    </row>
    <row r="97" spans="1:28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2" t="str">
        <f t="shared" si="1"/>
        <v>Очікую</v>
      </c>
      <c r="AA97" s="22"/>
      <c r="AB97" s="39"/>
    </row>
    <row r="98" spans="1:28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2" t="str">
        <f t="shared" si="1"/>
        <v>Очікую</v>
      </c>
      <c r="AA98" s="22"/>
      <c r="AB98" s="39"/>
    </row>
    <row r="99" spans="1:28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2" t="str">
        <f t="shared" si="1"/>
        <v>Очікую</v>
      </c>
      <c r="AA99" s="22"/>
      <c r="AB99" s="39"/>
    </row>
    <row r="100" spans="1:28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2" t="str">
        <f t="shared" si="1"/>
        <v>Очікую</v>
      </c>
      <c r="AA100" s="22"/>
      <c r="AB100" s="39"/>
    </row>
    <row r="101" spans="1:28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2" t="str">
        <f t="shared" si="1"/>
        <v>Очікую</v>
      </c>
      <c r="AA101" s="22"/>
      <c r="AB101" s="39"/>
    </row>
    <row r="102" spans="1:28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2" t="str">
        <f t="shared" si="1"/>
        <v>Очікую</v>
      </c>
      <c r="AA102" s="22"/>
      <c r="AB102" s="39"/>
    </row>
    <row r="103" spans="1:28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2" t="str">
        <f t="shared" si="1"/>
        <v>Очікую</v>
      </c>
      <c r="AA103" s="22"/>
      <c r="AB103" s="39"/>
    </row>
    <row r="104" spans="1:28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2" t="str">
        <f t="shared" si="1"/>
        <v>Очікую</v>
      </c>
      <c r="AA104" s="22"/>
      <c r="AB104" s="39"/>
    </row>
    <row r="105" spans="1:28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2" t="str">
        <f t="shared" si="1"/>
        <v>Очікую</v>
      </c>
      <c r="AA105" s="22"/>
      <c r="AB105" s="39"/>
    </row>
    <row r="106" spans="1:28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2" t="str">
        <f t="shared" si="1"/>
        <v>Очікую</v>
      </c>
      <c r="AA106" s="22"/>
      <c r="AB106" s="39"/>
    </row>
    <row r="107" spans="1:28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2" t="str">
        <f t="shared" si="1"/>
        <v>Очікую</v>
      </c>
      <c r="AA107" s="22"/>
      <c r="AB107" s="39"/>
    </row>
    <row r="108" spans="1:28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2" t="str">
        <f t="shared" si="1"/>
        <v>Очікую</v>
      </c>
      <c r="AA108" s="22"/>
      <c r="AB108" s="39"/>
    </row>
    <row r="109" spans="1:28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2" t="str">
        <f t="shared" si="1"/>
        <v>Очікую</v>
      </c>
      <c r="AA109" s="22"/>
      <c r="AB109" s="39"/>
    </row>
    <row r="110" spans="1:28" ht="15" customHeight="1" x14ac:dyDescent="0.25">
      <c r="A110" s="40"/>
      <c r="B110" s="12"/>
      <c r="C110" s="6"/>
      <c r="D110" s="6"/>
      <c r="E110" s="7" t="s">
        <v>4</v>
      </c>
      <c r="F110" s="8" t="str">
        <f>IF(SUM(F10:F109)=0,IF(COUNTA(F10:F109)=0,"Очікую",0),SUM(F10:F109)/$D109)</f>
        <v>Очікую</v>
      </c>
      <c r="G110" s="8" t="str">
        <f t="shared" ref="G110:Y110" si="2">IF(SUM(G10:G109)=0,IF(COUNTA(G10:G109)=0,"Очікую",0),SUM(G10:G109)/$D109)</f>
        <v>Очікую</v>
      </c>
      <c r="H110" s="8" t="str">
        <f t="shared" si="2"/>
        <v>Очікую</v>
      </c>
      <c r="I110" s="8" t="str">
        <f t="shared" si="2"/>
        <v>Очікую</v>
      </c>
      <c r="J110" s="8" t="str">
        <f t="shared" si="2"/>
        <v>Очікую</v>
      </c>
      <c r="K110" s="8" t="str">
        <f t="shared" si="2"/>
        <v>Очікую</v>
      </c>
      <c r="L110" s="8" t="str">
        <f t="shared" si="2"/>
        <v>Очікую</v>
      </c>
      <c r="M110" s="8" t="str">
        <f t="shared" si="2"/>
        <v>Очікую</v>
      </c>
      <c r="N110" s="8" t="str">
        <f t="shared" si="2"/>
        <v>Очікую</v>
      </c>
      <c r="O110" s="8" t="str">
        <f t="shared" si="2"/>
        <v>Очікую</v>
      </c>
      <c r="P110" s="8" t="str">
        <f t="shared" si="2"/>
        <v>Очікую</v>
      </c>
      <c r="Q110" s="8" t="str">
        <f t="shared" si="2"/>
        <v>Очікую</v>
      </c>
      <c r="R110" s="8" t="str">
        <f t="shared" si="2"/>
        <v>Очікую</v>
      </c>
      <c r="S110" s="8" t="str">
        <f t="shared" si="2"/>
        <v>Очікую</v>
      </c>
      <c r="T110" s="8" t="str">
        <f t="shared" si="2"/>
        <v>Очікую</v>
      </c>
      <c r="U110" s="8" t="str">
        <f t="shared" si="2"/>
        <v>Очікую</v>
      </c>
      <c r="V110" s="8" t="str">
        <f t="shared" si="2"/>
        <v>Очікую</v>
      </c>
      <c r="W110" s="8" t="str">
        <f t="shared" si="2"/>
        <v>Очікую</v>
      </c>
      <c r="X110" s="8" t="str">
        <f t="shared" si="2"/>
        <v>Очікую</v>
      </c>
      <c r="Y110" s="8" t="str">
        <f t="shared" si="2"/>
        <v>Очікую</v>
      </c>
      <c r="Z110" s="9" t="str">
        <f>IFERROR(AVERAGE(F110:Y110),"Очікую")</f>
        <v>Очікую</v>
      </c>
      <c r="AA110" s="20"/>
      <c r="AB110" s="39"/>
    </row>
    <row r="111" spans="1:28" ht="15" customHeight="1" x14ac:dyDescent="0.25">
      <c r="A111" s="40"/>
      <c r="B111" s="12"/>
      <c r="C111" s="6"/>
      <c r="D111" s="6"/>
      <c r="E111" s="7" t="s">
        <v>5</v>
      </c>
      <c r="F111" s="43" t="str">
        <f>IF(SUM(F10:F109)=0,IF(COUNTA(F10:F109)=0,"Очікую",0),IF(COUNTIF(F10:F109,"&gt;=4")=0,0,COUNTIF(F10:F109,"&gt;=4")/$D109*100))</f>
        <v>Очікую</v>
      </c>
      <c r="G111" s="43" t="str">
        <f t="shared" ref="G111:Y111" si="3">IF(SUM(G10:G109)=0,IF(COUNTA(G10:G109)=0,"Очікую",0),IF(COUNTIF(G10:G109,"&gt;=4")=0,0,COUNTIF(G10:G109,"&gt;=4")/$D109*100))</f>
        <v>Очікую</v>
      </c>
      <c r="H111" s="43" t="str">
        <f t="shared" si="3"/>
        <v>Очікую</v>
      </c>
      <c r="I111" s="43" t="str">
        <f t="shared" si="3"/>
        <v>Очікую</v>
      </c>
      <c r="J111" s="43" t="str">
        <f t="shared" si="3"/>
        <v>Очікую</v>
      </c>
      <c r="K111" s="43" t="str">
        <f t="shared" si="3"/>
        <v>Очікую</v>
      </c>
      <c r="L111" s="43" t="str">
        <f t="shared" si="3"/>
        <v>Очікую</v>
      </c>
      <c r="M111" s="43" t="str">
        <f t="shared" si="3"/>
        <v>Очікую</v>
      </c>
      <c r="N111" s="43" t="str">
        <f t="shared" si="3"/>
        <v>Очікую</v>
      </c>
      <c r="O111" s="43" t="str">
        <f t="shared" si="3"/>
        <v>Очікую</v>
      </c>
      <c r="P111" s="43" t="str">
        <f t="shared" si="3"/>
        <v>Очікую</v>
      </c>
      <c r="Q111" s="43" t="str">
        <f t="shared" si="3"/>
        <v>Очікую</v>
      </c>
      <c r="R111" s="43" t="str">
        <f t="shared" si="3"/>
        <v>Очікую</v>
      </c>
      <c r="S111" s="43" t="str">
        <f t="shared" si="3"/>
        <v>Очікую</v>
      </c>
      <c r="T111" s="43" t="str">
        <f t="shared" si="3"/>
        <v>Очікую</v>
      </c>
      <c r="U111" s="43" t="str">
        <f t="shared" si="3"/>
        <v>Очікую</v>
      </c>
      <c r="V111" s="43" t="str">
        <f t="shared" si="3"/>
        <v>Очікую</v>
      </c>
      <c r="W111" s="43" t="str">
        <f t="shared" si="3"/>
        <v>Очікую</v>
      </c>
      <c r="X111" s="43" t="str">
        <f t="shared" si="3"/>
        <v>Очікую</v>
      </c>
      <c r="Y111" s="43" t="str">
        <f t="shared" si="3"/>
        <v>Очікую</v>
      </c>
      <c r="Z111" s="6"/>
      <c r="AA111" s="20"/>
      <c r="AB111" s="39"/>
    </row>
    <row r="112" spans="1:28" ht="15" customHeight="1" x14ac:dyDescent="0.25">
      <c r="A112" s="40"/>
      <c r="B112" s="12"/>
      <c r="C112" s="6"/>
      <c r="D112" s="6"/>
      <c r="E112" s="7" t="s">
        <v>6</v>
      </c>
      <c r="F112" s="43" t="str">
        <f>IF(SUM(F10:F109)=0,IF(COUNTA(F10:F109)=0,"Очікую",0),IF(COUNTIF(F10:F109,"&gt;=7")=0,0,COUNTIF(F10:F109,"&gt;=7")/$D109*100))</f>
        <v>Очікую</v>
      </c>
      <c r="G112" s="43" t="str">
        <f t="shared" ref="G112:Y112" si="4">IF(SUM(G10:G109)=0,IF(COUNTA(G10:G109)=0,"Очікую",0),IF(COUNTIF(G10:G109,"&gt;=7")=0,0,COUNTIF(G10:G109,"&gt;=7")/$D109*100))</f>
        <v>Очікую</v>
      </c>
      <c r="H112" s="43" t="str">
        <f t="shared" si="4"/>
        <v>Очікую</v>
      </c>
      <c r="I112" s="43" t="str">
        <f t="shared" si="4"/>
        <v>Очікую</v>
      </c>
      <c r="J112" s="43" t="str">
        <f t="shared" si="4"/>
        <v>Очікую</v>
      </c>
      <c r="K112" s="43" t="str">
        <f t="shared" si="4"/>
        <v>Очікую</v>
      </c>
      <c r="L112" s="43" t="str">
        <f t="shared" si="4"/>
        <v>Очікую</v>
      </c>
      <c r="M112" s="43" t="str">
        <f>IF(SUM(M10:M109)=0,IF(COUNTA(M10:M109)=0,"Очікую",0),IF(COUNTIF(M10:M109,"&gt;=7")=0,0,COUNTIF(M10:M109,"&gt;=7")/$D109*100))</f>
        <v>Очікую</v>
      </c>
      <c r="N112" s="43" t="str">
        <f t="shared" si="4"/>
        <v>Очікую</v>
      </c>
      <c r="O112" s="43" t="str">
        <f t="shared" si="4"/>
        <v>Очікую</v>
      </c>
      <c r="P112" s="43" t="str">
        <f t="shared" si="4"/>
        <v>Очікую</v>
      </c>
      <c r="Q112" s="43" t="str">
        <f t="shared" si="4"/>
        <v>Очікую</v>
      </c>
      <c r="R112" s="43" t="str">
        <f t="shared" si="4"/>
        <v>Очікую</v>
      </c>
      <c r="S112" s="43" t="str">
        <f t="shared" si="4"/>
        <v>Очікую</v>
      </c>
      <c r="T112" s="43" t="str">
        <f t="shared" si="4"/>
        <v>Очікую</v>
      </c>
      <c r="U112" s="43" t="str">
        <f t="shared" si="4"/>
        <v>Очікую</v>
      </c>
      <c r="V112" s="43" t="str">
        <f t="shared" si="4"/>
        <v>Очікую</v>
      </c>
      <c r="W112" s="43" t="str">
        <f t="shared" si="4"/>
        <v>Очікую</v>
      </c>
      <c r="X112" s="43" t="str">
        <f t="shared" si="4"/>
        <v>Очікую</v>
      </c>
      <c r="Y112" s="43" t="str">
        <f t="shared" si="4"/>
        <v>Очікую</v>
      </c>
      <c r="Z112" s="6"/>
      <c r="AA112" s="20"/>
      <c r="AB112" s="39"/>
    </row>
    <row r="113" spans="1:28" ht="15" customHeight="1" x14ac:dyDescent="0.25">
      <c r="A113" s="40"/>
      <c r="B113" s="12"/>
      <c r="C113" s="6"/>
      <c r="D113" s="6"/>
      <c r="E113" s="7" t="s">
        <v>7</v>
      </c>
      <c r="F113" s="8" t="str">
        <f>IFERROR(AVERAGE(F111:Y111),"Очікую")</f>
        <v>Очікую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0"/>
      <c r="AB113" s="39"/>
    </row>
    <row r="114" spans="1:28" ht="15" customHeight="1" x14ac:dyDescent="0.25">
      <c r="A114" s="40"/>
      <c r="B114" s="12"/>
      <c r="C114" s="6"/>
      <c r="D114" s="6"/>
      <c r="E114" s="7" t="s">
        <v>8</v>
      </c>
      <c r="F114" s="8" t="str">
        <f>IFERROR(AVERAGE(F112:Y112),"Очікую")</f>
        <v>Очікую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0"/>
      <c r="AB114" s="39"/>
    </row>
    <row r="115" spans="1:28" ht="15" customHeight="1" x14ac:dyDescent="0.25">
      <c r="A115" s="40"/>
      <c r="B115" s="12"/>
      <c r="C115" s="6"/>
      <c r="D115" s="6"/>
      <c r="E115" s="7" t="s">
        <v>9</v>
      </c>
      <c r="F115" s="5" t="str">
        <f>IF(COUNTIF(C10:C109,"=Б")=0,IF(COUNTIF(C10:C109,"=К")=0,"Очікую",0),COUNTIF(C10:C109,"=Б"))</f>
        <v>Очікую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2"/>
      <c r="X115" s="52"/>
      <c r="Y115" s="52"/>
      <c r="Z115" s="52"/>
      <c r="AA115" s="20"/>
      <c r="AB115" s="39"/>
    </row>
    <row r="116" spans="1:28" ht="15" customHeight="1" x14ac:dyDescent="0.3">
      <c r="A116" s="40"/>
      <c r="B116" s="12"/>
      <c r="C116" s="6"/>
      <c r="D116" s="6"/>
      <c r="E116" s="7" t="s">
        <v>10</v>
      </c>
      <c r="F116" s="5" t="str">
        <f>IF(COUNTIF(C10:C109,"=К")=0,IF(COUNTIF(C10:C109,"=Б")=0,"Очікую",0),COUNTIF(C10:C109,"=К"))</f>
        <v>Очікую</v>
      </c>
      <c r="G116" s="6"/>
      <c r="H116" s="55" t="s">
        <v>11</v>
      </c>
      <c r="I116" s="6"/>
      <c r="J116" s="6"/>
      <c r="K116" s="6"/>
      <c r="L116" s="6"/>
      <c r="M116" s="6"/>
      <c r="N116" s="55"/>
      <c r="O116" s="55"/>
      <c r="P116" s="55"/>
      <c r="Q116" s="55"/>
      <c r="R116" s="6"/>
      <c r="S116" s="6"/>
      <c r="T116" s="6"/>
      <c r="U116" s="56"/>
      <c r="V116" s="54"/>
      <c r="W116" s="54"/>
      <c r="X116" s="54"/>
      <c r="Y116" s="54"/>
      <c r="Z116" s="54"/>
      <c r="AA116" s="20"/>
      <c r="AB116" s="39"/>
    </row>
    <row r="117" spans="1:28" ht="15" customHeight="1" x14ac:dyDescent="0.25">
      <c r="A117" s="40"/>
      <c r="B117" s="12"/>
      <c r="C117" s="6"/>
      <c r="D117" s="6"/>
      <c r="E117" s="7" t="s">
        <v>12</v>
      </c>
      <c r="F117" s="4"/>
      <c r="G117" s="6"/>
      <c r="H117" s="55"/>
      <c r="I117" s="6"/>
      <c r="J117" s="6"/>
      <c r="K117" s="6"/>
      <c r="L117" s="6"/>
      <c r="M117" s="6"/>
      <c r="N117" s="55"/>
      <c r="O117" s="55"/>
      <c r="P117" s="55"/>
      <c r="Q117" s="55"/>
      <c r="R117" s="6"/>
      <c r="S117" s="6"/>
      <c r="T117" s="6"/>
      <c r="U117" s="56"/>
      <c r="V117" s="52"/>
      <c r="W117" s="52"/>
      <c r="X117" s="52"/>
      <c r="Y117" s="52"/>
      <c r="Z117" s="52"/>
      <c r="AA117" s="20"/>
      <c r="AB117" s="39"/>
    </row>
    <row r="118" spans="1:28" ht="15" customHeight="1" x14ac:dyDescent="0.3">
      <c r="A118" s="40"/>
      <c r="B118" s="12"/>
      <c r="C118" s="6"/>
      <c r="D118" s="6"/>
      <c r="E118" s="7" t="s">
        <v>13</v>
      </c>
      <c r="F118" s="5" t="str">
        <f>IF(F115="Очікую","Очікую",IF(F115-COUNTIF(Z10:Z109," - ")&lt;ROUNDDOWN(F115*0.4,0),F115-COUNTIF(Z10:Z109," - "),ROUNDDOWN(F115*0.4,0)))</f>
        <v>Очікую</v>
      </c>
      <c r="G118" s="6"/>
      <c r="H118" s="56" t="s">
        <v>14</v>
      </c>
      <c r="I118" s="6"/>
      <c r="J118" s="6"/>
      <c r="K118" s="6"/>
      <c r="L118" s="6"/>
      <c r="M118" s="6"/>
      <c r="N118" s="56"/>
      <c r="O118" s="56"/>
      <c r="P118" s="56"/>
      <c r="Q118" s="56"/>
      <c r="R118" s="6"/>
      <c r="S118" s="6"/>
      <c r="T118" s="6"/>
      <c r="U118" s="56"/>
      <c r="V118" s="54"/>
      <c r="W118" s="54"/>
      <c r="X118" s="54"/>
      <c r="Y118" s="54"/>
      <c r="Z118" s="54"/>
      <c r="AA118" s="20"/>
      <c r="AB118" s="39"/>
    </row>
    <row r="119" spans="1:28" ht="12" customHeight="1" thickBot="1" x14ac:dyDescent="0.3">
      <c r="A119" s="40"/>
      <c r="B119" s="21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39"/>
    </row>
    <row r="120" spans="1:28" ht="12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9"/>
    </row>
  </sheetData>
  <sheetProtection insertRows="0" deleteRows="0"/>
  <mergeCells count="10">
    <mergeCell ref="C3:Z3"/>
    <mergeCell ref="C4:Z4"/>
    <mergeCell ref="C5:Z5"/>
    <mergeCell ref="C6:Z6"/>
    <mergeCell ref="C7:Z7"/>
    <mergeCell ref="C8:C9"/>
    <mergeCell ref="D8:D9"/>
    <mergeCell ref="E8:E9"/>
    <mergeCell ref="F8:Y8"/>
    <mergeCell ref="Z8:Z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13CA-2BE8-4048-AFEB-AA7943841C57}">
  <sheetPr>
    <tabColor rgb="FFE26B0A"/>
    <pageSetUpPr fitToPage="1"/>
  </sheetPr>
  <dimension ref="A1:BQ115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9" width="5.7109375" style="1" hidden="1" customWidth="1"/>
    <col min="70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39"/>
    </row>
    <row r="3" spans="1:29" s="2" customFormat="1" ht="54.95" customHeight="1" x14ac:dyDescent="0.3">
      <c r="A3" s="40"/>
      <c r="B3" s="12"/>
      <c r="C3" s="69" t="s">
        <v>18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20"/>
      <c r="AC3" s="39"/>
    </row>
    <row r="4" spans="1:29" s="3" customFormat="1" ht="15" customHeight="1" x14ac:dyDescent="0.25">
      <c r="A4" s="40"/>
      <c r="B4" s="12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20"/>
      <c r="AC4" s="39"/>
    </row>
    <row r="5" spans="1:29" s="2" customFormat="1" ht="15" customHeight="1" x14ac:dyDescent="0.25">
      <c r="A5" s="40"/>
      <c r="B5" s="12"/>
      <c r="C5" s="71" t="str">
        <f>ЛЗ1!C5</f>
        <v>Успішності студентів спеціальності XXX «XXXXX»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20"/>
      <c r="AC5" s="39"/>
    </row>
    <row r="6" spans="1:29" s="2" customFormat="1" ht="15" customHeight="1" x14ac:dyDescent="0.25">
      <c r="A6" s="40"/>
      <c r="B6" s="12"/>
      <c r="C6" s="71" t="str">
        <f>ЛЗ1!C6</f>
        <v>За X семестр XXXX-XXXX н.р.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20"/>
      <c r="AC6" s="39"/>
    </row>
    <row r="7" spans="1:29" s="2" customFormat="1" ht="15" customHeight="1" x14ac:dyDescent="0.25">
      <c r="A7" s="40"/>
      <c r="B7" s="12"/>
      <c r="C7" s="72" t="str">
        <f>ЛЗ1!C7</f>
        <v>Група XXXX курс X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20"/>
      <c r="AC7" s="39"/>
    </row>
    <row r="8" spans="1:29" ht="15" customHeight="1" x14ac:dyDescent="0.25">
      <c r="A8" s="40"/>
      <c r="B8" s="12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67" t="s">
        <v>23</v>
      </c>
      <c r="AB8" s="20"/>
      <c r="AC8" s="39"/>
    </row>
    <row r="9" spans="1:29" ht="125.1" customHeight="1" x14ac:dyDescent="0.25">
      <c r="A9" s="40"/>
      <c r="B9" s="12"/>
      <c r="C9" s="62"/>
      <c r="D9" s="62"/>
      <c r="E9" s="62"/>
      <c r="F9" s="13">
        <v>1</v>
      </c>
      <c r="G9" s="13">
        <v>2</v>
      </c>
      <c r="H9" s="13">
        <v>3</v>
      </c>
      <c r="I9" s="13">
        <v>4</v>
      </c>
      <c r="J9" s="13">
        <v>5</v>
      </c>
      <c r="K9" s="13">
        <v>6</v>
      </c>
      <c r="L9" s="13">
        <v>7</v>
      </c>
      <c r="M9" s="13">
        <v>8</v>
      </c>
      <c r="N9" s="13">
        <v>9</v>
      </c>
      <c r="O9" s="13">
        <v>10</v>
      </c>
      <c r="P9" s="13">
        <v>11</v>
      </c>
      <c r="Q9" s="13">
        <v>12</v>
      </c>
      <c r="R9" s="13">
        <v>13</v>
      </c>
      <c r="S9" s="13">
        <v>14</v>
      </c>
      <c r="T9" s="13">
        <v>15</v>
      </c>
      <c r="U9" s="13">
        <v>16</v>
      </c>
      <c r="V9" s="13">
        <v>17</v>
      </c>
      <c r="W9" s="13">
        <v>18</v>
      </c>
      <c r="X9" s="13">
        <v>19</v>
      </c>
      <c r="Y9" s="13">
        <v>20</v>
      </c>
      <c r="Z9" s="68"/>
      <c r="AA9" s="68"/>
      <c r="AB9" s="20"/>
      <c r="AC9" s="39"/>
    </row>
    <row r="10" spans="1:29" s="11" customFormat="1" ht="15" customHeight="1" x14ac:dyDescent="0.25">
      <c r="A10" s="40"/>
      <c r="B10" s="12"/>
      <c r="C10" s="47"/>
      <c r="D10" s="47">
        <v>1</v>
      </c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57" t="str">
        <f>IF(COUNTIF(F10:Y10,"=*")&gt;0,IF($C10="К","-"," - "),IF(COUNTIF(F10:Y10,"&lt;4")&gt;0,IF(C10="К","-"," - "),(IFERROR(AVERAGE(F10:Y10),"Очікую"))))</f>
        <v>Очікую</v>
      </c>
      <c r="AA10" s="57" t="str">
        <f>IFERROR(Z10/12*90,"Очікую")</f>
        <v>Очікую</v>
      </c>
      <c r="AB10" s="22"/>
      <c r="AC10" s="39"/>
    </row>
    <row r="11" spans="1:29" s="11" customFormat="1" ht="15" customHeight="1" x14ac:dyDescent="0.25">
      <c r="A11" s="40"/>
      <c r="B11" s="12"/>
      <c r="C11" s="47"/>
      <c r="D11" s="47">
        <v>2</v>
      </c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57" t="str">
        <f t="shared" ref="Z11:Z74" si="0">IF(COUNTIF(E11:X11,"=*")&gt;0,IF($C11="К","-"," - "),IF(COUNTIF(E11:X11,"&lt;4")&gt;0,IF(B11="К","-"," - "),(IFERROR(AVERAGE(E11:X11),"Очікую"))))</f>
        <v>Очікую</v>
      </c>
      <c r="AA11" s="57" t="str">
        <f t="shared" ref="AA11:AA74" si="1">IFERROR(Z11/12*90,"Очікую")</f>
        <v>Очікую</v>
      </c>
      <c r="AB11" s="22"/>
      <c r="AC11" s="39"/>
    </row>
    <row r="12" spans="1:29" s="11" customFormat="1" ht="15" customHeight="1" x14ac:dyDescent="0.25">
      <c r="A12" s="40"/>
      <c r="B12" s="12"/>
      <c r="C12" s="47"/>
      <c r="D12" s="47">
        <v>3</v>
      </c>
      <c r="E12" s="48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7" t="str">
        <f t="shared" si="0"/>
        <v>Очікую</v>
      </c>
      <c r="AA12" s="57" t="str">
        <f t="shared" si="1"/>
        <v>Очікую</v>
      </c>
      <c r="AB12" s="22"/>
      <c r="AC12" s="39"/>
    </row>
    <row r="13" spans="1:29" s="11" customFormat="1" ht="15" customHeight="1" x14ac:dyDescent="0.25">
      <c r="A13" s="40"/>
      <c r="B13" s="12"/>
      <c r="C13" s="47"/>
      <c r="D13" s="47">
        <v>4</v>
      </c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7" t="str">
        <f t="shared" si="0"/>
        <v>Очікую</v>
      </c>
      <c r="AA13" s="57" t="str">
        <f t="shared" si="1"/>
        <v>Очікую</v>
      </c>
      <c r="AB13" s="22"/>
      <c r="AC13" s="39"/>
    </row>
    <row r="14" spans="1:29" s="11" customFormat="1" ht="15" customHeight="1" x14ac:dyDescent="0.25">
      <c r="A14" s="40"/>
      <c r="B14" s="12"/>
      <c r="C14" s="47"/>
      <c r="D14" s="47">
        <v>5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57" t="str">
        <f t="shared" si="0"/>
        <v>Очікую</v>
      </c>
      <c r="AA14" s="57" t="str">
        <f t="shared" si="1"/>
        <v>Очікую</v>
      </c>
      <c r="AB14" s="22"/>
      <c r="AC14" s="39"/>
    </row>
    <row r="15" spans="1:29" s="11" customFormat="1" ht="15" customHeight="1" x14ac:dyDescent="0.25">
      <c r="A15" s="40"/>
      <c r="B15" s="12"/>
      <c r="C15" s="47"/>
      <c r="D15" s="47">
        <v>6</v>
      </c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57" t="str">
        <f t="shared" si="0"/>
        <v>Очікую</v>
      </c>
      <c r="AA15" s="57" t="str">
        <f t="shared" si="1"/>
        <v>Очікую</v>
      </c>
      <c r="AB15" s="22"/>
      <c r="AC15" s="39"/>
    </row>
    <row r="16" spans="1:29" s="11" customFormat="1" ht="15" customHeight="1" x14ac:dyDescent="0.25">
      <c r="A16" s="40"/>
      <c r="B16" s="12"/>
      <c r="C16" s="47"/>
      <c r="D16" s="47">
        <v>7</v>
      </c>
      <c r="E16" s="48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7" t="str">
        <f t="shared" si="0"/>
        <v>Очікую</v>
      </c>
      <c r="AA16" s="57" t="str">
        <f t="shared" si="1"/>
        <v>Очікую</v>
      </c>
      <c r="AB16" s="22"/>
      <c r="AC16" s="39"/>
    </row>
    <row r="17" spans="1:29" s="11" customFormat="1" ht="15" customHeight="1" x14ac:dyDescent="0.25">
      <c r="A17" s="40"/>
      <c r="B17" s="12"/>
      <c r="C17" s="47"/>
      <c r="D17" s="47">
        <v>8</v>
      </c>
      <c r="E17" s="48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7" t="str">
        <f t="shared" si="0"/>
        <v>Очікую</v>
      </c>
      <c r="AA17" s="57" t="str">
        <f t="shared" si="1"/>
        <v>Очікую</v>
      </c>
      <c r="AB17" s="22"/>
      <c r="AC17" s="39"/>
    </row>
    <row r="18" spans="1:29" s="11" customFormat="1" ht="15" customHeight="1" x14ac:dyDescent="0.25">
      <c r="A18" s="40"/>
      <c r="B18" s="12"/>
      <c r="C18" s="47"/>
      <c r="D18" s="47">
        <v>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57" t="str">
        <f t="shared" si="0"/>
        <v>Очікую</v>
      </c>
      <c r="AA18" s="57" t="str">
        <f t="shared" si="1"/>
        <v>Очікую</v>
      </c>
      <c r="AB18" s="22"/>
      <c r="AC18" s="39"/>
    </row>
    <row r="19" spans="1:29" s="11" customFormat="1" ht="15" customHeight="1" x14ac:dyDescent="0.25">
      <c r="A19" s="40"/>
      <c r="B19" s="12"/>
      <c r="C19" s="47"/>
      <c r="D19" s="47">
        <v>10</v>
      </c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57" t="str">
        <f t="shared" si="0"/>
        <v>Очікую</v>
      </c>
      <c r="AA19" s="57" t="str">
        <f t="shared" si="1"/>
        <v>Очікую</v>
      </c>
      <c r="AB19" s="22"/>
      <c r="AC19" s="39"/>
    </row>
    <row r="20" spans="1:29" s="11" customFormat="1" ht="15" customHeight="1" x14ac:dyDescent="0.25">
      <c r="A20" s="40"/>
      <c r="B20" s="12"/>
      <c r="C20" s="47"/>
      <c r="D20" s="47">
        <v>11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7" t="str">
        <f t="shared" si="0"/>
        <v>Очікую</v>
      </c>
      <c r="AA20" s="57" t="str">
        <f t="shared" si="1"/>
        <v>Очікую</v>
      </c>
      <c r="AB20" s="22"/>
      <c r="AC20" s="39"/>
    </row>
    <row r="21" spans="1:29" s="11" customFormat="1" ht="15" customHeight="1" x14ac:dyDescent="0.25">
      <c r="A21" s="40"/>
      <c r="B21" s="12"/>
      <c r="C21" s="47"/>
      <c r="D21" s="47">
        <v>12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7" t="str">
        <f t="shared" si="0"/>
        <v>Очікую</v>
      </c>
      <c r="AA21" s="57" t="str">
        <f t="shared" si="1"/>
        <v>Очікую</v>
      </c>
      <c r="AB21" s="22"/>
      <c r="AC21" s="39"/>
    </row>
    <row r="22" spans="1:29" s="11" customFormat="1" ht="15" customHeight="1" x14ac:dyDescent="0.25">
      <c r="A22" s="40"/>
      <c r="B22" s="12"/>
      <c r="C22" s="47"/>
      <c r="D22" s="47">
        <v>13</v>
      </c>
      <c r="E22" s="48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57" t="str">
        <f t="shared" si="0"/>
        <v>Очікую</v>
      </c>
      <c r="AA22" s="57" t="str">
        <f t="shared" si="1"/>
        <v>Очікую</v>
      </c>
      <c r="AB22" s="22"/>
      <c r="AC22" s="39"/>
    </row>
    <row r="23" spans="1:29" s="11" customFormat="1" ht="15" customHeight="1" x14ac:dyDescent="0.25">
      <c r="A23" s="40"/>
      <c r="B23" s="12"/>
      <c r="C23" s="47"/>
      <c r="D23" s="47">
        <v>14</v>
      </c>
      <c r="E23" s="48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57" t="str">
        <f t="shared" si="0"/>
        <v>Очікую</v>
      </c>
      <c r="AA23" s="57" t="str">
        <f t="shared" si="1"/>
        <v>Очікую</v>
      </c>
      <c r="AB23" s="22"/>
      <c r="AC23" s="39"/>
    </row>
    <row r="24" spans="1:29" s="11" customFormat="1" ht="15" customHeight="1" x14ac:dyDescent="0.25">
      <c r="A24" s="40"/>
      <c r="B24" s="12"/>
      <c r="C24" s="47"/>
      <c r="D24" s="47">
        <v>15</v>
      </c>
      <c r="E24" s="48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57" t="str">
        <f t="shared" si="0"/>
        <v>Очікую</v>
      </c>
      <c r="AA24" s="57" t="str">
        <f t="shared" si="1"/>
        <v>Очікую</v>
      </c>
      <c r="AB24" s="22"/>
      <c r="AC24" s="39"/>
    </row>
    <row r="25" spans="1:29" s="11" customFormat="1" ht="15" customHeight="1" x14ac:dyDescent="0.25">
      <c r="A25" s="40"/>
      <c r="B25" s="12"/>
      <c r="C25" s="47"/>
      <c r="D25" s="47">
        <v>16</v>
      </c>
      <c r="E25" s="48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57" t="str">
        <f t="shared" si="0"/>
        <v>Очікую</v>
      </c>
      <c r="AA25" s="57" t="str">
        <f t="shared" si="1"/>
        <v>Очікую</v>
      </c>
      <c r="AB25" s="22"/>
      <c r="AC25" s="39"/>
    </row>
    <row r="26" spans="1:29" s="11" customFormat="1" ht="15" customHeight="1" x14ac:dyDescent="0.25">
      <c r="A26" s="40"/>
      <c r="B26" s="12"/>
      <c r="C26" s="47"/>
      <c r="D26" s="47">
        <v>17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57" t="str">
        <f t="shared" si="0"/>
        <v>Очікую</v>
      </c>
      <c r="AA26" s="57" t="str">
        <f t="shared" si="1"/>
        <v>Очікую</v>
      </c>
      <c r="AB26" s="22"/>
      <c r="AC26" s="39"/>
    </row>
    <row r="27" spans="1:29" s="11" customFormat="1" ht="15" customHeight="1" x14ac:dyDescent="0.25">
      <c r="A27" s="40"/>
      <c r="B27" s="12"/>
      <c r="C27" s="47"/>
      <c r="D27" s="47">
        <v>18</v>
      </c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57" t="str">
        <f t="shared" si="0"/>
        <v>Очікую</v>
      </c>
      <c r="AA27" s="57" t="str">
        <f t="shared" si="1"/>
        <v>Очікую</v>
      </c>
      <c r="AB27" s="22"/>
      <c r="AC27" s="39"/>
    </row>
    <row r="28" spans="1:29" s="11" customFormat="1" ht="15" customHeight="1" x14ac:dyDescent="0.25">
      <c r="A28" s="40"/>
      <c r="B28" s="12"/>
      <c r="C28" s="47"/>
      <c r="D28" s="47">
        <v>19</v>
      </c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57" t="str">
        <f t="shared" si="0"/>
        <v>Очікую</v>
      </c>
      <c r="AA28" s="57" t="str">
        <f t="shared" si="1"/>
        <v>Очікую</v>
      </c>
      <c r="AB28" s="22"/>
      <c r="AC28" s="39"/>
    </row>
    <row r="29" spans="1:29" s="11" customFormat="1" ht="15" customHeight="1" x14ac:dyDescent="0.25">
      <c r="A29" s="40"/>
      <c r="B29" s="12"/>
      <c r="C29" s="47"/>
      <c r="D29" s="47">
        <v>20</v>
      </c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57" t="str">
        <f t="shared" si="0"/>
        <v>Очікую</v>
      </c>
      <c r="AA29" s="57" t="str">
        <f t="shared" si="1"/>
        <v>Очікую</v>
      </c>
      <c r="AB29" s="22"/>
      <c r="AC29" s="39"/>
    </row>
    <row r="30" spans="1:29" s="11" customFormat="1" ht="15" customHeight="1" x14ac:dyDescent="0.25">
      <c r="A30" s="40"/>
      <c r="B30" s="12"/>
      <c r="C30" s="47"/>
      <c r="D30" s="47">
        <v>21</v>
      </c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57" t="str">
        <f t="shared" si="0"/>
        <v>Очікую</v>
      </c>
      <c r="AA30" s="57" t="str">
        <f t="shared" si="1"/>
        <v>Очікую</v>
      </c>
      <c r="AB30" s="22"/>
      <c r="AC30" s="39"/>
    </row>
    <row r="31" spans="1:29" s="11" customFormat="1" ht="15" customHeight="1" x14ac:dyDescent="0.25">
      <c r="A31" s="40"/>
      <c r="B31" s="12"/>
      <c r="C31" s="47"/>
      <c r="D31" s="47">
        <v>22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7" t="str">
        <f t="shared" si="0"/>
        <v>Очікую</v>
      </c>
      <c r="AA31" s="57" t="str">
        <f t="shared" si="1"/>
        <v>Очікую</v>
      </c>
      <c r="AB31" s="22"/>
      <c r="AC31" s="39"/>
    </row>
    <row r="32" spans="1:29" s="11" customFormat="1" ht="15" customHeight="1" x14ac:dyDescent="0.25">
      <c r="A32" s="40"/>
      <c r="B32" s="12"/>
      <c r="C32" s="47"/>
      <c r="D32" s="47">
        <v>23</v>
      </c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57" t="str">
        <f t="shared" si="0"/>
        <v>Очікую</v>
      </c>
      <c r="AA32" s="57" t="str">
        <f t="shared" si="1"/>
        <v>Очікую</v>
      </c>
      <c r="AB32" s="22"/>
      <c r="AC32" s="39"/>
    </row>
    <row r="33" spans="1:29" s="11" customFormat="1" ht="15" customHeight="1" x14ac:dyDescent="0.25">
      <c r="A33" s="40"/>
      <c r="B33" s="12"/>
      <c r="C33" s="47"/>
      <c r="D33" s="47">
        <v>24</v>
      </c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57" t="str">
        <f t="shared" si="0"/>
        <v>Очікую</v>
      </c>
      <c r="AA33" s="57" t="str">
        <f t="shared" si="1"/>
        <v>Очікую</v>
      </c>
      <c r="AB33" s="22"/>
      <c r="AC33" s="39"/>
    </row>
    <row r="34" spans="1:29" s="11" customFormat="1" ht="15" customHeight="1" x14ac:dyDescent="0.25">
      <c r="A34" s="40"/>
      <c r="B34" s="12"/>
      <c r="C34" s="47"/>
      <c r="D34" s="47">
        <v>25</v>
      </c>
      <c r="E34" s="48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57" t="str">
        <f t="shared" si="0"/>
        <v>Очікую</v>
      </c>
      <c r="AA34" s="57" t="str">
        <f t="shared" si="1"/>
        <v>Очікую</v>
      </c>
      <c r="AB34" s="22"/>
      <c r="AC34" s="39"/>
    </row>
    <row r="35" spans="1:29" s="11" customFormat="1" ht="15" customHeight="1" x14ac:dyDescent="0.25">
      <c r="A35" s="40"/>
      <c r="B35" s="12"/>
      <c r="C35" s="47"/>
      <c r="D35" s="47">
        <v>26</v>
      </c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57" t="str">
        <f t="shared" si="0"/>
        <v>Очікую</v>
      </c>
      <c r="AA35" s="57" t="str">
        <f t="shared" si="1"/>
        <v>Очікую</v>
      </c>
      <c r="AB35" s="22"/>
      <c r="AC35" s="39"/>
    </row>
    <row r="36" spans="1:29" s="11" customFormat="1" ht="15" customHeight="1" x14ac:dyDescent="0.25">
      <c r="A36" s="40"/>
      <c r="B36" s="12"/>
      <c r="C36" s="47"/>
      <c r="D36" s="47">
        <v>27</v>
      </c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57" t="str">
        <f t="shared" si="0"/>
        <v>Очікую</v>
      </c>
      <c r="AA36" s="57" t="str">
        <f t="shared" si="1"/>
        <v>Очікую</v>
      </c>
      <c r="AB36" s="22"/>
      <c r="AC36" s="39"/>
    </row>
    <row r="37" spans="1:29" s="11" customFormat="1" ht="15" customHeight="1" x14ac:dyDescent="0.25">
      <c r="A37" s="40"/>
      <c r="B37" s="12"/>
      <c r="C37" s="47"/>
      <c r="D37" s="47">
        <v>28</v>
      </c>
      <c r="E37" s="48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57" t="str">
        <f t="shared" si="0"/>
        <v>Очікую</v>
      </c>
      <c r="AA37" s="57" t="str">
        <f t="shared" si="1"/>
        <v>Очікую</v>
      </c>
      <c r="AB37" s="22"/>
      <c r="AC37" s="39"/>
    </row>
    <row r="38" spans="1:29" s="11" customFormat="1" ht="15" customHeight="1" x14ac:dyDescent="0.25">
      <c r="A38" s="40"/>
      <c r="B38" s="12"/>
      <c r="C38" s="47"/>
      <c r="D38" s="47">
        <v>29</v>
      </c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7" t="str">
        <f t="shared" si="0"/>
        <v>Очікую</v>
      </c>
      <c r="AA38" s="57" t="str">
        <f t="shared" si="1"/>
        <v>Очікую</v>
      </c>
      <c r="AB38" s="22"/>
      <c r="AC38" s="39"/>
    </row>
    <row r="39" spans="1:29" s="11" customFormat="1" ht="15" customHeight="1" x14ac:dyDescent="0.25">
      <c r="A39" s="40"/>
      <c r="B39" s="12"/>
      <c r="C39" s="47"/>
      <c r="D39" s="47">
        <v>30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57" t="str">
        <f t="shared" si="0"/>
        <v>Очікую</v>
      </c>
      <c r="AA39" s="57" t="str">
        <f t="shared" si="1"/>
        <v>Очікую</v>
      </c>
      <c r="AB39" s="22"/>
      <c r="AC39" s="39"/>
    </row>
    <row r="40" spans="1:29" s="11" customFormat="1" ht="15" customHeight="1" x14ac:dyDescent="0.25">
      <c r="A40" s="40"/>
      <c r="B40" s="12"/>
      <c r="C40" s="47"/>
      <c r="D40" s="47">
        <v>31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57" t="str">
        <f t="shared" si="0"/>
        <v>Очікую</v>
      </c>
      <c r="AA40" s="57" t="str">
        <f t="shared" si="1"/>
        <v>Очікую</v>
      </c>
      <c r="AB40" s="22"/>
      <c r="AC40" s="39"/>
    </row>
    <row r="41" spans="1:29" s="11" customFormat="1" ht="15" customHeight="1" x14ac:dyDescent="0.25">
      <c r="A41" s="40"/>
      <c r="B41" s="12"/>
      <c r="C41" s="47"/>
      <c r="D41" s="47">
        <v>32</v>
      </c>
      <c r="E41" s="48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57" t="str">
        <f t="shared" si="0"/>
        <v>Очікую</v>
      </c>
      <c r="AA41" s="57" t="str">
        <f t="shared" si="1"/>
        <v>Очікую</v>
      </c>
      <c r="AB41" s="22"/>
      <c r="AC41" s="39"/>
    </row>
    <row r="42" spans="1:29" s="11" customFormat="1" ht="15" customHeight="1" x14ac:dyDescent="0.25">
      <c r="A42" s="40"/>
      <c r="B42" s="12"/>
      <c r="C42" s="47"/>
      <c r="D42" s="47">
        <v>33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57" t="str">
        <f t="shared" si="0"/>
        <v>Очікую</v>
      </c>
      <c r="AA42" s="57" t="str">
        <f t="shared" si="1"/>
        <v>Очікую</v>
      </c>
      <c r="AB42" s="22"/>
      <c r="AC42" s="39"/>
    </row>
    <row r="43" spans="1:29" s="11" customFormat="1" ht="15" customHeight="1" x14ac:dyDescent="0.25">
      <c r="A43" s="40"/>
      <c r="B43" s="12"/>
      <c r="C43" s="47"/>
      <c r="D43" s="47">
        <v>34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57" t="str">
        <f t="shared" si="0"/>
        <v>Очікую</v>
      </c>
      <c r="AA43" s="57" t="str">
        <f t="shared" si="1"/>
        <v>Очікую</v>
      </c>
      <c r="AB43" s="22"/>
      <c r="AC43" s="39"/>
    </row>
    <row r="44" spans="1:29" s="11" customFormat="1" ht="15" customHeight="1" x14ac:dyDescent="0.25">
      <c r="A44" s="40"/>
      <c r="B44" s="12"/>
      <c r="C44" s="47"/>
      <c r="D44" s="47">
        <v>35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57" t="str">
        <f t="shared" si="0"/>
        <v>Очікую</v>
      </c>
      <c r="AA44" s="57" t="str">
        <f t="shared" si="1"/>
        <v>Очікую</v>
      </c>
      <c r="AB44" s="22"/>
      <c r="AC44" s="39"/>
    </row>
    <row r="45" spans="1:29" s="11" customFormat="1" ht="15" customHeight="1" x14ac:dyDescent="0.25">
      <c r="A45" s="40"/>
      <c r="B45" s="12"/>
      <c r="C45" s="47"/>
      <c r="D45" s="47">
        <v>36</v>
      </c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57" t="str">
        <f t="shared" si="0"/>
        <v>Очікую</v>
      </c>
      <c r="AA45" s="57" t="str">
        <f t="shared" si="1"/>
        <v>Очікую</v>
      </c>
      <c r="AB45" s="22"/>
      <c r="AC45" s="39"/>
    </row>
    <row r="46" spans="1:29" s="11" customFormat="1" ht="15" customHeight="1" x14ac:dyDescent="0.25">
      <c r="A46" s="40"/>
      <c r="B46" s="12"/>
      <c r="C46" s="47"/>
      <c r="D46" s="47">
        <v>37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57" t="str">
        <f t="shared" si="0"/>
        <v>Очікую</v>
      </c>
      <c r="AA46" s="57" t="str">
        <f t="shared" si="1"/>
        <v>Очікую</v>
      </c>
      <c r="AB46" s="22"/>
      <c r="AC46" s="39"/>
    </row>
    <row r="47" spans="1:29" s="11" customFormat="1" ht="15" customHeight="1" x14ac:dyDescent="0.25">
      <c r="A47" s="40"/>
      <c r="B47" s="12"/>
      <c r="C47" s="47"/>
      <c r="D47" s="47">
        <v>38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57" t="str">
        <f t="shared" si="0"/>
        <v>Очікую</v>
      </c>
      <c r="AA47" s="57" t="str">
        <f t="shared" si="1"/>
        <v>Очікую</v>
      </c>
      <c r="AB47" s="22"/>
      <c r="AC47" s="39"/>
    </row>
    <row r="48" spans="1:29" s="11" customFormat="1" ht="15" customHeight="1" x14ac:dyDescent="0.25">
      <c r="A48" s="40"/>
      <c r="B48" s="12"/>
      <c r="C48" s="47"/>
      <c r="D48" s="47">
        <v>39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57" t="str">
        <f t="shared" si="0"/>
        <v>Очікую</v>
      </c>
      <c r="AA48" s="57" t="str">
        <f t="shared" si="1"/>
        <v>Очікую</v>
      </c>
      <c r="AB48" s="22"/>
      <c r="AC48" s="39"/>
    </row>
    <row r="49" spans="1:29" s="11" customFormat="1" ht="15" customHeight="1" x14ac:dyDescent="0.25">
      <c r="A49" s="40"/>
      <c r="B49" s="12"/>
      <c r="C49" s="47"/>
      <c r="D49" s="47">
        <v>40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57" t="str">
        <f t="shared" si="0"/>
        <v>Очікую</v>
      </c>
      <c r="AA49" s="57" t="str">
        <f t="shared" si="1"/>
        <v>Очікую</v>
      </c>
      <c r="AB49" s="22"/>
      <c r="AC49" s="39"/>
    </row>
    <row r="50" spans="1:29" s="11" customFormat="1" ht="15" customHeight="1" x14ac:dyDescent="0.25">
      <c r="A50" s="40"/>
      <c r="B50" s="12"/>
      <c r="C50" s="47"/>
      <c r="D50" s="47">
        <v>41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57" t="str">
        <f t="shared" si="0"/>
        <v>Очікую</v>
      </c>
      <c r="AA50" s="57" t="str">
        <f t="shared" si="1"/>
        <v>Очікую</v>
      </c>
      <c r="AB50" s="22"/>
      <c r="AC50" s="39"/>
    </row>
    <row r="51" spans="1:29" s="11" customFormat="1" ht="15" customHeight="1" x14ac:dyDescent="0.25">
      <c r="A51" s="40"/>
      <c r="B51" s="12"/>
      <c r="C51" s="47"/>
      <c r="D51" s="47">
        <v>42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57" t="str">
        <f t="shared" si="0"/>
        <v>Очікую</v>
      </c>
      <c r="AA51" s="57" t="str">
        <f t="shared" si="1"/>
        <v>Очікую</v>
      </c>
      <c r="AB51" s="22"/>
      <c r="AC51" s="39"/>
    </row>
    <row r="52" spans="1:29" s="11" customFormat="1" ht="15" customHeight="1" x14ac:dyDescent="0.25">
      <c r="A52" s="40"/>
      <c r="B52" s="12"/>
      <c r="C52" s="47"/>
      <c r="D52" s="47">
        <v>43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57" t="str">
        <f t="shared" si="0"/>
        <v>Очікую</v>
      </c>
      <c r="AA52" s="57" t="str">
        <f t="shared" si="1"/>
        <v>Очікую</v>
      </c>
      <c r="AB52" s="22"/>
      <c r="AC52" s="39"/>
    </row>
    <row r="53" spans="1:29" s="11" customFormat="1" ht="15" customHeight="1" x14ac:dyDescent="0.25">
      <c r="A53" s="40"/>
      <c r="B53" s="12"/>
      <c r="C53" s="47"/>
      <c r="D53" s="47">
        <v>44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57" t="str">
        <f t="shared" si="0"/>
        <v>Очікую</v>
      </c>
      <c r="AA53" s="57" t="str">
        <f t="shared" si="1"/>
        <v>Очікую</v>
      </c>
      <c r="AB53" s="22"/>
      <c r="AC53" s="39"/>
    </row>
    <row r="54" spans="1:29" s="11" customFormat="1" ht="15" customHeight="1" x14ac:dyDescent="0.25">
      <c r="A54" s="40"/>
      <c r="B54" s="12"/>
      <c r="C54" s="47"/>
      <c r="D54" s="47">
        <v>45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57" t="str">
        <f t="shared" si="0"/>
        <v>Очікую</v>
      </c>
      <c r="AA54" s="57" t="str">
        <f t="shared" si="1"/>
        <v>Очікую</v>
      </c>
      <c r="AB54" s="22"/>
      <c r="AC54" s="39"/>
    </row>
    <row r="55" spans="1:29" s="11" customFormat="1" ht="15" customHeight="1" x14ac:dyDescent="0.25">
      <c r="A55" s="40"/>
      <c r="B55" s="12"/>
      <c r="C55" s="47"/>
      <c r="D55" s="47">
        <v>46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57" t="str">
        <f t="shared" si="0"/>
        <v>Очікую</v>
      </c>
      <c r="AA55" s="57" t="str">
        <f t="shared" si="1"/>
        <v>Очікую</v>
      </c>
      <c r="AB55" s="22"/>
      <c r="AC55" s="39"/>
    </row>
    <row r="56" spans="1:29" s="11" customFormat="1" ht="15" customHeight="1" x14ac:dyDescent="0.25">
      <c r="A56" s="40"/>
      <c r="B56" s="12"/>
      <c r="C56" s="47"/>
      <c r="D56" s="47">
        <v>47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57" t="str">
        <f t="shared" si="0"/>
        <v>Очікую</v>
      </c>
      <c r="AA56" s="57" t="str">
        <f t="shared" si="1"/>
        <v>Очікую</v>
      </c>
      <c r="AB56" s="22"/>
      <c r="AC56" s="39"/>
    </row>
    <row r="57" spans="1:29" s="11" customFormat="1" ht="15" customHeight="1" x14ac:dyDescent="0.25">
      <c r="A57" s="40"/>
      <c r="B57" s="12"/>
      <c r="C57" s="47"/>
      <c r="D57" s="47">
        <v>48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57" t="str">
        <f t="shared" si="0"/>
        <v>Очікую</v>
      </c>
      <c r="AA57" s="57" t="str">
        <f t="shared" si="1"/>
        <v>Очікую</v>
      </c>
      <c r="AB57" s="22"/>
      <c r="AC57" s="39"/>
    </row>
    <row r="58" spans="1:29" s="11" customFormat="1" ht="15" customHeight="1" x14ac:dyDescent="0.25">
      <c r="A58" s="40"/>
      <c r="B58" s="12"/>
      <c r="C58" s="47"/>
      <c r="D58" s="47">
        <v>49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57" t="str">
        <f t="shared" si="0"/>
        <v>Очікую</v>
      </c>
      <c r="AA58" s="57" t="str">
        <f t="shared" si="1"/>
        <v>Очікую</v>
      </c>
      <c r="AB58" s="22"/>
      <c r="AC58" s="39"/>
    </row>
    <row r="59" spans="1:29" s="11" customFormat="1" ht="15" customHeight="1" x14ac:dyDescent="0.25">
      <c r="A59" s="40"/>
      <c r="B59" s="12"/>
      <c r="C59" s="47"/>
      <c r="D59" s="47">
        <v>50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57" t="str">
        <f t="shared" si="0"/>
        <v>Очікую</v>
      </c>
      <c r="AA59" s="57" t="str">
        <f t="shared" si="1"/>
        <v>Очікую</v>
      </c>
      <c r="AB59" s="22"/>
      <c r="AC59" s="39"/>
    </row>
    <row r="60" spans="1:29" s="11" customFormat="1" ht="15" customHeight="1" x14ac:dyDescent="0.25">
      <c r="A60" s="40"/>
      <c r="B60" s="12"/>
      <c r="C60" s="47"/>
      <c r="D60" s="47">
        <v>51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57" t="str">
        <f t="shared" si="0"/>
        <v>Очікую</v>
      </c>
      <c r="AA60" s="57" t="str">
        <f t="shared" si="1"/>
        <v>Очікую</v>
      </c>
      <c r="AB60" s="22"/>
      <c r="AC60" s="39"/>
    </row>
    <row r="61" spans="1:29" s="11" customFormat="1" ht="15" customHeight="1" x14ac:dyDescent="0.25">
      <c r="A61" s="40"/>
      <c r="B61" s="12"/>
      <c r="C61" s="47"/>
      <c r="D61" s="47">
        <v>52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57" t="str">
        <f t="shared" si="0"/>
        <v>Очікую</v>
      </c>
      <c r="AA61" s="57" t="str">
        <f t="shared" si="1"/>
        <v>Очікую</v>
      </c>
      <c r="AB61" s="22"/>
      <c r="AC61" s="39"/>
    </row>
    <row r="62" spans="1:29" s="11" customFormat="1" ht="15" customHeight="1" x14ac:dyDescent="0.25">
      <c r="A62" s="40"/>
      <c r="B62" s="12"/>
      <c r="C62" s="47"/>
      <c r="D62" s="47">
        <v>53</v>
      </c>
      <c r="E62" s="48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57" t="str">
        <f t="shared" si="0"/>
        <v>Очікую</v>
      </c>
      <c r="AA62" s="57" t="str">
        <f t="shared" si="1"/>
        <v>Очікую</v>
      </c>
      <c r="AB62" s="22"/>
      <c r="AC62" s="39"/>
    </row>
    <row r="63" spans="1:29" s="11" customFormat="1" ht="15" customHeight="1" x14ac:dyDescent="0.25">
      <c r="A63" s="40"/>
      <c r="B63" s="12"/>
      <c r="C63" s="47"/>
      <c r="D63" s="47">
        <v>54</v>
      </c>
      <c r="E63" s="48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57" t="str">
        <f t="shared" si="0"/>
        <v>Очікую</v>
      </c>
      <c r="AA63" s="57" t="str">
        <f t="shared" si="1"/>
        <v>Очікую</v>
      </c>
      <c r="AB63" s="22"/>
      <c r="AC63" s="39"/>
    </row>
    <row r="64" spans="1:29" s="11" customFormat="1" ht="15" customHeight="1" x14ac:dyDescent="0.25">
      <c r="A64" s="40"/>
      <c r="B64" s="12"/>
      <c r="C64" s="47"/>
      <c r="D64" s="47">
        <v>55</v>
      </c>
      <c r="E64" s="48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57" t="str">
        <f t="shared" si="0"/>
        <v>Очікую</v>
      </c>
      <c r="AA64" s="57" t="str">
        <f t="shared" si="1"/>
        <v>Очікую</v>
      </c>
      <c r="AB64" s="22"/>
      <c r="AC64" s="39"/>
    </row>
    <row r="65" spans="1:29" s="11" customFormat="1" ht="15" customHeight="1" x14ac:dyDescent="0.25">
      <c r="A65" s="40"/>
      <c r="B65" s="12"/>
      <c r="C65" s="47"/>
      <c r="D65" s="47">
        <v>56</v>
      </c>
      <c r="E65" s="48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57" t="str">
        <f t="shared" si="0"/>
        <v>Очікую</v>
      </c>
      <c r="AA65" s="57" t="str">
        <f t="shared" si="1"/>
        <v>Очікую</v>
      </c>
      <c r="AB65" s="22"/>
      <c r="AC65" s="39"/>
    </row>
    <row r="66" spans="1:29" s="11" customFormat="1" ht="15" customHeight="1" x14ac:dyDescent="0.25">
      <c r="A66" s="40"/>
      <c r="B66" s="12"/>
      <c r="C66" s="47"/>
      <c r="D66" s="47">
        <v>57</v>
      </c>
      <c r="E66" s="48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57" t="str">
        <f t="shared" si="0"/>
        <v>Очікую</v>
      </c>
      <c r="AA66" s="57" t="str">
        <f t="shared" si="1"/>
        <v>Очікую</v>
      </c>
      <c r="AB66" s="22"/>
      <c r="AC66" s="39"/>
    </row>
    <row r="67" spans="1:29" s="11" customFormat="1" ht="15" customHeight="1" x14ac:dyDescent="0.25">
      <c r="A67" s="40"/>
      <c r="B67" s="12"/>
      <c r="C67" s="47"/>
      <c r="D67" s="47">
        <v>58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57" t="str">
        <f t="shared" si="0"/>
        <v>Очікую</v>
      </c>
      <c r="AA67" s="57" t="str">
        <f t="shared" si="1"/>
        <v>Очікую</v>
      </c>
      <c r="AB67" s="22"/>
      <c r="AC67" s="39"/>
    </row>
    <row r="68" spans="1:29" s="11" customFormat="1" ht="15" customHeight="1" x14ac:dyDescent="0.25">
      <c r="A68" s="40"/>
      <c r="B68" s="12"/>
      <c r="C68" s="47"/>
      <c r="D68" s="47">
        <v>59</v>
      </c>
      <c r="E68" s="48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57" t="str">
        <f t="shared" si="0"/>
        <v>Очікую</v>
      </c>
      <c r="AA68" s="57" t="str">
        <f t="shared" si="1"/>
        <v>Очікую</v>
      </c>
      <c r="AB68" s="22"/>
      <c r="AC68" s="39"/>
    </row>
    <row r="69" spans="1:29" s="11" customFormat="1" ht="15" customHeight="1" x14ac:dyDescent="0.25">
      <c r="A69" s="40"/>
      <c r="B69" s="12"/>
      <c r="C69" s="47"/>
      <c r="D69" s="47">
        <v>60</v>
      </c>
      <c r="E69" s="48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57" t="str">
        <f t="shared" si="0"/>
        <v>Очікую</v>
      </c>
      <c r="AA69" s="57" t="str">
        <f t="shared" si="1"/>
        <v>Очікую</v>
      </c>
      <c r="AB69" s="22"/>
      <c r="AC69" s="39"/>
    </row>
    <row r="70" spans="1:29" s="11" customFormat="1" ht="15" customHeight="1" x14ac:dyDescent="0.25">
      <c r="A70" s="40"/>
      <c r="B70" s="12"/>
      <c r="C70" s="47"/>
      <c r="D70" s="47">
        <v>61</v>
      </c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57" t="str">
        <f t="shared" si="0"/>
        <v>Очікую</v>
      </c>
      <c r="AA70" s="57" t="str">
        <f t="shared" si="1"/>
        <v>Очікую</v>
      </c>
      <c r="AB70" s="22"/>
      <c r="AC70" s="39"/>
    </row>
    <row r="71" spans="1:29" s="11" customFormat="1" ht="15" customHeight="1" x14ac:dyDescent="0.25">
      <c r="A71" s="40"/>
      <c r="B71" s="12"/>
      <c r="C71" s="47"/>
      <c r="D71" s="47">
        <v>62</v>
      </c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57" t="str">
        <f t="shared" si="0"/>
        <v>Очікую</v>
      </c>
      <c r="AA71" s="57" t="str">
        <f t="shared" si="1"/>
        <v>Очікую</v>
      </c>
      <c r="AB71" s="22"/>
      <c r="AC71" s="39"/>
    </row>
    <row r="72" spans="1:29" s="11" customFormat="1" ht="15" customHeight="1" x14ac:dyDescent="0.25">
      <c r="A72" s="40"/>
      <c r="B72" s="12"/>
      <c r="C72" s="47"/>
      <c r="D72" s="47">
        <v>63</v>
      </c>
      <c r="E72" s="48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57" t="str">
        <f t="shared" si="0"/>
        <v>Очікую</v>
      </c>
      <c r="AA72" s="57" t="str">
        <f t="shared" si="1"/>
        <v>Очікую</v>
      </c>
      <c r="AB72" s="22"/>
      <c r="AC72" s="39"/>
    </row>
    <row r="73" spans="1:29" s="11" customFormat="1" ht="15" customHeight="1" x14ac:dyDescent="0.25">
      <c r="A73" s="40"/>
      <c r="B73" s="12"/>
      <c r="C73" s="47"/>
      <c r="D73" s="47">
        <v>64</v>
      </c>
      <c r="E73" s="48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57" t="str">
        <f t="shared" si="0"/>
        <v>Очікую</v>
      </c>
      <c r="AA73" s="57" t="str">
        <f t="shared" si="1"/>
        <v>Очікую</v>
      </c>
      <c r="AB73" s="22"/>
      <c r="AC73" s="39"/>
    </row>
    <row r="74" spans="1:29" s="11" customFormat="1" ht="15" customHeight="1" x14ac:dyDescent="0.25">
      <c r="A74" s="40"/>
      <c r="B74" s="12"/>
      <c r="C74" s="47"/>
      <c r="D74" s="47">
        <v>65</v>
      </c>
      <c r="E74" s="48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57" t="str">
        <f t="shared" si="0"/>
        <v>Очікую</v>
      </c>
      <c r="AA74" s="57" t="str">
        <f t="shared" si="1"/>
        <v>Очікую</v>
      </c>
      <c r="AB74" s="22"/>
      <c r="AC74" s="39"/>
    </row>
    <row r="75" spans="1:29" s="11" customFormat="1" ht="15" customHeight="1" x14ac:dyDescent="0.25">
      <c r="A75" s="40"/>
      <c r="B75" s="12"/>
      <c r="C75" s="47"/>
      <c r="D75" s="47">
        <v>66</v>
      </c>
      <c r="E75" s="48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57" t="str">
        <f t="shared" ref="Z75:Z109" si="2">IF(COUNTIF(E75:X75,"=*")&gt;0,IF($C75="К","-"," - "),IF(COUNTIF(E75:X75,"&lt;4")&gt;0,IF(B75="К","-"," - "),(IFERROR(AVERAGE(E75:X75),"Очікую"))))</f>
        <v>Очікую</v>
      </c>
      <c r="AA75" s="57" t="str">
        <f t="shared" ref="AA75:AA109" si="3">IFERROR(Z75/12*90,"Очікую")</f>
        <v>Очікую</v>
      </c>
      <c r="AB75" s="22"/>
      <c r="AC75" s="39"/>
    </row>
    <row r="76" spans="1:29" s="11" customFormat="1" ht="15" customHeight="1" x14ac:dyDescent="0.25">
      <c r="A76" s="40"/>
      <c r="B76" s="12"/>
      <c r="C76" s="47"/>
      <c r="D76" s="47">
        <v>67</v>
      </c>
      <c r="E76" s="48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57" t="str">
        <f t="shared" si="2"/>
        <v>Очікую</v>
      </c>
      <c r="AA76" s="57" t="str">
        <f t="shared" si="3"/>
        <v>Очікую</v>
      </c>
      <c r="AB76" s="22"/>
      <c r="AC76" s="39"/>
    </row>
    <row r="77" spans="1:29" s="11" customFormat="1" ht="15" customHeight="1" x14ac:dyDescent="0.25">
      <c r="A77" s="40"/>
      <c r="B77" s="12"/>
      <c r="C77" s="47"/>
      <c r="D77" s="47">
        <v>68</v>
      </c>
      <c r="E77" s="48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57" t="str">
        <f t="shared" si="2"/>
        <v>Очікую</v>
      </c>
      <c r="AA77" s="57" t="str">
        <f t="shared" si="3"/>
        <v>Очікую</v>
      </c>
      <c r="AB77" s="22"/>
      <c r="AC77" s="39"/>
    </row>
    <row r="78" spans="1:29" s="11" customFormat="1" ht="15" customHeight="1" x14ac:dyDescent="0.25">
      <c r="A78" s="40"/>
      <c r="B78" s="12"/>
      <c r="C78" s="47"/>
      <c r="D78" s="47">
        <v>69</v>
      </c>
      <c r="E78" s="48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57" t="str">
        <f t="shared" si="2"/>
        <v>Очікую</v>
      </c>
      <c r="AA78" s="57" t="str">
        <f t="shared" si="3"/>
        <v>Очікую</v>
      </c>
      <c r="AB78" s="22"/>
      <c r="AC78" s="39"/>
    </row>
    <row r="79" spans="1:29" s="11" customFormat="1" ht="15" customHeight="1" x14ac:dyDescent="0.25">
      <c r="A79" s="40"/>
      <c r="B79" s="12"/>
      <c r="C79" s="47"/>
      <c r="D79" s="47">
        <v>70</v>
      </c>
      <c r="E79" s="4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57" t="str">
        <f t="shared" si="2"/>
        <v>Очікую</v>
      </c>
      <c r="AA79" s="57" t="str">
        <f t="shared" si="3"/>
        <v>Очікую</v>
      </c>
      <c r="AB79" s="22"/>
      <c r="AC79" s="39"/>
    </row>
    <row r="80" spans="1:29" s="11" customFormat="1" ht="15" customHeight="1" x14ac:dyDescent="0.25">
      <c r="A80" s="40"/>
      <c r="B80" s="12"/>
      <c r="C80" s="47"/>
      <c r="D80" s="47">
        <v>71</v>
      </c>
      <c r="E80" s="48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57" t="str">
        <f t="shared" si="2"/>
        <v>Очікую</v>
      </c>
      <c r="AA80" s="57" t="str">
        <f t="shared" si="3"/>
        <v>Очікую</v>
      </c>
      <c r="AB80" s="22"/>
      <c r="AC80" s="39"/>
    </row>
    <row r="81" spans="1:29" s="11" customFormat="1" ht="15" customHeight="1" x14ac:dyDescent="0.25">
      <c r="A81" s="40"/>
      <c r="B81" s="12"/>
      <c r="C81" s="47"/>
      <c r="D81" s="47">
        <v>72</v>
      </c>
      <c r="E81" s="48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57" t="str">
        <f t="shared" si="2"/>
        <v>Очікую</v>
      </c>
      <c r="AA81" s="57" t="str">
        <f t="shared" si="3"/>
        <v>Очікую</v>
      </c>
      <c r="AB81" s="22"/>
      <c r="AC81" s="39"/>
    </row>
    <row r="82" spans="1:29" s="11" customFormat="1" ht="15" customHeight="1" x14ac:dyDescent="0.25">
      <c r="A82" s="40"/>
      <c r="B82" s="12"/>
      <c r="C82" s="47"/>
      <c r="D82" s="47">
        <v>73</v>
      </c>
      <c r="E82" s="48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57" t="str">
        <f t="shared" si="2"/>
        <v>Очікую</v>
      </c>
      <c r="AA82" s="57" t="str">
        <f t="shared" si="3"/>
        <v>Очікую</v>
      </c>
      <c r="AB82" s="22"/>
      <c r="AC82" s="39"/>
    </row>
    <row r="83" spans="1:29" s="11" customFormat="1" ht="15" customHeight="1" x14ac:dyDescent="0.25">
      <c r="A83" s="40"/>
      <c r="B83" s="12"/>
      <c r="C83" s="47"/>
      <c r="D83" s="47">
        <v>74</v>
      </c>
      <c r="E83" s="48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57" t="str">
        <f t="shared" si="2"/>
        <v>Очікую</v>
      </c>
      <c r="AA83" s="57" t="str">
        <f t="shared" si="3"/>
        <v>Очікую</v>
      </c>
      <c r="AB83" s="22"/>
      <c r="AC83" s="39"/>
    </row>
    <row r="84" spans="1:29" s="11" customFormat="1" ht="15" customHeight="1" x14ac:dyDescent="0.25">
      <c r="A84" s="40"/>
      <c r="B84" s="12"/>
      <c r="C84" s="47"/>
      <c r="D84" s="47">
        <v>75</v>
      </c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57" t="str">
        <f t="shared" si="2"/>
        <v>Очікую</v>
      </c>
      <c r="AA84" s="57" t="str">
        <f t="shared" si="3"/>
        <v>Очікую</v>
      </c>
      <c r="AB84" s="22"/>
      <c r="AC84" s="39"/>
    </row>
    <row r="85" spans="1:29" s="11" customFormat="1" ht="15" customHeight="1" x14ac:dyDescent="0.25">
      <c r="A85" s="40"/>
      <c r="B85" s="12"/>
      <c r="C85" s="47"/>
      <c r="D85" s="47">
        <v>76</v>
      </c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57" t="str">
        <f t="shared" si="2"/>
        <v>Очікую</v>
      </c>
      <c r="AA85" s="57" t="str">
        <f t="shared" si="3"/>
        <v>Очікую</v>
      </c>
      <c r="AB85" s="22"/>
      <c r="AC85" s="39"/>
    </row>
    <row r="86" spans="1:29" s="11" customFormat="1" ht="15" customHeight="1" x14ac:dyDescent="0.25">
      <c r="A86" s="40"/>
      <c r="B86" s="12"/>
      <c r="C86" s="47"/>
      <c r="D86" s="47">
        <v>77</v>
      </c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57" t="str">
        <f t="shared" si="2"/>
        <v>Очікую</v>
      </c>
      <c r="AA86" s="57" t="str">
        <f t="shared" si="3"/>
        <v>Очікую</v>
      </c>
      <c r="AB86" s="22"/>
      <c r="AC86" s="39"/>
    </row>
    <row r="87" spans="1:29" s="11" customFormat="1" ht="15" customHeight="1" x14ac:dyDescent="0.25">
      <c r="A87" s="40"/>
      <c r="B87" s="12"/>
      <c r="C87" s="47"/>
      <c r="D87" s="47">
        <v>78</v>
      </c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57" t="str">
        <f t="shared" si="2"/>
        <v>Очікую</v>
      </c>
      <c r="AA87" s="57" t="str">
        <f t="shared" si="3"/>
        <v>Очікую</v>
      </c>
      <c r="AB87" s="22"/>
      <c r="AC87" s="39"/>
    </row>
    <row r="88" spans="1:29" s="11" customFormat="1" ht="15" customHeight="1" x14ac:dyDescent="0.25">
      <c r="A88" s="40"/>
      <c r="B88" s="12"/>
      <c r="C88" s="47"/>
      <c r="D88" s="47">
        <v>79</v>
      </c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57" t="str">
        <f t="shared" si="2"/>
        <v>Очікую</v>
      </c>
      <c r="AA88" s="57" t="str">
        <f t="shared" si="3"/>
        <v>Очікую</v>
      </c>
      <c r="AB88" s="22"/>
      <c r="AC88" s="39"/>
    </row>
    <row r="89" spans="1:29" s="11" customFormat="1" ht="15" customHeight="1" x14ac:dyDescent="0.25">
      <c r="A89" s="40"/>
      <c r="B89" s="12"/>
      <c r="C89" s="47"/>
      <c r="D89" s="47">
        <v>80</v>
      </c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57" t="str">
        <f t="shared" si="2"/>
        <v>Очікую</v>
      </c>
      <c r="AA89" s="57" t="str">
        <f t="shared" si="3"/>
        <v>Очікую</v>
      </c>
      <c r="AB89" s="22"/>
      <c r="AC89" s="39"/>
    </row>
    <row r="90" spans="1:29" s="11" customFormat="1" ht="15" customHeight="1" x14ac:dyDescent="0.25">
      <c r="A90" s="40"/>
      <c r="B90" s="12"/>
      <c r="C90" s="47"/>
      <c r="D90" s="47">
        <v>81</v>
      </c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57" t="str">
        <f t="shared" si="2"/>
        <v>Очікую</v>
      </c>
      <c r="AA90" s="57" t="str">
        <f t="shared" si="3"/>
        <v>Очікую</v>
      </c>
      <c r="AB90" s="22"/>
      <c r="AC90" s="39"/>
    </row>
    <row r="91" spans="1:29" s="11" customFormat="1" ht="15" customHeight="1" x14ac:dyDescent="0.25">
      <c r="A91" s="40"/>
      <c r="B91" s="12"/>
      <c r="C91" s="47"/>
      <c r="D91" s="47">
        <v>82</v>
      </c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57" t="str">
        <f t="shared" si="2"/>
        <v>Очікую</v>
      </c>
      <c r="AA91" s="57" t="str">
        <f t="shared" si="3"/>
        <v>Очікую</v>
      </c>
      <c r="AB91" s="22"/>
      <c r="AC91" s="39"/>
    </row>
    <row r="92" spans="1:29" s="11" customFormat="1" ht="15" customHeight="1" x14ac:dyDescent="0.25">
      <c r="A92" s="40"/>
      <c r="B92" s="12"/>
      <c r="C92" s="47"/>
      <c r="D92" s="47">
        <v>83</v>
      </c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57" t="str">
        <f t="shared" si="2"/>
        <v>Очікую</v>
      </c>
      <c r="AA92" s="57" t="str">
        <f t="shared" si="3"/>
        <v>Очікую</v>
      </c>
      <c r="AB92" s="22"/>
      <c r="AC92" s="39"/>
    </row>
    <row r="93" spans="1:29" s="11" customFormat="1" ht="15" customHeight="1" x14ac:dyDescent="0.25">
      <c r="A93" s="40"/>
      <c r="B93" s="12"/>
      <c r="C93" s="47"/>
      <c r="D93" s="47">
        <v>84</v>
      </c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57" t="str">
        <f t="shared" si="2"/>
        <v>Очікую</v>
      </c>
      <c r="AA93" s="57" t="str">
        <f t="shared" si="3"/>
        <v>Очікую</v>
      </c>
      <c r="AB93" s="22"/>
      <c r="AC93" s="39"/>
    </row>
    <row r="94" spans="1:29" s="11" customFormat="1" ht="15" customHeight="1" x14ac:dyDescent="0.25">
      <c r="A94" s="40"/>
      <c r="B94" s="12"/>
      <c r="C94" s="47"/>
      <c r="D94" s="47">
        <v>85</v>
      </c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57" t="str">
        <f t="shared" si="2"/>
        <v>Очікую</v>
      </c>
      <c r="AA94" s="57" t="str">
        <f t="shared" si="3"/>
        <v>Очікую</v>
      </c>
      <c r="AB94" s="22"/>
      <c r="AC94" s="39"/>
    </row>
    <row r="95" spans="1:29" s="11" customFormat="1" ht="15" customHeight="1" x14ac:dyDescent="0.25">
      <c r="A95" s="40"/>
      <c r="B95" s="12"/>
      <c r="C95" s="47"/>
      <c r="D95" s="47">
        <v>86</v>
      </c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57" t="str">
        <f t="shared" si="2"/>
        <v>Очікую</v>
      </c>
      <c r="AA95" s="57" t="str">
        <f t="shared" si="3"/>
        <v>Очікую</v>
      </c>
      <c r="AB95" s="22"/>
      <c r="AC95" s="39"/>
    </row>
    <row r="96" spans="1:29" s="11" customFormat="1" ht="15" customHeight="1" x14ac:dyDescent="0.25">
      <c r="A96" s="40"/>
      <c r="B96" s="12"/>
      <c r="C96" s="47"/>
      <c r="D96" s="47">
        <v>87</v>
      </c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57" t="str">
        <f t="shared" si="2"/>
        <v>Очікую</v>
      </c>
      <c r="AA96" s="57" t="str">
        <f t="shared" si="3"/>
        <v>Очікую</v>
      </c>
      <c r="AB96" s="22"/>
      <c r="AC96" s="39"/>
    </row>
    <row r="97" spans="1:29" s="11" customFormat="1" ht="15" customHeight="1" x14ac:dyDescent="0.25">
      <c r="A97" s="40"/>
      <c r="B97" s="12"/>
      <c r="C97" s="47"/>
      <c r="D97" s="47">
        <v>88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57" t="str">
        <f t="shared" si="2"/>
        <v>Очікую</v>
      </c>
      <c r="AA97" s="57" t="str">
        <f t="shared" si="3"/>
        <v>Очікую</v>
      </c>
      <c r="AB97" s="22"/>
      <c r="AC97" s="39"/>
    </row>
    <row r="98" spans="1:29" s="11" customFormat="1" ht="15" customHeight="1" x14ac:dyDescent="0.25">
      <c r="A98" s="40"/>
      <c r="B98" s="12"/>
      <c r="C98" s="47"/>
      <c r="D98" s="47">
        <v>89</v>
      </c>
      <c r="E98" s="48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57" t="str">
        <f t="shared" si="2"/>
        <v>Очікую</v>
      </c>
      <c r="AA98" s="57" t="str">
        <f t="shared" si="3"/>
        <v>Очікую</v>
      </c>
      <c r="AB98" s="22"/>
      <c r="AC98" s="39"/>
    </row>
    <row r="99" spans="1:29" s="11" customFormat="1" ht="15" customHeight="1" x14ac:dyDescent="0.25">
      <c r="A99" s="40"/>
      <c r="B99" s="12"/>
      <c r="C99" s="47"/>
      <c r="D99" s="47">
        <v>90</v>
      </c>
      <c r="E99" s="48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57" t="str">
        <f t="shared" si="2"/>
        <v>Очікую</v>
      </c>
      <c r="AA99" s="57" t="str">
        <f t="shared" si="3"/>
        <v>Очікую</v>
      </c>
      <c r="AB99" s="22"/>
      <c r="AC99" s="39"/>
    </row>
    <row r="100" spans="1:29" s="11" customFormat="1" ht="15" customHeight="1" x14ac:dyDescent="0.25">
      <c r="A100" s="40"/>
      <c r="B100" s="12"/>
      <c r="C100" s="47"/>
      <c r="D100" s="47">
        <v>91</v>
      </c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57" t="str">
        <f t="shared" si="2"/>
        <v>Очікую</v>
      </c>
      <c r="AA100" s="57" t="str">
        <f t="shared" si="3"/>
        <v>Очікую</v>
      </c>
      <c r="AB100" s="22"/>
      <c r="AC100" s="39"/>
    </row>
    <row r="101" spans="1:29" s="11" customFormat="1" ht="15" customHeight="1" x14ac:dyDescent="0.25">
      <c r="A101" s="40"/>
      <c r="B101" s="12"/>
      <c r="C101" s="47"/>
      <c r="D101" s="47">
        <v>92</v>
      </c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57" t="str">
        <f t="shared" si="2"/>
        <v>Очікую</v>
      </c>
      <c r="AA101" s="57" t="str">
        <f t="shared" si="3"/>
        <v>Очікую</v>
      </c>
      <c r="AB101" s="22"/>
      <c r="AC101" s="39"/>
    </row>
    <row r="102" spans="1:29" s="11" customFormat="1" ht="15" customHeight="1" x14ac:dyDescent="0.25">
      <c r="A102" s="40"/>
      <c r="B102" s="12"/>
      <c r="C102" s="47"/>
      <c r="D102" s="47">
        <v>93</v>
      </c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57" t="str">
        <f t="shared" si="2"/>
        <v>Очікую</v>
      </c>
      <c r="AA102" s="57" t="str">
        <f t="shared" si="3"/>
        <v>Очікую</v>
      </c>
      <c r="AB102" s="22"/>
      <c r="AC102" s="39"/>
    </row>
    <row r="103" spans="1:29" s="11" customFormat="1" ht="15" customHeight="1" x14ac:dyDescent="0.25">
      <c r="A103" s="40"/>
      <c r="B103" s="12"/>
      <c r="C103" s="47"/>
      <c r="D103" s="47">
        <v>94</v>
      </c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57" t="str">
        <f t="shared" si="2"/>
        <v>Очікую</v>
      </c>
      <c r="AA103" s="57" t="str">
        <f t="shared" si="3"/>
        <v>Очікую</v>
      </c>
      <c r="AB103" s="22"/>
      <c r="AC103" s="39"/>
    </row>
    <row r="104" spans="1:29" s="11" customFormat="1" ht="15" customHeight="1" x14ac:dyDescent="0.25">
      <c r="A104" s="40"/>
      <c r="B104" s="12"/>
      <c r="C104" s="47"/>
      <c r="D104" s="47">
        <v>95</v>
      </c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57" t="str">
        <f t="shared" si="2"/>
        <v>Очікую</v>
      </c>
      <c r="AA104" s="57" t="str">
        <f t="shared" si="3"/>
        <v>Очікую</v>
      </c>
      <c r="AB104" s="22"/>
      <c r="AC104" s="39"/>
    </row>
    <row r="105" spans="1:29" s="11" customFormat="1" ht="15" customHeight="1" x14ac:dyDescent="0.25">
      <c r="A105" s="40"/>
      <c r="B105" s="12"/>
      <c r="C105" s="47"/>
      <c r="D105" s="47">
        <v>96</v>
      </c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57" t="str">
        <f t="shared" si="2"/>
        <v>Очікую</v>
      </c>
      <c r="AA105" s="57" t="str">
        <f t="shared" si="3"/>
        <v>Очікую</v>
      </c>
      <c r="AB105" s="22"/>
      <c r="AC105" s="39"/>
    </row>
    <row r="106" spans="1:29" s="11" customFormat="1" ht="15" customHeight="1" x14ac:dyDescent="0.25">
      <c r="A106" s="40"/>
      <c r="B106" s="12"/>
      <c r="C106" s="47"/>
      <c r="D106" s="47">
        <v>97</v>
      </c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57" t="str">
        <f t="shared" si="2"/>
        <v>Очікую</v>
      </c>
      <c r="AA106" s="57" t="str">
        <f t="shared" si="3"/>
        <v>Очікую</v>
      </c>
      <c r="AB106" s="22"/>
      <c r="AC106" s="39"/>
    </row>
    <row r="107" spans="1:29" s="11" customFormat="1" ht="15" customHeight="1" x14ac:dyDescent="0.25">
      <c r="A107" s="40"/>
      <c r="B107" s="12"/>
      <c r="C107" s="47"/>
      <c r="D107" s="47">
        <v>98</v>
      </c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57" t="str">
        <f t="shared" si="2"/>
        <v>Очікую</v>
      </c>
      <c r="AA107" s="57" t="str">
        <f t="shared" si="3"/>
        <v>Очікую</v>
      </c>
      <c r="AB107" s="22"/>
      <c r="AC107" s="39"/>
    </row>
    <row r="108" spans="1:29" s="11" customFormat="1" ht="15" customHeight="1" x14ac:dyDescent="0.25">
      <c r="A108" s="40"/>
      <c r="B108" s="12"/>
      <c r="C108" s="47"/>
      <c r="D108" s="47">
        <v>99</v>
      </c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57" t="str">
        <f t="shared" si="2"/>
        <v>Очікую</v>
      </c>
      <c r="AA108" s="57" t="str">
        <f t="shared" si="3"/>
        <v>Очікую</v>
      </c>
      <c r="AB108" s="22"/>
      <c r="AC108" s="39"/>
    </row>
    <row r="109" spans="1:29" s="11" customFormat="1" ht="15" customHeight="1" x14ac:dyDescent="0.25">
      <c r="A109" s="40"/>
      <c r="B109" s="12"/>
      <c r="C109" s="47"/>
      <c r="D109" s="47">
        <v>100</v>
      </c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57" t="str">
        <f t="shared" si="2"/>
        <v>Очікую</v>
      </c>
      <c r="AA109" s="57" t="str">
        <f t="shared" si="3"/>
        <v>Очікую</v>
      </c>
      <c r="AB109" s="22"/>
      <c r="AC109" s="39"/>
    </row>
    <row r="110" spans="1:29" ht="15" customHeight="1" x14ac:dyDescent="0.25">
      <c r="A110" s="40"/>
      <c r="B110" s="12"/>
      <c r="C110" s="6"/>
      <c r="D110" s="6"/>
      <c r="E110" s="7" t="s">
        <v>9</v>
      </c>
      <c r="F110" s="5" t="str">
        <f>ЛЗ1!F115</f>
        <v>Очікую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2"/>
      <c r="X110" s="52"/>
      <c r="Y110" s="52"/>
      <c r="Z110" s="52"/>
      <c r="AA110" s="52"/>
      <c r="AB110" s="20"/>
      <c r="AC110" s="39"/>
    </row>
    <row r="111" spans="1:29" ht="15" customHeight="1" x14ac:dyDescent="0.3">
      <c r="A111" s="40"/>
      <c r="B111" s="12"/>
      <c r="C111" s="6"/>
      <c r="D111" s="6"/>
      <c r="E111" s="7" t="s">
        <v>10</v>
      </c>
      <c r="F111" s="5" t="str">
        <f>ЛЗ1!F116</f>
        <v>Очікую</v>
      </c>
      <c r="G111" s="6"/>
      <c r="H111" s="55" t="s">
        <v>11</v>
      </c>
      <c r="I111" s="6"/>
      <c r="J111" s="6"/>
      <c r="K111" s="6"/>
      <c r="L111" s="6"/>
      <c r="M111" s="6"/>
      <c r="N111" s="55"/>
      <c r="O111" s="55"/>
      <c r="P111" s="55"/>
      <c r="Q111" s="55"/>
      <c r="R111" s="6"/>
      <c r="S111" s="6"/>
      <c r="T111" s="6"/>
      <c r="U111" s="56"/>
      <c r="V111" s="54"/>
      <c r="W111" s="54"/>
      <c r="X111" s="54"/>
      <c r="Y111" s="54"/>
      <c r="Z111" s="54"/>
      <c r="AA111" s="54"/>
      <c r="AB111" s="20"/>
      <c r="AC111" s="39"/>
    </row>
    <row r="112" spans="1:29" ht="15" customHeight="1" x14ac:dyDescent="0.25">
      <c r="A112" s="40"/>
      <c r="B112" s="12"/>
      <c r="C112" s="6"/>
      <c r="D112" s="6"/>
      <c r="E112" s="7" t="s">
        <v>12</v>
      </c>
      <c r="F112" s="5">
        <f>ЛЗ1!F117</f>
        <v>0</v>
      </c>
      <c r="G112" s="6"/>
      <c r="H112" s="55"/>
      <c r="I112" s="6"/>
      <c r="J112" s="6"/>
      <c r="K112" s="6"/>
      <c r="L112" s="6"/>
      <c r="M112" s="6"/>
      <c r="N112" s="55"/>
      <c r="O112" s="55"/>
      <c r="P112" s="55"/>
      <c r="Q112" s="55"/>
      <c r="R112" s="6"/>
      <c r="S112" s="6"/>
      <c r="T112" s="6"/>
      <c r="U112" s="56"/>
      <c r="V112" s="52"/>
      <c r="W112" s="52"/>
      <c r="X112" s="52"/>
      <c r="Y112" s="52"/>
      <c r="Z112" s="52"/>
      <c r="AA112" s="52"/>
      <c r="AB112" s="20"/>
      <c r="AC112" s="39"/>
    </row>
    <row r="113" spans="1:29" ht="15" customHeight="1" x14ac:dyDescent="0.3">
      <c r="A113" s="40"/>
      <c r="B113" s="12"/>
      <c r="C113" s="6"/>
      <c r="D113" s="6"/>
      <c r="E113" s="7" t="s">
        <v>13</v>
      </c>
      <c r="F113" s="5" t="str">
        <f>ЛЗ1!F118</f>
        <v>Очікую</v>
      </c>
      <c r="G113" s="6"/>
      <c r="H113" s="56" t="s">
        <v>14</v>
      </c>
      <c r="I113" s="6"/>
      <c r="J113" s="6"/>
      <c r="K113" s="6"/>
      <c r="L113" s="6"/>
      <c r="M113" s="6"/>
      <c r="N113" s="56"/>
      <c r="O113" s="56"/>
      <c r="P113" s="56"/>
      <c r="Q113" s="56"/>
      <c r="R113" s="6"/>
      <c r="S113" s="6"/>
      <c r="T113" s="6"/>
      <c r="U113" s="56"/>
      <c r="V113" s="54"/>
      <c r="W113" s="54"/>
      <c r="X113" s="54"/>
      <c r="Y113" s="54"/>
      <c r="Z113" s="54"/>
      <c r="AA113" s="54"/>
      <c r="AB113" s="20"/>
      <c r="AC113" s="39"/>
    </row>
    <row r="114" spans="1:29" ht="12" customHeight="1" thickBot="1" x14ac:dyDescent="0.3">
      <c r="A114" s="40"/>
      <c r="B114" s="21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5"/>
      <c r="AC114" s="39"/>
    </row>
    <row r="115" spans="1:29" ht="12" customHeight="1" x14ac:dyDescent="0.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9"/>
    </row>
  </sheetData>
  <sheetProtection insertRows="0" deleteRows="0"/>
  <mergeCells count="11">
    <mergeCell ref="Z8:Z9"/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</mergeCells>
  <printOptions horizontalCentered="1"/>
  <pageMargins left="0.19685039370078741" right="0.19685039370078741" top="0.19685039370078741" bottom="0.19685039370078741" header="0" footer="0"/>
  <pageSetup paperSize="9" scale="3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ЛЗ2!C5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ЛЗ2!C6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ЛЗ2!C7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61" t="s">
        <v>0</v>
      </c>
      <c r="D8" s="63" t="s">
        <v>1</v>
      </c>
      <c r="E8" s="63" t="s">
        <v>2</v>
      </c>
      <c r="F8" s="64" t="s">
        <v>16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  <c r="Z8" s="67" t="s">
        <v>3</v>
      </c>
      <c r="AA8" s="67" t="s">
        <v>23</v>
      </c>
      <c r="AB8" s="32"/>
      <c r="AC8" s="39"/>
    </row>
    <row r="9" spans="1:29" ht="125.1" customHeight="1" x14ac:dyDescent="0.25">
      <c r="A9" s="40"/>
      <c r="B9" s="31"/>
      <c r="C9" s="62"/>
      <c r="D9" s="62"/>
      <c r="E9" s="62"/>
      <c r="F9" s="50">
        <v>1</v>
      </c>
      <c r="G9" s="50">
        <v>2</v>
      </c>
      <c r="H9" s="50">
        <v>3</v>
      </c>
      <c r="I9" s="50">
        <v>4</v>
      </c>
      <c r="J9" s="50">
        <v>5</v>
      </c>
      <c r="K9" s="50">
        <v>6</v>
      </c>
      <c r="L9" s="50">
        <v>7</v>
      </c>
      <c r="M9" s="50">
        <v>8</v>
      </c>
      <c r="N9" s="50">
        <v>9</v>
      </c>
      <c r="O9" s="50">
        <v>10</v>
      </c>
      <c r="P9" s="50">
        <v>11</v>
      </c>
      <c r="Q9" s="50">
        <v>12</v>
      </c>
      <c r="R9" s="50">
        <v>13</v>
      </c>
      <c r="S9" s="50">
        <v>14</v>
      </c>
      <c r="T9" s="50">
        <v>15</v>
      </c>
      <c r="U9" s="50">
        <v>16</v>
      </c>
      <c r="V9" s="50">
        <v>17</v>
      </c>
      <c r="W9" s="50">
        <v>18</v>
      </c>
      <c r="X9" s="50">
        <v>19</v>
      </c>
      <c r="Y9" s="50">
        <v>20</v>
      </c>
      <c r="Z9" s="68"/>
      <c r="AA9" s="68"/>
      <c r="AB9" s="32"/>
      <c r="AC9" s="39"/>
    </row>
    <row r="10" spans="1:29" s="11" customFormat="1" ht="15" customHeight="1" x14ac:dyDescent="0.25">
      <c r="A10" s="40"/>
      <c r="B10" s="31"/>
      <c r="C10" s="47"/>
      <c r="D10" s="47">
        <v>1</v>
      </c>
      <c r="E10" s="4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51" t="str">
        <f>IF(COUNTIF(F10:Y10,"=*")&gt;0,IF($C10="К","-"," - "),IF(COUNTIF(F10:Y10,"&lt;4")&gt;0,IF(C10="К","-"," - "),(IFERROR(AVERAGE(F10:Y10),"Очікую"))))</f>
        <v>Очікую</v>
      </c>
      <c r="AA10" s="51" t="str">
        <f t="shared" ref="AA10" si="0"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7"/>
      <c r="D11" s="47">
        <v>2</v>
      </c>
      <c r="E11" s="4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51" t="str">
        <f t="shared" ref="Z11:Z74" si="1">IF(COUNTIF(F11:Y11,"=*")&gt;0,IF($C11="К","-"," - "),IF(COUNTIF(F11:Y11,"&lt;4")&gt;0,IF(C11="К","-"," - "),(IFERROR(AVERAGE(F11:Y11),"Очікую"))))</f>
        <v>Очікую</v>
      </c>
      <c r="AA11" s="51" t="str">
        <f t="shared" ref="AA11:AA74" si="2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7"/>
      <c r="D12" s="47">
        <v>3</v>
      </c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51" t="str">
        <f t="shared" si="1"/>
        <v>Очікую</v>
      </c>
      <c r="AA12" s="51" t="str">
        <f t="shared" si="2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7"/>
      <c r="D13" s="47">
        <v>4</v>
      </c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51" t="str">
        <f t="shared" si="1"/>
        <v>Очікую</v>
      </c>
      <c r="AA13" s="51" t="str">
        <f t="shared" si="2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7"/>
      <c r="D14" s="47">
        <v>5</v>
      </c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51" t="str">
        <f t="shared" si="1"/>
        <v>Очікую</v>
      </c>
      <c r="AA14" s="51" t="str">
        <f t="shared" si="2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7"/>
      <c r="D15" s="47">
        <v>6</v>
      </c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51" t="str">
        <f t="shared" si="1"/>
        <v>Очікую</v>
      </c>
      <c r="AA15" s="51" t="str">
        <f t="shared" si="2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7"/>
      <c r="D16" s="47">
        <v>7</v>
      </c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51" t="str">
        <f t="shared" si="1"/>
        <v>Очікую</v>
      </c>
      <c r="AA16" s="51" t="str">
        <f t="shared" si="2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7"/>
      <c r="D17" s="47">
        <v>8</v>
      </c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51" t="str">
        <f t="shared" si="1"/>
        <v>Очікую</v>
      </c>
      <c r="AA17" s="51" t="str">
        <f t="shared" si="2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7"/>
      <c r="D18" s="47">
        <v>9</v>
      </c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51" t="str">
        <f t="shared" si="1"/>
        <v>Очікую</v>
      </c>
      <c r="AA18" s="51" t="str">
        <f t="shared" si="2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7"/>
      <c r="D19" s="47">
        <v>10</v>
      </c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51" t="str">
        <f t="shared" si="1"/>
        <v>Очікую</v>
      </c>
      <c r="AA19" s="51" t="str">
        <f t="shared" si="2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7"/>
      <c r="D20" s="47">
        <v>11</v>
      </c>
      <c r="E20" s="48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51" t="str">
        <f t="shared" si="1"/>
        <v>Очікую</v>
      </c>
      <c r="AA20" s="51" t="str">
        <f t="shared" si="2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7"/>
      <c r="D21" s="47">
        <v>12</v>
      </c>
      <c r="E21" s="48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51" t="str">
        <f t="shared" si="1"/>
        <v>Очікую</v>
      </c>
      <c r="AA21" s="51" t="str">
        <f t="shared" si="2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7"/>
      <c r="D22" s="47">
        <v>13</v>
      </c>
      <c r="E22" s="48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51" t="str">
        <f t="shared" si="1"/>
        <v>Очікую</v>
      </c>
      <c r="AA22" s="51" t="str">
        <f t="shared" si="2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7"/>
      <c r="D23" s="47">
        <v>14</v>
      </c>
      <c r="E23" s="48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51" t="str">
        <f t="shared" si="1"/>
        <v>Очікую</v>
      </c>
      <c r="AA23" s="51" t="str">
        <f t="shared" si="2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7"/>
      <c r="D24" s="47">
        <v>15</v>
      </c>
      <c r="E24" s="48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51" t="str">
        <f t="shared" si="1"/>
        <v>Очікую</v>
      </c>
      <c r="AA24" s="51" t="str">
        <f t="shared" si="2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7"/>
      <c r="D25" s="47">
        <v>16</v>
      </c>
      <c r="E25" s="4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51" t="str">
        <f t="shared" si="1"/>
        <v>Очікую</v>
      </c>
      <c r="AA25" s="51" t="str">
        <f t="shared" si="2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7"/>
      <c r="D26" s="47">
        <v>17</v>
      </c>
      <c r="E26" s="4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51" t="str">
        <f t="shared" si="1"/>
        <v>Очікую</v>
      </c>
      <c r="AA26" s="51" t="str">
        <f t="shared" si="2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7"/>
      <c r="D27" s="47">
        <v>18</v>
      </c>
      <c r="E27" s="4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51" t="str">
        <f t="shared" si="1"/>
        <v>Очікую</v>
      </c>
      <c r="AA27" s="51" t="str">
        <f t="shared" si="2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7"/>
      <c r="D28" s="47">
        <v>19</v>
      </c>
      <c r="E28" s="48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51" t="str">
        <f t="shared" si="1"/>
        <v>Очікую</v>
      </c>
      <c r="AA28" s="51" t="str">
        <f t="shared" si="2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7"/>
      <c r="D29" s="47">
        <v>20</v>
      </c>
      <c r="E29" s="48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51" t="str">
        <f t="shared" si="1"/>
        <v>Очікую</v>
      </c>
      <c r="AA29" s="51" t="str">
        <f t="shared" si="2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7"/>
      <c r="D30" s="47">
        <v>21</v>
      </c>
      <c r="E30" s="48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51" t="str">
        <f t="shared" si="1"/>
        <v>Очікую</v>
      </c>
      <c r="AA30" s="51" t="str">
        <f t="shared" si="2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7"/>
      <c r="D31" s="47">
        <v>22</v>
      </c>
      <c r="E31" s="48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51" t="str">
        <f t="shared" si="1"/>
        <v>Очікую</v>
      </c>
      <c r="AA31" s="51" t="str">
        <f t="shared" si="2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7"/>
      <c r="D32" s="47">
        <v>23</v>
      </c>
      <c r="E32" s="48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51" t="str">
        <f t="shared" si="1"/>
        <v>Очікую</v>
      </c>
      <c r="AA32" s="51" t="str">
        <f t="shared" si="2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7"/>
      <c r="D33" s="47">
        <v>24</v>
      </c>
      <c r="E33" s="48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51" t="str">
        <f t="shared" si="1"/>
        <v>Очікую</v>
      </c>
      <c r="AA33" s="51" t="str">
        <f t="shared" si="2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7"/>
      <c r="D34" s="47">
        <v>25</v>
      </c>
      <c r="E34" s="48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51" t="str">
        <f t="shared" si="1"/>
        <v>Очікую</v>
      </c>
      <c r="AA34" s="51" t="str">
        <f t="shared" si="2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7"/>
      <c r="D35" s="47">
        <v>26</v>
      </c>
      <c r="E35" s="48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51" t="str">
        <f t="shared" si="1"/>
        <v>Очікую</v>
      </c>
      <c r="AA35" s="51" t="str">
        <f t="shared" si="2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7"/>
      <c r="D36" s="47">
        <v>27</v>
      </c>
      <c r="E36" s="48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51" t="str">
        <f t="shared" si="1"/>
        <v>Очікую</v>
      </c>
      <c r="AA36" s="51" t="str">
        <f t="shared" si="2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7"/>
      <c r="D37" s="47">
        <v>28</v>
      </c>
      <c r="E37" s="48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51" t="str">
        <f t="shared" si="1"/>
        <v>Очікую</v>
      </c>
      <c r="AA37" s="51" t="str">
        <f t="shared" si="2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7"/>
      <c r="D38" s="47">
        <v>29</v>
      </c>
      <c r="E38" s="48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51" t="str">
        <f t="shared" si="1"/>
        <v>Очікую</v>
      </c>
      <c r="AA38" s="51" t="str">
        <f t="shared" si="2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7"/>
      <c r="D39" s="47">
        <v>30</v>
      </c>
      <c r="E39" s="48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51" t="str">
        <f t="shared" si="1"/>
        <v>Очікую</v>
      </c>
      <c r="AA39" s="51" t="str">
        <f t="shared" si="2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7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51" t="str">
        <f t="shared" si="1"/>
        <v>Очікую</v>
      </c>
      <c r="AA40" s="51" t="str">
        <f t="shared" si="2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7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51" t="str">
        <f t="shared" si="1"/>
        <v>Очікую</v>
      </c>
      <c r="AA41" s="51" t="str">
        <f t="shared" si="2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7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51" t="str">
        <f t="shared" si="1"/>
        <v>Очікую</v>
      </c>
      <c r="AA42" s="51" t="str">
        <f t="shared" si="2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7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51" t="str">
        <f t="shared" si="1"/>
        <v>Очікую</v>
      </c>
      <c r="AA43" s="51" t="str">
        <f t="shared" si="2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7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51" t="str">
        <f t="shared" si="1"/>
        <v>Очікую</v>
      </c>
      <c r="AA44" s="51" t="str">
        <f t="shared" si="2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7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51" t="str">
        <f t="shared" si="1"/>
        <v>Очікую</v>
      </c>
      <c r="AA45" s="51" t="str">
        <f t="shared" si="2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7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51" t="str">
        <f t="shared" si="1"/>
        <v>Очікую</v>
      </c>
      <c r="AA46" s="51" t="str">
        <f t="shared" si="2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7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51" t="str">
        <f t="shared" si="1"/>
        <v>Очікую</v>
      </c>
      <c r="AA47" s="51" t="str">
        <f t="shared" si="2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7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51" t="str">
        <f t="shared" si="1"/>
        <v>Очікую</v>
      </c>
      <c r="AA48" s="51" t="str">
        <f t="shared" si="2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7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51" t="str">
        <f t="shared" si="1"/>
        <v>Очікую</v>
      </c>
      <c r="AA49" s="51" t="str">
        <f t="shared" si="2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7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51" t="str">
        <f t="shared" si="1"/>
        <v>Очікую</v>
      </c>
      <c r="AA50" s="51" t="str">
        <f t="shared" si="2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7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51" t="str">
        <f t="shared" si="1"/>
        <v>Очікую</v>
      </c>
      <c r="AA51" s="51" t="str">
        <f t="shared" si="2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7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51" t="str">
        <f t="shared" si="1"/>
        <v>Очікую</v>
      </c>
      <c r="AA52" s="51" t="str">
        <f t="shared" si="2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7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51" t="str">
        <f t="shared" si="1"/>
        <v>Очікую</v>
      </c>
      <c r="AA53" s="51" t="str">
        <f t="shared" si="2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7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51" t="str">
        <f t="shared" si="1"/>
        <v>Очікую</v>
      </c>
      <c r="AA54" s="51" t="str">
        <f t="shared" si="2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7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51" t="str">
        <f t="shared" si="1"/>
        <v>Очікую</v>
      </c>
      <c r="AA55" s="51" t="str">
        <f t="shared" si="2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7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51" t="str">
        <f t="shared" si="1"/>
        <v>Очікую</v>
      </c>
      <c r="AA56" s="51" t="str">
        <f t="shared" si="2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7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51" t="str">
        <f t="shared" si="1"/>
        <v>Очікую</v>
      </c>
      <c r="AA57" s="51" t="str">
        <f t="shared" si="2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7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51" t="str">
        <f t="shared" si="1"/>
        <v>Очікую</v>
      </c>
      <c r="AA58" s="51" t="str">
        <f t="shared" si="2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7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51" t="str">
        <f t="shared" si="1"/>
        <v>Очікую</v>
      </c>
      <c r="AA59" s="51" t="str">
        <f t="shared" si="2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7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51" t="str">
        <f t="shared" si="1"/>
        <v>Очікую</v>
      </c>
      <c r="AA60" s="51" t="str">
        <f t="shared" si="2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7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51" t="str">
        <f t="shared" si="1"/>
        <v>Очікую</v>
      </c>
      <c r="AA61" s="51" t="str">
        <f t="shared" si="2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7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51" t="str">
        <f t="shared" si="1"/>
        <v>Очікую</v>
      </c>
      <c r="AA62" s="51" t="str">
        <f t="shared" si="2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7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51" t="str">
        <f t="shared" si="1"/>
        <v>Очікую</v>
      </c>
      <c r="AA63" s="51" t="str">
        <f t="shared" si="2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7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51" t="str">
        <f t="shared" si="1"/>
        <v>Очікую</v>
      </c>
      <c r="AA64" s="51" t="str">
        <f t="shared" si="2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7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51" t="str">
        <f t="shared" si="1"/>
        <v>Очікую</v>
      </c>
      <c r="AA65" s="51" t="str">
        <f t="shared" si="2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7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51" t="str">
        <f t="shared" si="1"/>
        <v>Очікую</v>
      </c>
      <c r="AA66" s="51" t="str">
        <f t="shared" si="2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7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51" t="str">
        <f t="shared" si="1"/>
        <v>Очікую</v>
      </c>
      <c r="AA67" s="51" t="str">
        <f t="shared" si="2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7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51" t="str">
        <f t="shared" si="1"/>
        <v>Очікую</v>
      </c>
      <c r="AA68" s="51" t="str">
        <f t="shared" si="2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7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51" t="str">
        <f t="shared" si="1"/>
        <v>Очікую</v>
      </c>
      <c r="AA69" s="51" t="str">
        <f t="shared" si="2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7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51" t="str">
        <f t="shared" si="1"/>
        <v>Очікую</v>
      </c>
      <c r="AA70" s="51" t="str">
        <f t="shared" si="2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7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51" t="str">
        <f t="shared" si="1"/>
        <v>Очікую</v>
      </c>
      <c r="AA71" s="51" t="str">
        <f t="shared" si="2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7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51" t="str">
        <f t="shared" si="1"/>
        <v>Очікую</v>
      </c>
      <c r="AA72" s="51" t="str">
        <f t="shared" si="2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7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51" t="str">
        <f t="shared" si="1"/>
        <v>Очікую</v>
      </c>
      <c r="AA73" s="51" t="str">
        <f t="shared" si="2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7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51" t="str">
        <f t="shared" si="1"/>
        <v>Очікую</v>
      </c>
      <c r="AA74" s="51" t="str">
        <f t="shared" si="2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7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51" t="str">
        <f t="shared" ref="Z75:Z109" si="3">IF(COUNTIF(F75:Y75,"=*")&gt;0,IF($C75="К","-"," - "),IF(COUNTIF(F75:Y75,"&lt;4")&gt;0,IF(C75="К","-"," - "),(IFERROR(AVERAGE(F75:Y75),"Очікую"))))</f>
        <v>Очікую</v>
      </c>
      <c r="AA75" s="51" t="str">
        <f t="shared" ref="AA75:AA109" si="4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7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51" t="str">
        <f t="shared" si="3"/>
        <v>Очікую</v>
      </c>
      <c r="AA76" s="51" t="str">
        <f t="shared" si="4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7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51" t="str">
        <f t="shared" si="3"/>
        <v>Очікую</v>
      </c>
      <c r="AA77" s="51" t="str">
        <f t="shared" si="4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7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51" t="str">
        <f t="shared" si="3"/>
        <v>Очікую</v>
      </c>
      <c r="AA78" s="51" t="str">
        <f t="shared" si="4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7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51" t="str">
        <f t="shared" si="3"/>
        <v>Очікую</v>
      </c>
      <c r="AA79" s="51" t="str">
        <f t="shared" si="4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7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51" t="str">
        <f t="shared" si="3"/>
        <v>Очікую</v>
      </c>
      <c r="AA80" s="51" t="str">
        <f t="shared" si="4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7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51" t="str">
        <f t="shared" si="3"/>
        <v>Очікую</v>
      </c>
      <c r="AA81" s="51" t="str">
        <f t="shared" si="4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7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51" t="str">
        <f t="shared" si="3"/>
        <v>Очікую</v>
      </c>
      <c r="AA82" s="51" t="str">
        <f t="shared" si="4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7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51" t="str">
        <f t="shared" si="3"/>
        <v>Очікую</v>
      </c>
      <c r="AA83" s="51" t="str">
        <f t="shared" si="4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7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51" t="str">
        <f t="shared" si="3"/>
        <v>Очікую</v>
      </c>
      <c r="AA84" s="51" t="str">
        <f t="shared" si="4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7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51" t="str">
        <f t="shared" si="3"/>
        <v>Очікую</v>
      </c>
      <c r="AA85" s="51" t="str">
        <f t="shared" si="4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7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51" t="str">
        <f t="shared" si="3"/>
        <v>Очікую</v>
      </c>
      <c r="AA86" s="51" t="str">
        <f t="shared" si="4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7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51" t="str">
        <f t="shared" si="3"/>
        <v>Очікую</v>
      </c>
      <c r="AA87" s="51" t="str">
        <f t="shared" si="4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7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51" t="str">
        <f t="shared" si="3"/>
        <v>Очікую</v>
      </c>
      <c r="AA88" s="51" t="str">
        <f t="shared" si="4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7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51" t="str">
        <f t="shared" si="3"/>
        <v>Очікую</v>
      </c>
      <c r="AA89" s="51" t="str">
        <f t="shared" si="4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7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51" t="str">
        <f t="shared" si="3"/>
        <v>Очікую</v>
      </c>
      <c r="AA90" s="51" t="str">
        <f t="shared" si="4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7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51" t="str">
        <f t="shared" si="3"/>
        <v>Очікую</v>
      </c>
      <c r="AA91" s="51" t="str">
        <f t="shared" si="4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7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51" t="str">
        <f t="shared" si="3"/>
        <v>Очікую</v>
      </c>
      <c r="AA92" s="51" t="str">
        <f t="shared" si="4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7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51" t="str">
        <f t="shared" si="3"/>
        <v>Очікую</v>
      </c>
      <c r="AA93" s="51" t="str">
        <f t="shared" si="4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7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51" t="str">
        <f t="shared" si="3"/>
        <v>Очікую</v>
      </c>
      <c r="AA94" s="51" t="str">
        <f t="shared" si="4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7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51" t="str">
        <f t="shared" si="3"/>
        <v>Очікую</v>
      </c>
      <c r="AA95" s="51" t="str">
        <f t="shared" si="4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7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51" t="str">
        <f t="shared" si="3"/>
        <v>Очікую</v>
      </c>
      <c r="AA96" s="51" t="str">
        <f t="shared" si="4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7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51" t="str">
        <f t="shared" si="3"/>
        <v>Очікую</v>
      </c>
      <c r="AA97" s="51" t="str">
        <f t="shared" si="4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7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51" t="str">
        <f t="shared" si="3"/>
        <v>Очікую</v>
      </c>
      <c r="AA98" s="51" t="str">
        <f t="shared" si="4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7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51" t="str">
        <f t="shared" si="3"/>
        <v>Очікую</v>
      </c>
      <c r="AA99" s="51" t="str">
        <f t="shared" si="4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7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51" t="str">
        <f t="shared" si="3"/>
        <v>Очікую</v>
      </c>
      <c r="AA100" s="51" t="str">
        <f t="shared" si="4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7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51" t="str">
        <f t="shared" si="3"/>
        <v>Очікую</v>
      </c>
      <c r="AA101" s="51" t="str">
        <f t="shared" si="4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7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51" t="str">
        <f t="shared" si="3"/>
        <v>Очікую</v>
      </c>
      <c r="AA102" s="51" t="str">
        <f t="shared" si="4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7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51" t="str">
        <f t="shared" si="3"/>
        <v>Очікую</v>
      </c>
      <c r="AA103" s="51" t="str">
        <f t="shared" si="4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7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51" t="str">
        <f t="shared" si="3"/>
        <v>Очікую</v>
      </c>
      <c r="AA104" s="51" t="str">
        <f t="shared" si="4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7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51" t="str">
        <f t="shared" si="3"/>
        <v>Очікую</v>
      </c>
      <c r="AA105" s="51" t="str">
        <f t="shared" si="4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7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51" t="str">
        <f t="shared" si="3"/>
        <v>Очікую</v>
      </c>
      <c r="AA106" s="51" t="str">
        <f t="shared" si="4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7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51" t="str">
        <f t="shared" si="3"/>
        <v>Очікую</v>
      </c>
      <c r="AA107" s="51" t="str">
        <f t="shared" si="4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7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51" t="str">
        <f t="shared" si="3"/>
        <v>Очікую</v>
      </c>
      <c r="AA108" s="51" t="str">
        <f t="shared" si="4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7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51" t="str">
        <f t="shared" si="3"/>
        <v>Очікую</v>
      </c>
      <c r="AA109" s="51" t="str">
        <f t="shared" si="4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ЛЗ2!F115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ЛЗ2!F116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ЛЗ2!F117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ЛЗ2!F118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ЛЗ3!C5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ЛЗ3!C6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ЛЗ3!C7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ЛЗ3!F115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ЛЗ3!F116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ЛЗ3!F117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ЛЗ3!F118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ЛЗ4!C5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ЛЗ4!C6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ЛЗ4!C7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ЛЗ4!F115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ЛЗ4!F116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ЛЗ4!F117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ЛЗ4!F118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ЛЗ5!C5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ЛЗ5!C6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ЛЗ5!C7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ЛЗ5!F115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ЛЗ5!F116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ЛЗ5!F117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ЛЗ5!F118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ЛЗ6!C5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ЛЗ6!C6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ЛЗ6!C7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ЛЗ6!F115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ЛЗ6!F116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ЛЗ6!F117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ЛЗ6!F118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ЛЗ7!C5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ЛЗ7!C6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ЛЗ7!C7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ЛЗ7!F115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ЛЗ7!F116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ЛЗ7!F117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ЛЗ7!F118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ЛЗ8!C5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ЛЗ8!C6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ЛЗ8!C7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ЛЗ8!F115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ЛЗ8!F116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ЛЗ8!F117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ЛЗ8!F118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5" width="6.7109375" style="1" customWidth="1"/>
    <col min="26" max="27" width="11.28515625" style="1" customWidth="1"/>
    <col min="28" max="29" width="2.7109375" style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16384" width="14.42578125" style="1" hidden="1"/>
  </cols>
  <sheetData>
    <row r="1" spans="1:29" ht="12" customHeight="1" thickBot="1" x14ac:dyDescent="0.3">
      <c r="A1" s="37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" customHeight="1" x14ac:dyDescent="0.25">
      <c r="A2" s="40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9"/>
    </row>
    <row r="3" spans="1:29" s="2" customFormat="1" ht="54.95" customHeight="1" x14ac:dyDescent="0.3">
      <c r="A3" s="40"/>
      <c r="B3" s="31"/>
      <c r="C3" s="74" t="s">
        <v>18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32"/>
      <c r="AC3" s="39"/>
    </row>
    <row r="4" spans="1:29" s="3" customFormat="1" ht="15" customHeight="1" x14ac:dyDescent="0.25">
      <c r="A4" s="40"/>
      <c r="B4" s="31"/>
      <c r="C4" s="73" t="s">
        <v>22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32"/>
      <c r="AC4" s="39"/>
    </row>
    <row r="5" spans="1:29" s="2" customFormat="1" ht="15" customHeight="1" x14ac:dyDescent="0.25">
      <c r="A5" s="40"/>
      <c r="B5" s="31"/>
      <c r="C5" s="75" t="str">
        <f>ЛЗ9!C5</f>
        <v>Успішності студентів спеціальності XXX «XXXXX»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32"/>
      <c r="AC5" s="39"/>
    </row>
    <row r="6" spans="1:29" s="2" customFormat="1" ht="15" customHeight="1" x14ac:dyDescent="0.25">
      <c r="A6" s="40"/>
      <c r="B6" s="31"/>
      <c r="C6" s="75" t="str">
        <f>ЛЗ9!C6</f>
        <v>За X семестр XXXX-XXXX н.р.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32"/>
      <c r="AC6" s="39"/>
    </row>
    <row r="7" spans="1:29" s="2" customFormat="1" ht="15" customHeight="1" x14ac:dyDescent="0.25">
      <c r="A7" s="40"/>
      <c r="B7" s="31"/>
      <c r="C7" s="76" t="str">
        <f>ЛЗ9!C7</f>
        <v>Група XXXX курс X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2"/>
      <c r="AC7" s="39"/>
    </row>
    <row r="8" spans="1:29" ht="15" customHeight="1" x14ac:dyDescent="0.25">
      <c r="A8" s="40"/>
      <c r="B8" s="31"/>
      <c r="C8" s="77" t="s">
        <v>0</v>
      </c>
      <c r="D8" s="79" t="s">
        <v>1</v>
      </c>
      <c r="E8" s="79" t="s">
        <v>2</v>
      </c>
      <c r="F8" s="80" t="s">
        <v>16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2"/>
      <c r="Z8" s="83" t="s">
        <v>3</v>
      </c>
      <c r="AA8" s="83" t="s">
        <v>23</v>
      </c>
      <c r="AB8" s="32"/>
      <c r="AC8" s="39"/>
    </row>
    <row r="9" spans="1:29" ht="125.1" customHeight="1" x14ac:dyDescent="0.25">
      <c r="A9" s="40"/>
      <c r="B9" s="31"/>
      <c r="C9" s="78"/>
      <c r="D9" s="78"/>
      <c r="E9" s="78"/>
      <c r="F9" s="23">
        <v>1</v>
      </c>
      <c r="G9" s="23">
        <v>2</v>
      </c>
      <c r="H9" s="23">
        <v>3</v>
      </c>
      <c r="I9" s="23">
        <v>4</v>
      </c>
      <c r="J9" s="23">
        <v>5</v>
      </c>
      <c r="K9" s="23">
        <v>6</v>
      </c>
      <c r="L9" s="23">
        <v>7</v>
      </c>
      <c r="M9" s="23">
        <v>8</v>
      </c>
      <c r="N9" s="23">
        <v>9</v>
      </c>
      <c r="O9" s="23">
        <v>10</v>
      </c>
      <c r="P9" s="23">
        <v>11</v>
      </c>
      <c r="Q9" s="23">
        <v>12</v>
      </c>
      <c r="R9" s="23">
        <v>13</v>
      </c>
      <c r="S9" s="23">
        <v>14</v>
      </c>
      <c r="T9" s="23">
        <v>15</v>
      </c>
      <c r="U9" s="23">
        <v>16</v>
      </c>
      <c r="V9" s="23">
        <v>17</v>
      </c>
      <c r="W9" s="23">
        <v>18</v>
      </c>
      <c r="X9" s="23">
        <v>19</v>
      </c>
      <c r="Y9" s="23">
        <v>20</v>
      </c>
      <c r="Z9" s="84"/>
      <c r="AA9" s="84"/>
      <c r="AB9" s="32"/>
      <c r="AC9" s="39"/>
    </row>
    <row r="10" spans="1:29" s="11" customFormat="1" ht="15" customHeight="1" x14ac:dyDescent="0.25">
      <c r="A10" s="40"/>
      <c r="B10" s="31"/>
      <c r="C10" s="44"/>
      <c r="D10" s="44">
        <v>1</v>
      </c>
      <c r="E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6" t="str">
        <f>IF(COUNTIF(F10:Y10,"=*")&gt;0,IF($C10="К","-"," - "),IF(COUNTIF(F10:Y10,"&lt;4")&gt;0,IF(C10="К","-"," - "),(IFERROR(AVERAGE(F10:Y10),"Очікую"))))</f>
        <v>Очікую</v>
      </c>
      <c r="AA10" s="46" t="str">
        <f>IFERROR(Z10/12*90,"Очікую")</f>
        <v>Очікую</v>
      </c>
      <c r="AB10" s="33"/>
      <c r="AC10" s="39"/>
    </row>
    <row r="11" spans="1:29" s="11" customFormat="1" ht="15" customHeight="1" x14ac:dyDescent="0.25">
      <c r="A11" s="40"/>
      <c r="B11" s="31"/>
      <c r="C11" s="44"/>
      <c r="D11" s="44">
        <v>2</v>
      </c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6" t="str">
        <f t="shared" ref="Z11:Z74" si="0">IF(COUNTIF(F11:Y11,"=*")&gt;0,IF($C11="К","-"," - "),IF(COUNTIF(F11:Y11,"&lt;4")&gt;0,IF(C11="К","-"," - "),(IFERROR(AVERAGE(F11:Y11),"Очікую"))))</f>
        <v>Очікую</v>
      </c>
      <c r="AA11" s="46" t="str">
        <f t="shared" ref="AA11:AA74" si="1">IFERROR(Z11/12*90,"Очікую")</f>
        <v>Очікую</v>
      </c>
      <c r="AB11" s="33"/>
      <c r="AC11" s="39"/>
    </row>
    <row r="12" spans="1:29" s="11" customFormat="1" ht="15" customHeight="1" x14ac:dyDescent="0.25">
      <c r="A12" s="40"/>
      <c r="B12" s="31"/>
      <c r="C12" s="44"/>
      <c r="D12" s="44">
        <v>3</v>
      </c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6" t="str">
        <f t="shared" si="0"/>
        <v>Очікую</v>
      </c>
      <c r="AA12" s="46" t="str">
        <f t="shared" si="1"/>
        <v>Очікую</v>
      </c>
      <c r="AB12" s="33"/>
      <c r="AC12" s="39"/>
    </row>
    <row r="13" spans="1:29" s="11" customFormat="1" ht="15" customHeight="1" x14ac:dyDescent="0.25">
      <c r="A13" s="40"/>
      <c r="B13" s="31"/>
      <c r="C13" s="44"/>
      <c r="D13" s="44">
        <v>4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6" t="str">
        <f t="shared" si="0"/>
        <v>Очікую</v>
      </c>
      <c r="AA13" s="46" t="str">
        <f t="shared" si="1"/>
        <v>Очікую</v>
      </c>
      <c r="AB13" s="33"/>
      <c r="AC13" s="39"/>
    </row>
    <row r="14" spans="1:29" s="11" customFormat="1" ht="15" customHeight="1" x14ac:dyDescent="0.25">
      <c r="A14" s="40"/>
      <c r="B14" s="31"/>
      <c r="C14" s="44"/>
      <c r="D14" s="44">
        <v>5</v>
      </c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6" t="str">
        <f t="shared" si="0"/>
        <v>Очікую</v>
      </c>
      <c r="AA14" s="46" t="str">
        <f t="shared" si="1"/>
        <v>Очікую</v>
      </c>
      <c r="AB14" s="33"/>
      <c r="AC14" s="39"/>
    </row>
    <row r="15" spans="1:29" s="11" customFormat="1" ht="15" customHeight="1" x14ac:dyDescent="0.25">
      <c r="A15" s="40"/>
      <c r="B15" s="31"/>
      <c r="C15" s="44"/>
      <c r="D15" s="44">
        <v>6</v>
      </c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6" t="str">
        <f t="shared" si="0"/>
        <v>Очікую</v>
      </c>
      <c r="AA15" s="46" t="str">
        <f t="shared" si="1"/>
        <v>Очікую</v>
      </c>
      <c r="AB15" s="33"/>
      <c r="AC15" s="39"/>
    </row>
    <row r="16" spans="1:29" s="11" customFormat="1" ht="15" customHeight="1" x14ac:dyDescent="0.25">
      <c r="A16" s="40"/>
      <c r="B16" s="31"/>
      <c r="C16" s="44"/>
      <c r="D16" s="44">
        <v>7</v>
      </c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6" t="str">
        <f t="shared" si="0"/>
        <v>Очікую</v>
      </c>
      <c r="AA16" s="46" t="str">
        <f t="shared" si="1"/>
        <v>Очікую</v>
      </c>
      <c r="AB16" s="33"/>
      <c r="AC16" s="39"/>
    </row>
    <row r="17" spans="1:29" s="11" customFormat="1" ht="15" customHeight="1" x14ac:dyDescent="0.25">
      <c r="A17" s="40"/>
      <c r="B17" s="31"/>
      <c r="C17" s="44"/>
      <c r="D17" s="44">
        <v>8</v>
      </c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6" t="str">
        <f t="shared" si="0"/>
        <v>Очікую</v>
      </c>
      <c r="AA17" s="46" t="str">
        <f t="shared" si="1"/>
        <v>Очікую</v>
      </c>
      <c r="AB17" s="33"/>
      <c r="AC17" s="39"/>
    </row>
    <row r="18" spans="1:29" s="11" customFormat="1" ht="15" customHeight="1" x14ac:dyDescent="0.25">
      <c r="A18" s="40"/>
      <c r="B18" s="31"/>
      <c r="C18" s="44"/>
      <c r="D18" s="44">
        <v>9</v>
      </c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6" t="str">
        <f t="shared" si="0"/>
        <v>Очікую</v>
      </c>
      <c r="AA18" s="46" t="str">
        <f t="shared" si="1"/>
        <v>Очікую</v>
      </c>
      <c r="AB18" s="33"/>
      <c r="AC18" s="39"/>
    </row>
    <row r="19" spans="1:29" s="11" customFormat="1" ht="15" customHeight="1" x14ac:dyDescent="0.25">
      <c r="A19" s="40"/>
      <c r="B19" s="31"/>
      <c r="C19" s="44"/>
      <c r="D19" s="44">
        <v>10</v>
      </c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6" t="str">
        <f t="shared" si="0"/>
        <v>Очікую</v>
      </c>
      <c r="AA19" s="46" t="str">
        <f t="shared" si="1"/>
        <v>Очікую</v>
      </c>
      <c r="AB19" s="33"/>
      <c r="AC19" s="39"/>
    </row>
    <row r="20" spans="1:29" s="11" customFormat="1" ht="15" customHeight="1" x14ac:dyDescent="0.25">
      <c r="A20" s="40"/>
      <c r="B20" s="31"/>
      <c r="C20" s="44"/>
      <c r="D20" s="44">
        <v>11</v>
      </c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6" t="str">
        <f t="shared" si="0"/>
        <v>Очікую</v>
      </c>
      <c r="AA20" s="46" t="str">
        <f t="shared" si="1"/>
        <v>Очікую</v>
      </c>
      <c r="AB20" s="33"/>
      <c r="AC20" s="39"/>
    </row>
    <row r="21" spans="1:29" s="11" customFormat="1" ht="15" customHeight="1" x14ac:dyDescent="0.25">
      <c r="A21" s="40"/>
      <c r="B21" s="31"/>
      <c r="C21" s="44"/>
      <c r="D21" s="44">
        <v>12</v>
      </c>
      <c r="E21" s="4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6" t="str">
        <f t="shared" si="0"/>
        <v>Очікую</v>
      </c>
      <c r="AA21" s="46" t="str">
        <f t="shared" si="1"/>
        <v>Очікую</v>
      </c>
      <c r="AB21" s="33"/>
      <c r="AC21" s="39"/>
    </row>
    <row r="22" spans="1:29" s="11" customFormat="1" ht="15" customHeight="1" x14ac:dyDescent="0.25">
      <c r="A22" s="40"/>
      <c r="B22" s="31"/>
      <c r="C22" s="44"/>
      <c r="D22" s="44">
        <v>13</v>
      </c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6" t="str">
        <f t="shared" si="0"/>
        <v>Очікую</v>
      </c>
      <c r="AA22" s="46" t="str">
        <f t="shared" si="1"/>
        <v>Очікую</v>
      </c>
      <c r="AB22" s="33"/>
      <c r="AC22" s="39"/>
    </row>
    <row r="23" spans="1:29" s="11" customFormat="1" ht="15" customHeight="1" x14ac:dyDescent="0.25">
      <c r="A23" s="40"/>
      <c r="B23" s="31"/>
      <c r="C23" s="44"/>
      <c r="D23" s="44">
        <v>14</v>
      </c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6" t="str">
        <f t="shared" si="0"/>
        <v>Очікую</v>
      </c>
      <c r="AA23" s="46" t="str">
        <f t="shared" si="1"/>
        <v>Очікую</v>
      </c>
      <c r="AB23" s="33"/>
      <c r="AC23" s="39"/>
    </row>
    <row r="24" spans="1:29" s="11" customFormat="1" ht="15" customHeight="1" x14ac:dyDescent="0.25">
      <c r="A24" s="40"/>
      <c r="B24" s="31"/>
      <c r="C24" s="44"/>
      <c r="D24" s="44">
        <v>15</v>
      </c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6" t="str">
        <f t="shared" si="0"/>
        <v>Очікую</v>
      </c>
      <c r="AA24" s="46" t="str">
        <f t="shared" si="1"/>
        <v>Очікую</v>
      </c>
      <c r="AB24" s="33"/>
      <c r="AC24" s="39"/>
    </row>
    <row r="25" spans="1:29" s="11" customFormat="1" ht="15" customHeight="1" x14ac:dyDescent="0.25">
      <c r="A25" s="40"/>
      <c r="B25" s="31"/>
      <c r="C25" s="44"/>
      <c r="D25" s="44">
        <v>16</v>
      </c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6" t="str">
        <f t="shared" si="0"/>
        <v>Очікую</v>
      </c>
      <c r="AA25" s="46" t="str">
        <f t="shared" si="1"/>
        <v>Очікую</v>
      </c>
      <c r="AB25" s="33"/>
      <c r="AC25" s="39"/>
    </row>
    <row r="26" spans="1:29" s="11" customFormat="1" ht="15" customHeight="1" x14ac:dyDescent="0.25">
      <c r="A26" s="40"/>
      <c r="B26" s="31"/>
      <c r="C26" s="44"/>
      <c r="D26" s="44">
        <v>17</v>
      </c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6" t="str">
        <f t="shared" si="0"/>
        <v>Очікую</v>
      </c>
      <c r="AA26" s="46" t="str">
        <f t="shared" si="1"/>
        <v>Очікую</v>
      </c>
      <c r="AB26" s="33"/>
      <c r="AC26" s="39"/>
    </row>
    <row r="27" spans="1:29" s="11" customFormat="1" ht="15" customHeight="1" x14ac:dyDescent="0.25">
      <c r="A27" s="40"/>
      <c r="B27" s="31"/>
      <c r="C27" s="44"/>
      <c r="D27" s="44">
        <v>18</v>
      </c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6" t="str">
        <f t="shared" si="0"/>
        <v>Очікую</v>
      </c>
      <c r="AA27" s="46" t="str">
        <f t="shared" si="1"/>
        <v>Очікую</v>
      </c>
      <c r="AB27" s="33"/>
      <c r="AC27" s="39"/>
    </row>
    <row r="28" spans="1:29" s="11" customFormat="1" ht="15" customHeight="1" x14ac:dyDescent="0.25">
      <c r="A28" s="40"/>
      <c r="B28" s="31"/>
      <c r="C28" s="44"/>
      <c r="D28" s="44">
        <v>19</v>
      </c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6" t="str">
        <f t="shared" si="0"/>
        <v>Очікую</v>
      </c>
      <c r="AA28" s="46" t="str">
        <f t="shared" si="1"/>
        <v>Очікую</v>
      </c>
      <c r="AB28" s="33"/>
      <c r="AC28" s="39"/>
    </row>
    <row r="29" spans="1:29" s="11" customFormat="1" ht="15" customHeight="1" x14ac:dyDescent="0.25">
      <c r="A29" s="40"/>
      <c r="B29" s="31"/>
      <c r="C29" s="44"/>
      <c r="D29" s="44">
        <v>20</v>
      </c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" t="str">
        <f t="shared" si="0"/>
        <v>Очікую</v>
      </c>
      <c r="AA29" s="46" t="str">
        <f t="shared" si="1"/>
        <v>Очікую</v>
      </c>
      <c r="AB29" s="33"/>
      <c r="AC29" s="39"/>
    </row>
    <row r="30" spans="1:29" s="11" customFormat="1" ht="15" customHeight="1" x14ac:dyDescent="0.25">
      <c r="A30" s="40"/>
      <c r="B30" s="31"/>
      <c r="C30" s="44"/>
      <c r="D30" s="44">
        <v>21</v>
      </c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" t="str">
        <f t="shared" si="0"/>
        <v>Очікую</v>
      </c>
      <c r="AA30" s="46" t="str">
        <f t="shared" si="1"/>
        <v>Очікую</v>
      </c>
      <c r="AB30" s="33"/>
      <c r="AC30" s="39"/>
    </row>
    <row r="31" spans="1:29" s="11" customFormat="1" ht="15" customHeight="1" x14ac:dyDescent="0.25">
      <c r="A31" s="40"/>
      <c r="B31" s="31"/>
      <c r="C31" s="44"/>
      <c r="D31" s="44">
        <v>22</v>
      </c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6" t="str">
        <f t="shared" si="0"/>
        <v>Очікую</v>
      </c>
      <c r="AA31" s="46" t="str">
        <f t="shared" si="1"/>
        <v>Очікую</v>
      </c>
      <c r="AB31" s="33"/>
      <c r="AC31" s="39"/>
    </row>
    <row r="32" spans="1:29" s="11" customFormat="1" ht="15" customHeight="1" x14ac:dyDescent="0.25">
      <c r="A32" s="40"/>
      <c r="B32" s="31"/>
      <c r="C32" s="44"/>
      <c r="D32" s="44">
        <v>23</v>
      </c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" t="str">
        <f t="shared" si="0"/>
        <v>Очікую</v>
      </c>
      <c r="AA32" s="46" t="str">
        <f t="shared" si="1"/>
        <v>Очікую</v>
      </c>
      <c r="AB32" s="33"/>
      <c r="AC32" s="39"/>
    </row>
    <row r="33" spans="1:29" s="11" customFormat="1" ht="15" customHeight="1" x14ac:dyDescent="0.25">
      <c r="A33" s="40"/>
      <c r="B33" s="31"/>
      <c r="C33" s="44"/>
      <c r="D33" s="44">
        <v>24</v>
      </c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6" t="str">
        <f t="shared" si="0"/>
        <v>Очікую</v>
      </c>
      <c r="AA33" s="46" t="str">
        <f t="shared" si="1"/>
        <v>Очікую</v>
      </c>
      <c r="AB33" s="33"/>
      <c r="AC33" s="39"/>
    </row>
    <row r="34" spans="1:29" s="11" customFormat="1" ht="15" customHeight="1" x14ac:dyDescent="0.25">
      <c r="A34" s="40"/>
      <c r="B34" s="31"/>
      <c r="C34" s="44"/>
      <c r="D34" s="44">
        <v>25</v>
      </c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" t="str">
        <f t="shared" si="0"/>
        <v>Очікую</v>
      </c>
      <c r="AA34" s="46" t="str">
        <f t="shared" si="1"/>
        <v>Очікую</v>
      </c>
      <c r="AB34" s="33"/>
      <c r="AC34" s="39"/>
    </row>
    <row r="35" spans="1:29" s="11" customFormat="1" ht="15" customHeight="1" x14ac:dyDescent="0.25">
      <c r="A35" s="40"/>
      <c r="B35" s="31"/>
      <c r="C35" s="44"/>
      <c r="D35" s="44">
        <v>26</v>
      </c>
      <c r="E35" s="45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" t="str">
        <f t="shared" si="0"/>
        <v>Очікую</v>
      </c>
      <c r="AA35" s="46" t="str">
        <f t="shared" si="1"/>
        <v>Очікую</v>
      </c>
      <c r="AB35" s="33"/>
      <c r="AC35" s="39"/>
    </row>
    <row r="36" spans="1:29" s="11" customFormat="1" ht="15" customHeight="1" x14ac:dyDescent="0.25">
      <c r="A36" s="40"/>
      <c r="B36" s="31"/>
      <c r="C36" s="44"/>
      <c r="D36" s="44">
        <v>27</v>
      </c>
      <c r="E36" s="45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6" t="str">
        <f t="shared" si="0"/>
        <v>Очікую</v>
      </c>
      <c r="AA36" s="46" t="str">
        <f t="shared" si="1"/>
        <v>Очікую</v>
      </c>
      <c r="AB36" s="33"/>
      <c r="AC36" s="39"/>
    </row>
    <row r="37" spans="1:29" s="11" customFormat="1" ht="15" customHeight="1" x14ac:dyDescent="0.25">
      <c r="A37" s="40"/>
      <c r="B37" s="31"/>
      <c r="C37" s="44"/>
      <c r="D37" s="44">
        <v>28</v>
      </c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6" t="str">
        <f t="shared" si="0"/>
        <v>Очікую</v>
      </c>
      <c r="AA37" s="46" t="str">
        <f t="shared" si="1"/>
        <v>Очікую</v>
      </c>
      <c r="AB37" s="33"/>
      <c r="AC37" s="39"/>
    </row>
    <row r="38" spans="1:29" s="11" customFormat="1" ht="15" customHeight="1" x14ac:dyDescent="0.25">
      <c r="A38" s="40"/>
      <c r="B38" s="31"/>
      <c r="C38" s="44"/>
      <c r="D38" s="44">
        <v>29</v>
      </c>
      <c r="E38" s="45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6" t="str">
        <f t="shared" si="0"/>
        <v>Очікую</v>
      </c>
      <c r="AA38" s="46" t="str">
        <f t="shared" si="1"/>
        <v>Очікую</v>
      </c>
      <c r="AB38" s="33"/>
      <c r="AC38" s="39"/>
    </row>
    <row r="39" spans="1:29" s="11" customFormat="1" ht="15" customHeight="1" x14ac:dyDescent="0.25">
      <c r="A39" s="40"/>
      <c r="B39" s="31"/>
      <c r="C39" s="44"/>
      <c r="D39" s="44">
        <v>30</v>
      </c>
      <c r="E39" s="45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6" t="str">
        <f t="shared" si="0"/>
        <v>Очікую</v>
      </c>
      <c r="AA39" s="46" t="str">
        <f t="shared" si="1"/>
        <v>Очікую</v>
      </c>
      <c r="AB39" s="33"/>
      <c r="AC39" s="39"/>
    </row>
    <row r="40" spans="1:29" s="11" customFormat="1" ht="15" customHeight="1" x14ac:dyDescent="0.25">
      <c r="A40" s="40"/>
      <c r="B40" s="31"/>
      <c r="C40" s="44"/>
      <c r="D40" s="44">
        <v>31</v>
      </c>
      <c r="E40" s="45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6" t="str">
        <f t="shared" si="0"/>
        <v>Очікую</v>
      </c>
      <c r="AA40" s="46" t="str">
        <f t="shared" si="1"/>
        <v>Очікую</v>
      </c>
      <c r="AB40" s="33"/>
      <c r="AC40" s="39"/>
    </row>
    <row r="41" spans="1:29" s="11" customFormat="1" ht="15" customHeight="1" x14ac:dyDescent="0.25">
      <c r="A41" s="40"/>
      <c r="B41" s="31"/>
      <c r="C41" s="44"/>
      <c r="D41" s="44">
        <v>32</v>
      </c>
      <c r="E41" s="45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6" t="str">
        <f t="shared" si="0"/>
        <v>Очікую</v>
      </c>
      <c r="AA41" s="46" t="str">
        <f t="shared" si="1"/>
        <v>Очікую</v>
      </c>
      <c r="AB41" s="33"/>
      <c r="AC41" s="39"/>
    </row>
    <row r="42" spans="1:29" s="11" customFormat="1" ht="15" customHeight="1" x14ac:dyDescent="0.25">
      <c r="A42" s="40"/>
      <c r="B42" s="31"/>
      <c r="C42" s="44"/>
      <c r="D42" s="44">
        <v>33</v>
      </c>
      <c r="E42" s="45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6" t="str">
        <f t="shared" si="0"/>
        <v>Очікую</v>
      </c>
      <c r="AA42" s="46" t="str">
        <f t="shared" si="1"/>
        <v>Очікую</v>
      </c>
      <c r="AB42" s="33"/>
      <c r="AC42" s="39"/>
    </row>
    <row r="43" spans="1:29" s="11" customFormat="1" ht="15" customHeight="1" x14ac:dyDescent="0.25">
      <c r="A43" s="40"/>
      <c r="B43" s="31"/>
      <c r="C43" s="44"/>
      <c r="D43" s="44">
        <v>34</v>
      </c>
      <c r="E43" s="4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6" t="str">
        <f t="shared" si="0"/>
        <v>Очікую</v>
      </c>
      <c r="AA43" s="46" t="str">
        <f t="shared" si="1"/>
        <v>Очікую</v>
      </c>
      <c r="AB43" s="33"/>
      <c r="AC43" s="39"/>
    </row>
    <row r="44" spans="1:29" s="11" customFormat="1" ht="15" customHeight="1" x14ac:dyDescent="0.25">
      <c r="A44" s="40"/>
      <c r="B44" s="31"/>
      <c r="C44" s="44"/>
      <c r="D44" s="44">
        <v>35</v>
      </c>
      <c r="E44" s="4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6" t="str">
        <f t="shared" si="0"/>
        <v>Очікую</v>
      </c>
      <c r="AA44" s="46" t="str">
        <f t="shared" si="1"/>
        <v>Очікую</v>
      </c>
      <c r="AB44" s="33"/>
      <c r="AC44" s="39"/>
    </row>
    <row r="45" spans="1:29" s="11" customFormat="1" ht="15" customHeight="1" x14ac:dyDescent="0.25">
      <c r="A45" s="40"/>
      <c r="B45" s="31"/>
      <c r="C45" s="44"/>
      <c r="D45" s="44">
        <v>36</v>
      </c>
      <c r="E45" s="4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6" t="str">
        <f t="shared" si="0"/>
        <v>Очікую</v>
      </c>
      <c r="AA45" s="46" t="str">
        <f t="shared" si="1"/>
        <v>Очікую</v>
      </c>
      <c r="AB45" s="33"/>
      <c r="AC45" s="39"/>
    </row>
    <row r="46" spans="1:29" s="11" customFormat="1" ht="15" customHeight="1" x14ac:dyDescent="0.25">
      <c r="A46" s="40"/>
      <c r="B46" s="31"/>
      <c r="C46" s="44"/>
      <c r="D46" s="44">
        <v>37</v>
      </c>
      <c r="E46" s="4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6" t="str">
        <f t="shared" si="0"/>
        <v>Очікую</v>
      </c>
      <c r="AA46" s="46" t="str">
        <f t="shared" si="1"/>
        <v>Очікую</v>
      </c>
      <c r="AB46" s="33"/>
      <c r="AC46" s="39"/>
    </row>
    <row r="47" spans="1:29" s="11" customFormat="1" ht="15" customHeight="1" x14ac:dyDescent="0.25">
      <c r="A47" s="40"/>
      <c r="B47" s="31"/>
      <c r="C47" s="44"/>
      <c r="D47" s="44">
        <v>38</v>
      </c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6" t="str">
        <f t="shared" si="0"/>
        <v>Очікую</v>
      </c>
      <c r="AA47" s="46" t="str">
        <f t="shared" si="1"/>
        <v>Очікую</v>
      </c>
      <c r="AB47" s="33"/>
      <c r="AC47" s="39"/>
    </row>
    <row r="48" spans="1:29" s="11" customFormat="1" ht="15" customHeight="1" x14ac:dyDescent="0.25">
      <c r="A48" s="40"/>
      <c r="B48" s="31"/>
      <c r="C48" s="44"/>
      <c r="D48" s="44">
        <v>39</v>
      </c>
      <c r="E48" s="4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6" t="str">
        <f t="shared" si="0"/>
        <v>Очікую</v>
      </c>
      <c r="AA48" s="46" t="str">
        <f t="shared" si="1"/>
        <v>Очікую</v>
      </c>
      <c r="AB48" s="33"/>
      <c r="AC48" s="39"/>
    </row>
    <row r="49" spans="1:29" s="11" customFormat="1" ht="15" customHeight="1" x14ac:dyDescent="0.25">
      <c r="A49" s="40"/>
      <c r="B49" s="31"/>
      <c r="C49" s="44"/>
      <c r="D49" s="44">
        <v>40</v>
      </c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6" t="str">
        <f t="shared" si="0"/>
        <v>Очікую</v>
      </c>
      <c r="AA49" s="46" t="str">
        <f t="shared" si="1"/>
        <v>Очікую</v>
      </c>
      <c r="AB49" s="33"/>
      <c r="AC49" s="39"/>
    </row>
    <row r="50" spans="1:29" s="11" customFormat="1" ht="15" customHeight="1" x14ac:dyDescent="0.25">
      <c r="A50" s="40"/>
      <c r="B50" s="31"/>
      <c r="C50" s="44"/>
      <c r="D50" s="44">
        <v>41</v>
      </c>
      <c r="E50" s="45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6" t="str">
        <f t="shared" si="0"/>
        <v>Очікую</v>
      </c>
      <c r="AA50" s="46" t="str">
        <f t="shared" si="1"/>
        <v>Очікую</v>
      </c>
      <c r="AB50" s="33"/>
      <c r="AC50" s="39"/>
    </row>
    <row r="51" spans="1:29" s="11" customFormat="1" ht="15" customHeight="1" x14ac:dyDescent="0.25">
      <c r="A51" s="40"/>
      <c r="B51" s="31"/>
      <c r="C51" s="44"/>
      <c r="D51" s="44">
        <v>42</v>
      </c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6" t="str">
        <f t="shared" si="0"/>
        <v>Очікую</v>
      </c>
      <c r="AA51" s="46" t="str">
        <f t="shared" si="1"/>
        <v>Очікую</v>
      </c>
      <c r="AB51" s="33"/>
      <c r="AC51" s="39"/>
    </row>
    <row r="52" spans="1:29" s="11" customFormat="1" ht="15" customHeight="1" x14ac:dyDescent="0.25">
      <c r="A52" s="40"/>
      <c r="B52" s="31"/>
      <c r="C52" s="44"/>
      <c r="D52" s="44">
        <v>43</v>
      </c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6" t="str">
        <f t="shared" si="0"/>
        <v>Очікую</v>
      </c>
      <c r="AA52" s="46" t="str">
        <f t="shared" si="1"/>
        <v>Очікую</v>
      </c>
      <c r="AB52" s="33"/>
      <c r="AC52" s="39"/>
    </row>
    <row r="53" spans="1:29" s="11" customFormat="1" ht="15" customHeight="1" x14ac:dyDescent="0.25">
      <c r="A53" s="40"/>
      <c r="B53" s="31"/>
      <c r="C53" s="44"/>
      <c r="D53" s="44">
        <v>44</v>
      </c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6" t="str">
        <f t="shared" si="0"/>
        <v>Очікую</v>
      </c>
      <c r="AA53" s="46" t="str">
        <f t="shared" si="1"/>
        <v>Очікую</v>
      </c>
      <c r="AB53" s="33"/>
      <c r="AC53" s="39"/>
    </row>
    <row r="54" spans="1:29" s="11" customFormat="1" ht="15" customHeight="1" x14ac:dyDescent="0.25">
      <c r="A54" s="40"/>
      <c r="B54" s="31"/>
      <c r="C54" s="44"/>
      <c r="D54" s="44">
        <v>45</v>
      </c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6" t="str">
        <f t="shared" si="0"/>
        <v>Очікую</v>
      </c>
      <c r="AA54" s="46" t="str">
        <f t="shared" si="1"/>
        <v>Очікую</v>
      </c>
      <c r="AB54" s="33"/>
      <c r="AC54" s="39"/>
    </row>
    <row r="55" spans="1:29" s="11" customFormat="1" ht="15" customHeight="1" x14ac:dyDescent="0.25">
      <c r="A55" s="40"/>
      <c r="B55" s="31"/>
      <c r="C55" s="44"/>
      <c r="D55" s="44">
        <v>46</v>
      </c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6" t="str">
        <f t="shared" si="0"/>
        <v>Очікую</v>
      </c>
      <c r="AA55" s="46" t="str">
        <f t="shared" si="1"/>
        <v>Очікую</v>
      </c>
      <c r="AB55" s="33"/>
      <c r="AC55" s="39"/>
    </row>
    <row r="56" spans="1:29" s="11" customFormat="1" ht="15" customHeight="1" x14ac:dyDescent="0.25">
      <c r="A56" s="40"/>
      <c r="B56" s="31"/>
      <c r="C56" s="44"/>
      <c r="D56" s="44">
        <v>47</v>
      </c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6" t="str">
        <f t="shared" si="0"/>
        <v>Очікую</v>
      </c>
      <c r="AA56" s="46" t="str">
        <f t="shared" si="1"/>
        <v>Очікую</v>
      </c>
      <c r="AB56" s="33"/>
      <c r="AC56" s="39"/>
    </row>
    <row r="57" spans="1:29" s="11" customFormat="1" ht="15" customHeight="1" x14ac:dyDescent="0.25">
      <c r="A57" s="40"/>
      <c r="B57" s="31"/>
      <c r="C57" s="44"/>
      <c r="D57" s="44">
        <v>48</v>
      </c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6" t="str">
        <f t="shared" si="0"/>
        <v>Очікую</v>
      </c>
      <c r="AA57" s="46" t="str">
        <f t="shared" si="1"/>
        <v>Очікую</v>
      </c>
      <c r="AB57" s="33"/>
      <c r="AC57" s="39"/>
    </row>
    <row r="58" spans="1:29" s="11" customFormat="1" ht="15" customHeight="1" x14ac:dyDescent="0.25">
      <c r="A58" s="40"/>
      <c r="B58" s="31"/>
      <c r="C58" s="44"/>
      <c r="D58" s="44">
        <v>49</v>
      </c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6" t="str">
        <f t="shared" si="0"/>
        <v>Очікую</v>
      </c>
      <c r="AA58" s="46" t="str">
        <f t="shared" si="1"/>
        <v>Очікую</v>
      </c>
      <c r="AB58" s="33"/>
      <c r="AC58" s="39"/>
    </row>
    <row r="59" spans="1:29" s="11" customFormat="1" ht="15" customHeight="1" x14ac:dyDescent="0.25">
      <c r="A59" s="40"/>
      <c r="B59" s="31"/>
      <c r="C59" s="44"/>
      <c r="D59" s="44">
        <v>50</v>
      </c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6" t="str">
        <f t="shared" si="0"/>
        <v>Очікую</v>
      </c>
      <c r="AA59" s="46" t="str">
        <f t="shared" si="1"/>
        <v>Очікую</v>
      </c>
      <c r="AB59" s="33"/>
      <c r="AC59" s="39"/>
    </row>
    <row r="60" spans="1:29" s="11" customFormat="1" ht="15" customHeight="1" x14ac:dyDescent="0.25">
      <c r="A60" s="40"/>
      <c r="B60" s="31"/>
      <c r="C60" s="44"/>
      <c r="D60" s="44">
        <v>51</v>
      </c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6" t="str">
        <f t="shared" si="0"/>
        <v>Очікую</v>
      </c>
      <c r="AA60" s="46" t="str">
        <f t="shared" si="1"/>
        <v>Очікую</v>
      </c>
      <c r="AB60" s="33"/>
      <c r="AC60" s="39"/>
    </row>
    <row r="61" spans="1:29" s="11" customFormat="1" ht="15" customHeight="1" x14ac:dyDescent="0.25">
      <c r="A61" s="40"/>
      <c r="B61" s="31"/>
      <c r="C61" s="44"/>
      <c r="D61" s="44">
        <v>52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6" t="str">
        <f t="shared" si="0"/>
        <v>Очікую</v>
      </c>
      <c r="AA61" s="46" t="str">
        <f t="shared" si="1"/>
        <v>Очікую</v>
      </c>
      <c r="AB61" s="33"/>
      <c r="AC61" s="39"/>
    </row>
    <row r="62" spans="1:29" s="11" customFormat="1" ht="15" customHeight="1" x14ac:dyDescent="0.25">
      <c r="A62" s="40"/>
      <c r="B62" s="31"/>
      <c r="C62" s="44"/>
      <c r="D62" s="44">
        <v>53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6" t="str">
        <f t="shared" si="0"/>
        <v>Очікую</v>
      </c>
      <c r="AA62" s="46" t="str">
        <f t="shared" si="1"/>
        <v>Очікую</v>
      </c>
      <c r="AB62" s="33"/>
      <c r="AC62" s="39"/>
    </row>
    <row r="63" spans="1:29" s="11" customFormat="1" ht="15" customHeight="1" x14ac:dyDescent="0.25">
      <c r="A63" s="40"/>
      <c r="B63" s="31"/>
      <c r="C63" s="44"/>
      <c r="D63" s="44">
        <v>54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6" t="str">
        <f t="shared" si="0"/>
        <v>Очікую</v>
      </c>
      <c r="AA63" s="46" t="str">
        <f t="shared" si="1"/>
        <v>Очікую</v>
      </c>
      <c r="AB63" s="33"/>
      <c r="AC63" s="39"/>
    </row>
    <row r="64" spans="1:29" s="11" customFormat="1" ht="15" customHeight="1" x14ac:dyDescent="0.25">
      <c r="A64" s="40"/>
      <c r="B64" s="31"/>
      <c r="C64" s="44"/>
      <c r="D64" s="44">
        <v>55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6" t="str">
        <f t="shared" si="0"/>
        <v>Очікую</v>
      </c>
      <c r="AA64" s="46" t="str">
        <f t="shared" si="1"/>
        <v>Очікую</v>
      </c>
      <c r="AB64" s="33"/>
      <c r="AC64" s="39"/>
    </row>
    <row r="65" spans="1:29" s="11" customFormat="1" ht="15" customHeight="1" x14ac:dyDescent="0.25">
      <c r="A65" s="40"/>
      <c r="B65" s="31"/>
      <c r="C65" s="44"/>
      <c r="D65" s="44">
        <v>56</v>
      </c>
      <c r="E65" s="4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6" t="str">
        <f t="shared" si="0"/>
        <v>Очікую</v>
      </c>
      <c r="AA65" s="46" t="str">
        <f t="shared" si="1"/>
        <v>Очікую</v>
      </c>
      <c r="AB65" s="33"/>
      <c r="AC65" s="39"/>
    </row>
    <row r="66" spans="1:29" s="11" customFormat="1" ht="15" customHeight="1" x14ac:dyDescent="0.25">
      <c r="A66" s="40"/>
      <c r="B66" s="31"/>
      <c r="C66" s="44"/>
      <c r="D66" s="44">
        <v>57</v>
      </c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6" t="str">
        <f t="shared" si="0"/>
        <v>Очікую</v>
      </c>
      <c r="AA66" s="46" t="str">
        <f t="shared" si="1"/>
        <v>Очікую</v>
      </c>
      <c r="AB66" s="33"/>
      <c r="AC66" s="39"/>
    </row>
    <row r="67" spans="1:29" s="11" customFormat="1" ht="15" customHeight="1" x14ac:dyDescent="0.25">
      <c r="A67" s="40"/>
      <c r="B67" s="31"/>
      <c r="C67" s="44"/>
      <c r="D67" s="44">
        <v>58</v>
      </c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6" t="str">
        <f t="shared" si="0"/>
        <v>Очікую</v>
      </c>
      <c r="AA67" s="46" t="str">
        <f t="shared" si="1"/>
        <v>Очікую</v>
      </c>
      <c r="AB67" s="33"/>
      <c r="AC67" s="39"/>
    </row>
    <row r="68" spans="1:29" s="11" customFormat="1" ht="15" customHeight="1" x14ac:dyDescent="0.25">
      <c r="A68" s="40"/>
      <c r="B68" s="31"/>
      <c r="C68" s="44"/>
      <c r="D68" s="44">
        <v>59</v>
      </c>
      <c r="E68" s="45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6" t="str">
        <f t="shared" si="0"/>
        <v>Очікую</v>
      </c>
      <c r="AA68" s="46" t="str">
        <f t="shared" si="1"/>
        <v>Очікую</v>
      </c>
      <c r="AB68" s="33"/>
      <c r="AC68" s="39"/>
    </row>
    <row r="69" spans="1:29" s="11" customFormat="1" ht="15" customHeight="1" x14ac:dyDescent="0.25">
      <c r="A69" s="40"/>
      <c r="B69" s="31"/>
      <c r="C69" s="44"/>
      <c r="D69" s="44">
        <v>60</v>
      </c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6" t="str">
        <f t="shared" si="0"/>
        <v>Очікую</v>
      </c>
      <c r="AA69" s="46" t="str">
        <f t="shared" si="1"/>
        <v>Очікую</v>
      </c>
      <c r="AB69" s="33"/>
      <c r="AC69" s="39"/>
    </row>
    <row r="70" spans="1:29" s="11" customFormat="1" ht="15" customHeight="1" x14ac:dyDescent="0.25">
      <c r="A70" s="40"/>
      <c r="B70" s="31"/>
      <c r="C70" s="44"/>
      <c r="D70" s="44">
        <v>61</v>
      </c>
      <c r="E70" s="45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6" t="str">
        <f t="shared" si="0"/>
        <v>Очікую</v>
      </c>
      <c r="AA70" s="46" t="str">
        <f t="shared" si="1"/>
        <v>Очікую</v>
      </c>
      <c r="AB70" s="33"/>
      <c r="AC70" s="39"/>
    </row>
    <row r="71" spans="1:29" s="11" customFormat="1" ht="15" customHeight="1" x14ac:dyDescent="0.25">
      <c r="A71" s="40"/>
      <c r="B71" s="31"/>
      <c r="C71" s="44"/>
      <c r="D71" s="44">
        <v>62</v>
      </c>
      <c r="E71" s="45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6" t="str">
        <f t="shared" si="0"/>
        <v>Очікую</v>
      </c>
      <c r="AA71" s="46" t="str">
        <f t="shared" si="1"/>
        <v>Очікую</v>
      </c>
      <c r="AB71" s="33"/>
      <c r="AC71" s="39"/>
    </row>
    <row r="72" spans="1:29" s="11" customFormat="1" ht="15" customHeight="1" x14ac:dyDescent="0.25">
      <c r="A72" s="40"/>
      <c r="B72" s="31"/>
      <c r="C72" s="44"/>
      <c r="D72" s="44">
        <v>63</v>
      </c>
      <c r="E72" s="45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6" t="str">
        <f t="shared" si="0"/>
        <v>Очікую</v>
      </c>
      <c r="AA72" s="46" t="str">
        <f t="shared" si="1"/>
        <v>Очікую</v>
      </c>
      <c r="AB72" s="33"/>
      <c r="AC72" s="39"/>
    </row>
    <row r="73" spans="1:29" s="11" customFormat="1" ht="15" customHeight="1" x14ac:dyDescent="0.25">
      <c r="A73" s="40"/>
      <c r="B73" s="31"/>
      <c r="C73" s="44"/>
      <c r="D73" s="44">
        <v>64</v>
      </c>
      <c r="E73" s="45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6" t="str">
        <f t="shared" si="0"/>
        <v>Очікую</v>
      </c>
      <c r="AA73" s="46" t="str">
        <f t="shared" si="1"/>
        <v>Очікую</v>
      </c>
      <c r="AB73" s="33"/>
      <c r="AC73" s="39"/>
    </row>
    <row r="74" spans="1:29" s="11" customFormat="1" ht="15" customHeight="1" x14ac:dyDescent="0.25">
      <c r="A74" s="40"/>
      <c r="B74" s="31"/>
      <c r="C74" s="44"/>
      <c r="D74" s="44">
        <v>65</v>
      </c>
      <c r="E74" s="45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6" t="str">
        <f t="shared" si="0"/>
        <v>Очікую</v>
      </c>
      <c r="AA74" s="46" t="str">
        <f t="shared" si="1"/>
        <v>Очікую</v>
      </c>
      <c r="AB74" s="33"/>
      <c r="AC74" s="39"/>
    </row>
    <row r="75" spans="1:29" s="11" customFormat="1" ht="15" customHeight="1" x14ac:dyDescent="0.25">
      <c r="A75" s="40"/>
      <c r="B75" s="31"/>
      <c r="C75" s="44"/>
      <c r="D75" s="44">
        <v>66</v>
      </c>
      <c r="E75" s="45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6" t="str">
        <f t="shared" ref="Z75:Z109" si="2">IF(COUNTIF(F75:Y75,"=*")&gt;0,IF($C75="К","-"," - "),IF(COUNTIF(F75:Y75,"&lt;4")&gt;0,IF(C75="К","-"," - "),(IFERROR(AVERAGE(F75:Y75),"Очікую"))))</f>
        <v>Очікую</v>
      </c>
      <c r="AA75" s="46" t="str">
        <f t="shared" ref="AA75:AA109" si="3">IFERROR(Z75/12*90,"Очікую")</f>
        <v>Очікую</v>
      </c>
      <c r="AB75" s="33"/>
      <c r="AC75" s="39"/>
    </row>
    <row r="76" spans="1:29" s="11" customFormat="1" ht="15" customHeight="1" x14ac:dyDescent="0.25">
      <c r="A76" s="40"/>
      <c r="B76" s="31"/>
      <c r="C76" s="44"/>
      <c r="D76" s="44">
        <v>67</v>
      </c>
      <c r="E76" s="45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6" t="str">
        <f t="shared" si="2"/>
        <v>Очікую</v>
      </c>
      <c r="AA76" s="46" t="str">
        <f t="shared" si="3"/>
        <v>Очікую</v>
      </c>
      <c r="AB76" s="33"/>
      <c r="AC76" s="39"/>
    </row>
    <row r="77" spans="1:29" s="11" customFormat="1" ht="15" customHeight="1" x14ac:dyDescent="0.25">
      <c r="A77" s="40"/>
      <c r="B77" s="31"/>
      <c r="C77" s="44"/>
      <c r="D77" s="44">
        <v>68</v>
      </c>
      <c r="E77" s="45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6" t="str">
        <f t="shared" si="2"/>
        <v>Очікую</v>
      </c>
      <c r="AA77" s="46" t="str">
        <f t="shared" si="3"/>
        <v>Очікую</v>
      </c>
      <c r="AB77" s="33"/>
      <c r="AC77" s="39"/>
    </row>
    <row r="78" spans="1:29" s="11" customFormat="1" ht="15" customHeight="1" x14ac:dyDescent="0.25">
      <c r="A78" s="40"/>
      <c r="B78" s="31"/>
      <c r="C78" s="44"/>
      <c r="D78" s="44">
        <v>69</v>
      </c>
      <c r="E78" s="45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6" t="str">
        <f t="shared" si="2"/>
        <v>Очікую</v>
      </c>
      <c r="AA78" s="46" t="str">
        <f t="shared" si="3"/>
        <v>Очікую</v>
      </c>
      <c r="AB78" s="33"/>
      <c r="AC78" s="39"/>
    </row>
    <row r="79" spans="1:29" s="11" customFormat="1" ht="15" customHeight="1" x14ac:dyDescent="0.25">
      <c r="A79" s="40"/>
      <c r="B79" s="31"/>
      <c r="C79" s="44"/>
      <c r="D79" s="44">
        <v>70</v>
      </c>
      <c r="E79" s="4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6" t="str">
        <f t="shared" si="2"/>
        <v>Очікую</v>
      </c>
      <c r="AA79" s="46" t="str">
        <f t="shared" si="3"/>
        <v>Очікую</v>
      </c>
      <c r="AB79" s="33"/>
      <c r="AC79" s="39"/>
    </row>
    <row r="80" spans="1:29" s="11" customFormat="1" ht="15" customHeight="1" x14ac:dyDescent="0.25">
      <c r="A80" s="40"/>
      <c r="B80" s="31"/>
      <c r="C80" s="44"/>
      <c r="D80" s="44">
        <v>71</v>
      </c>
      <c r="E80" s="45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6" t="str">
        <f t="shared" si="2"/>
        <v>Очікую</v>
      </c>
      <c r="AA80" s="46" t="str">
        <f t="shared" si="3"/>
        <v>Очікую</v>
      </c>
      <c r="AB80" s="33"/>
      <c r="AC80" s="39"/>
    </row>
    <row r="81" spans="1:29" s="11" customFormat="1" ht="15" customHeight="1" x14ac:dyDescent="0.25">
      <c r="A81" s="40"/>
      <c r="B81" s="31"/>
      <c r="C81" s="44"/>
      <c r="D81" s="44">
        <v>72</v>
      </c>
      <c r="E81" s="45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6" t="str">
        <f t="shared" si="2"/>
        <v>Очікую</v>
      </c>
      <c r="AA81" s="46" t="str">
        <f t="shared" si="3"/>
        <v>Очікую</v>
      </c>
      <c r="AB81" s="33"/>
      <c r="AC81" s="39"/>
    </row>
    <row r="82" spans="1:29" s="11" customFormat="1" ht="15" customHeight="1" x14ac:dyDescent="0.25">
      <c r="A82" s="40"/>
      <c r="B82" s="31"/>
      <c r="C82" s="44"/>
      <c r="D82" s="44">
        <v>73</v>
      </c>
      <c r="E82" s="4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6" t="str">
        <f t="shared" si="2"/>
        <v>Очікую</v>
      </c>
      <c r="AA82" s="46" t="str">
        <f t="shared" si="3"/>
        <v>Очікую</v>
      </c>
      <c r="AB82" s="33"/>
      <c r="AC82" s="39"/>
    </row>
    <row r="83" spans="1:29" s="11" customFormat="1" ht="15" customHeight="1" x14ac:dyDescent="0.25">
      <c r="A83" s="40"/>
      <c r="B83" s="31"/>
      <c r="C83" s="44"/>
      <c r="D83" s="44">
        <v>74</v>
      </c>
      <c r="E83" s="45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6" t="str">
        <f t="shared" si="2"/>
        <v>Очікую</v>
      </c>
      <c r="AA83" s="46" t="str">
        <f t="shared" si="3"/>
        <v>Очікую</v>
      </c>
      <c r="AB83" s="33"/>
      <c r="AC83" s="39"/>
    </row>
    <row r="84" spans="1:29" s="11" customFormat="1" ht="15" customHeight="1" x14ac:dyDescent="0.25">
      <c r="A84" s="40"/>
      <c r="B84" s="31"/>
      <c r="C84" s="44"/>
      <c r="D84" s="44">
        <v>75</v>
      </c>
      <c r="E84" s="45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6" t="str">
        <f t="shared" si="2"/>
        <v>Очікую</v>
      </c>
      <c r="AA84" s="46" t="str">
        <f t="shared" si="3"/>
        <v>Очікую</v>
      </c>
      <c r="AB84" s="33"/>
      <c r="AC84" s="39"/>
    </row>
    <row r="85" spans="1:29" s="11" customFormat="1" ht="15" customHeight="1" x14ac:dyDescent="0.25">
      <c r="A85" s="40"/>
      <c r="B85" s="31"/>
      <c r="C85" s="44"/>
      <c r="D85" s="44">
        <v>76</v>
      </c>
      <c r="E85" s="45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6" t="str">
        <f t="shared" si="2"/>
        <v>Очікую</v>
      </c>
      <c r="AA85" s="46" t="str">
        <f t="shared" si="3"/>
        <v>Очікую</v>
      </c>
      <c r="AB85" s="33"/>
      <c r="AC85" s="39"/>
    </row>
    <row r="86" spans="1:29" s="11" customFormat="1" ht="15" customHeight="1" x14ac:dyDescent="0.25">
      <c r="A86" s="40"/>
      <c r="B86" s="31"/>
      <c r="C86" s="44"/>
      <c r="D86" s="44">
        <v>77</v>
      </c>
      <c r="E86" s="45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6" t="str">
        <f t="shared" si="2"/>
        <v>Очікую</v>
      </c>
      <c r="AA86" s="46" t="str">
        <f t="shared" si="3"/>
        <v>Очікую</v>
      </c>
      <c r="AB86" s="33"/>
      <c r="AC86" s="39"/>
    </row>
    <row r="87" spans="1:29" s="11" customFormat="1" ht="15" customHeight="1" x14ac:dyDescent="0.25">
      <c r="A87" s="40"/>
      <c r="B87" s="31"/>
      <c r="C87" s="44"/>
      <c r="D87" s="44">
        <v>78</v>
      </c>
      <c r="E87" s="45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6" t="str">
        <f t="shared" si="2"/>
        <v>Очікую</v>
      </c>
      <c r="AA87" s="46" t="str">
        <f t="shared" si="3"/>
        <v>Очікую</v>
      </c>
      <c r="AB87" s="33"/>
      <c r="AC87" s="39"/>
    </row>
    <row r="88" spans="1:29" s="11" customFormat="1" ht="15" customHeight="1" x14ac:dyDescent="0.25">
      <c r="A88" s="40"/>
      <c r="B88" s="31"/>
      <c r="C88" s="44"/>
      <c r="D88" s="44">
        <v>79</v>
      </c>
      <c r="E88" s="4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6" t="str">
        <f t="shared" si="2"/>
        <v>Очікую</v>
      </c>
      <c r="AA88" s="46" t="str">
        <f t="shared" si="3"/>
        <v>Очікую</v>
      </c>
      <c r="AB88" s="33"/>
      <c r="AC88" s="39"/>
    </row>
    <row r="89" spans="1:29" s="11" customFormat="1" ht="15" customHeight="1" x14ac:dyDescent="0.25">
      <c r="A89" s="40"/>
      <c r="B89" s="31"/>
      <c r="C89" s="44"/>
      <c r="D89" s="44">
        <v>80</v>
      </c>
      <c r="E89" s="45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6" t="str">
        <f t="shared" si="2"/>
        <v>Очікую</v>
      </c>
      <c r="AA89" s="46" t="str">
        <f t="shared" si="3"/>
        <v>Очікую</v>
      </c>
      <c r="AB89" s="33"/>
      <c r="AC89" s="39"/>
    </row>
    <row r="90" spans="1:29" s="11" customFormat="1" ht="15" customHeight="1" x14ac:dyDescent="0.25">
      <c r="A90" s="40"/>
      <c r="B90" s="31"/>
      <c r="C90" s="44"/>
      <c r="D90" s="44">
        <v>81</v>
      </c>
      <c r="E90" s="45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6" t="str">
        <f t="shared" si="2"/>
        <v>Очікую</v>
      </c>
      <c r="AA90" s="46" t="str">
        <f t="shared" si="3"/>
        <v>Очікую</v>
      </c>
      <c r="AB90" s="33"/>
      <c r="AC90" s="39"/>
    </row>
    <row r="91" spans="1:29" s="11" customFormat="1" ht="15" customHeight="1" x14ac:dyDescent="0.25">
      <c r="A91" s="40"/>
      <c r="B91" s="31"/>
      <c r="C91" s="44"/>
      <c r="D91" s="44">
        <v>82</v>
      </c>
      <c r="E91" s="4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6" t="str">
        <f t="shared" si="2"/>
        <v>Очікую</v>
      </c>
      <c r="AA91" s="46" t="str">
        <f t="shared" si="3"/>
        <v>Очікую</v>
      </c>
      <c r="AB91" s="33"/>
      <c r="AC91" s="39"/>
    </row>
    <row r="92" spans="1:29" s="11" customFormat="1" ht="15" customHeight="1" x14ac:dyDescent="0.25">
      <c r="A92" s="40"/>
      <c r="B92" s="31"/>
      <c r="C92" s="44"/>
      <c r="D92" s="44">
        <v>83</v>
      </c>
      <c r="E92" s="45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6" t="str">
        <f t="shared" si="2"/>
        <v>Очікую</v>
      </c>
      <c r="AA92" s="46" t="str">
        <f t="shared" si="3"/>
        <v>Очікую</v>
      </c>
      <c r="AB92" s="33"/>
      <c r="AC92" s="39"/>
    </row>
    <row r="93" spans="1:29" s="11" customFormat="1" ht="15" customHeight="1" x14ac:dyDescent="0.25">
      <c r="A93" s="40"/>
      <c r="B93" s="31"/>
      <c r="C93" s="44"/>
      <c r="D93" s="44">
        <v>84</v>
      </c>
      <c r="E93" s="45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6" t="str">
        <f t="shared" si="2"/>
        <v>Очікую</v>
      </c>
      <c r="AA93" s="46" t="str">
        <f t="shared" si="3"/>
        <v>Очікую</v>
      </c>
      <c r="AB93" s="33"/>
      <c r="AC93" s="39"/>
    </row>
    <row r="94" spans="1:29" s="11" customFormat="1" ht="15" customHeight="1" x14ac:dyDescent="0.25">
      <c r="A94" s="40"/>
      <c r="B94" s="31"/>
      <c r="C94" s="44"/>
      <c r="D94" s="44">
        <v>85</v>
      </c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6" t="str">
        <f t="shared" si="2"/>
        <v>Очікую</v>
      </c>
      <c r="AA94" s="46" t="str">
        <f t="shared" si="3"/>
        <v>Очікую</v>
      </c>
      <c r="AB94" s="33"/>
      <c r="AC94" s="39"/>
    </row>
    <row r="95" spans="1:29" s="11" customFormat="1" ht="15" customHeight="1" x14ac:dyDescent="0.25">
      <c r="A95" s="40"/>
      <c r="B95" s="31"/>
      <c r="C95" s="44"/>
      <c r="D95" s="44">
        <v>86</v>
      </c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6" t="str">
        <f t="shared" si="2"/>
        <v>Очікую</v>
      </c>
      <c r="AA95" s="46" t="str">
        <f t="shared" si="3"/>
        <v>Очікую</v>
      </c>
      <c r="AB95" s="33"/>
      <c r="AC95" s="39"/>
    </row>
    <row r="96" spans="1:29" s="11" customFormat="1" ht="15" customHeight="1" x14ac:dyDescent="0.25">
      <c r="A96" s="40"/>
      <c r="B96" s="31"/>
      <c r="C96" s="44"/>
      <c r="D96" s="44">
        <v>87</v>
      </c>
      <c r="E96" s="45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6" t="str">
        <f t="shared" si="2"/>
        <v>Очікую</v>
      </c>
      <c r="AA96" s="46" t="str">
        <f t="shared" si="3"/>
        <v>Очікую</v>
      </c>
      <c r="AB96" s="33"/>
      <c r="AC96" s="39"/>
    </row>
    <row r="97" spans="1:29" s="11" customFormat="1" ht="15" customHeight="1" x14ac:dyDescent="0.25">
      <c r="A97" s="40"/>
      <c r="B97" s="31"/>
      <c r="C97" s="44"/>
      <c r="D97" s="44">
        <v>88</v>
      </c>
      <c r="E97" s="45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6" t="str">
        <f t="shared" si="2"/>
        <v>Очікую</v>
      </c>
      <c r="AA97" s="46" t="str">
        <f t="shared" si="3"/>
        <v>Очікую</v>
      </c>
      <c r="AB97" s="33"/>
      <c r="AC97" s="39"/>
    </row>
    <row r="98" spans="1:29" s="11" customFormat="1" ht="15" customHeight="1" x14ac:dyDescent="0.25">
      <c r="A98" s="40"/>
      <c r="B98" s="31"/>
      <c r="C98" s="44"/>
      <c r="D98" s="44">
        <v>89</v>
      </c>
      <c r="E98" s="45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6" t="str">
        <f t="shared" si="2"/>
        <v>Очікую</v>
      </c>
      <c r="AA98" s="46" t="str">
        <f t="shared" si="3"/>
        <v>Очікую</v>
      </c>
      <c r="AB98" s="33"/>
      <c r="AC98" s="39"/>
    </row>
    <row r="99" spans="1:29" s="11" customFormat="1" ht="15" customHeight="1" x14ac:dyDescent="0.25">
      <c r="A99" s="40"/>
      <c r="B99" s="31"/>
      <c r="C99" s="44"/>
      <c r="D99" s="44">
        <v>90</v>
      </c>
      <c r="E99" s="45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6" t="str">
        <f t="shared" si="2"/>
        <v>Очікую</v>
      </c>
      <c r="AA99" s="46" t="str">
        <f t="shared" si="3"/>
        <v>Очікую</v>
      </c>
      <c r="AB99" s="33"/>
      <c r="AC99" s="39"/>
    </row>
    <row r="100" spans="1:29" s="11" customFormat="1" ht="15" customHeight="1" x14ac:dyDescent="0.25">
      <c r="A100" s="40"/>
      <c r="B100" s="31"/>
      <c r="C100" s="44"/>
      <c r="D100" s="44">
        <v>91</v>
      </c>
      <c r="E100" s="45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6" t="str">
        <f t="shared" si="2"/>
        <v>Очікую</v>
      </c>
      <c r="AA100" s="46" t="str">
        <f t="shared" si="3"/>
        <v>Очікую</v>
      </c>
      <c r="AB100" s="33"/>
      <c r="AC100" s="39"/>
    </row>
    <row r="101" spans="1:29" s="11" customFormat="1" ht="15" customHeight="1" x14ac:dyDescent="0.25">
      <c r="A101" s="40"/>
      <c r="B101" s="31"/>
      <c r="C101" s="44"/>
      <c r="D101" s="44">
        <v>92</v>
      </c>
      <c r="E101" s="45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6" t="str">
        <f t="shared" si="2"/>
        <v>Очікую</v>
      </c>
      <c r="AA101" s="46" t="str">
        <f t="shared" si="3"/>
        <v>Очікую</v>
      </c>
      <c r="AB101" s="33"/>
      <c r="AC101" s="39"/>
    </row>
    <row r="102" spans="1:29" s="11" customFormat="1" ht="15" customHeight="1" x14ac:dyDescent="0.25">
      <c r="A102" s="40"/>
      <c r="B102" s="31"/>
      <c r="C102" s="44"/>
      <c r="D102" s="44">
        <v>93</v>
      </c>
      <c r="E102" s="45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6" t="str">
        <f t="shared" si="2"/>
        <v>Очікую</v>
      </c>
      <c r="AA102" s="46" t="str">
        <f t="shared" si="3"/>
        <v>Очікую</v>
      </c>
      <c r="AB102" s="33"/>
      <c r="AC102" s="39"/>
    </row>
    <row r="103" spans="1:29" s="11" customFormat="1" ht="15" customHeight="1" x14ac:dyDescent="0.25">
      <c r="A103" s="40"/>
      <c r="B103" s="31"/>
      <c r="C103" s="44"/>
      <c r="D103" s="44">
        <v>94</v>
      </c>
      <c r="E103" s="45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6" t="str">
        <f t="shared" si="2"/>
        <v>Очікую</v>
      </c>
      <c r="AA103" s="46" t="str">
        <f t="shared" si="3"/>
        <v>Очікую</v>
      </c>
      <c r="AB103" s="33"/>
      <c r="AC103" s="39"/>
    </row>
    <row r="104" spans="1:29" s="11" customFormat="1" ht="15" customHeight="1" x14ac:dyDescent="0.25">
      <c r="A104" s="40"/>
      <c r="B104" s="31"/>
      <c r="C104" s="44"/>
      <c r="D104" s="44">
        <v>95</v>
      </c>
      <c r="E104" s="45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6" t="str">
        <f t="shared" si="2"/>
        <v>Очікую</v>
      </c>
      <c r="AA104" s="46" t="str">
        <f t="shared" si="3"/>
        <v>Очікую</v>
      </c>
      <c r="AB104" s="33"/>
      <c r="AC104" s="39"/>
    </row>
    <row r="105" spans="1:29" s="11" customFormat="1" ht="15" customHeight="1" x14ac:dyDescent="0.25">
      <c r="A105" s="40"/>
      <c r="B105" s="31"/>
      <c r="C105" s="44"/>
      <c r="D105" s="44">
        <v>96</v>
      </c>
      <c r="E105" s="4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6" t="str">
        <f t="shared" si="2"/>
        <v>Очікую</v>
      </c>
      <c r="AA105" s="46" t="str">
        <f t="shared" si="3"/>
        <v>Очікую</v>
      </c>
      <c r="AB105" s="33"/>
      <c r="AC105" s="39"/>
    </row>
    <row r="106" spans="1:29" s="11" customFormat="1" ht="15" customHeight="1" x14ac:dyDescent="0.25">
      <c r="A106" s="40"/>
      <c r="B106" s="31"/>
      <c r="C106" s="44"/>
      <c r="D106" s="44">
        <v>97</v>
      </c>
      <c r="E106" s="45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6" t="str">
        <f t="shared" si="2"/>
        <v>Очікую</v>
      </c>
      <c r="AA106" s="46" t="str">
        <f t="shared" si="3"/>
        <v>Очікую</v>
      </c>
      <c r="AB106" s="33"/>
      <c r="AC106" s="39"/>
    </row>
    <row r="107" spans="1:29" s="11" customFormat="1" ht="15" customHeight="1" x14ac:dyDescent="0.25">
      <c r="A107" s="40"/>
      <c r="B107" s="31"/>
      <c r="C107" s="44"/>
      <c r="D107" s="44">
        <v>98</v>
      </c>
      <c r="E107" s="45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6" t="str">
        <f t="shared" si="2"/>
        <v>Очікую</v>
      </c>
      <c r="AA107" s="46" t="str">
        <f t="shared" si="3"/>
        <v>Очікую</v>
      </c>
      <c r="AB107" s="33"/>
      <c r="AC107" s="39"/>
    </row>
    <row r="108" spans="1:29" s="11" customFormat="1" ht="15" customHeight="1" x14ac:dyDescent="0.25">
      <c r="A108" s="40"/>
      <c r="B108" s="31"/>
      <c r="C108" s="44"/>
      <c r="D108" s="44">
        <v>99</v>
      </c>
      <c r="E108" s="4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6" t="str">
        <f t="shared" si="2"/>
        <v>Очікую</v>
      </c>
      <c r="AA108" s="46" t="str">
        <f t="shared" si="3"/>
        <v>Очікую</v>
      </c>
      <c r="AB108" s="33"/>
      <c r="AC108" s="39"/>
    </row>
    <row r="109" spans="1:29" s="11" customFormat="1" ht="15" customHeight="1" x14ac:dyDescent="0.25">
      <c r="A109" s="40"/>
      <c r="B109" s="31"/>
      <c r="C109" s="44"/>
      <c r="D109" s="44">
        <v>100</v>
      </c>
      <c r="E109" s="45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6" t="str">
        <f t="shared" si="2"/>
        <v>Очікую</v>
      </c>
      <c r="AA109" s="46" t="str">
        <f t="shared" si="3"/>
        <v>Очікую</v>
      </c>
      <c r="AB109" s="33"/>
      <c r="AC109" s="39"/>
    </row>
    <row r="110" spans="1:29" ht="15" customHeight="1" x14ac:dyDescent="0.25">
      <c r="A110" s="40"/>
      <c r="B110" s="31"/>
      <c r="C110" s="24"/>
      <c r="D110" s="24"/>
      <c r="E110" s="25" t="s">
        <v>9</v>
      </c>
      <c r="F110" s="5" t="str">
        <f>ЛЗ9!F115</f>
        <v>Очікую</v>
      </c>
      <c r="G110" s="6"/>
      <c r="H110" s="6"/>
      <c r="I110" s="6"/>
      <c r="J110" s="6"/>
      <c r="K110" s="6"/>
      <c r="L110" s="24"/>
      <c r="M110" s="26"/>
      <c r="N110" s="24"/>
      <c r="O110" s="24"/>
      <c r="P110" s="24"/>
      <c r="Q110" s="24"/>
      <c r="R110" s="24"/>
      <c r="S110" s="24"/>
      <c r="T110" s="24"/>
      <c r="U110" s="27"/>
      <c r="V110" s="26"/>
      <c r="W110" s="24"/>
      <c r="X110" s="24"/>
      <c r="Y110" s="24"/>
      <c r="Z110" s="24"/>
      <c r="AA110" s="24"/>
      <c r="AB110" s="32"/>
      <c r="AC110" s="39"/>
    </row>
    <row r="111" spans="1:29" ht="15" customHeight="1" x14ac:dyDescent="0.25">
      <c r="A111" s="40"/>
      <c r="B111" s="31"/>
      <c r="C111" s="24"/>
      <c r="D111" s="24"/>
      <c r="E111" s="25" t="s">
        <v>10</v>
      </c>
      <c r="F111" s="5" t="str">
        <f>ЛЗ9!F116</f>
        <v>Очікую</v>
      </c>
      <c r="G111" s="6"/>
      <c r="H111" s="55" t="s">
        <v>11</v>
      </c>
      <c r="I111" s="6"/>
      <c r="J111" s="6"/>
      <c r="K111" s="6"/>
      <c r="L111" s="24"/>
      <c r="M111" s="26"/>
      <c r="N111" s="55"/>
      <c r="O111" s="55"/>
      <c r="P111" s="55"/>
      <c r="Q111" s="55"/>
      <c r="R111" s="6"/>
      <c r="S111" s="6"/>
      <c r="T111" s="6"/>
      <c r="U111" s="56"/>
      <c r="V111" s="56"/>
      <c r="W111" s="56"/>
      <c r="X111" s="56"/>
      <c r="Y111" s="56"/>
      <c r="Z111" s="56"/>
      <c r="AA111" s="24"/>
      <c r="AB111" s="32"/>
      <c r="AC111" s="39"/>
    </row>
    <row r="112" spans="1:29" ht="15" customHeight="1" x14ac:dyDescent="0.25">
      <c r="A112" s="40"/>
      <c r="B112" s="31"/>
      <c r="C112" s="24"/>
      <c r="D112" s="24"/>
      <c r="E112" s="25" t="s">
        <v>12</v>
      </c>
      <c r="F112" s="5">
        <f>ЛЗ9!F117</f>
        <v>0</v>
      </c>
      <c r="G112" s="6"/>
      <c r="H112" s="10"/>
      <c r="I112" s="6"/>
      <c r="J112" s="6"/>
      <c r="K112" s="6"/>
      <c r="L112" s="24"/>
      <c r="M112" s="26"/>
      <c r="N112" s="6"/>
      <c r="O112" s="6"/>
      <c r="P112" s="6"/>
      <c r="Q112" s="6"/>
      <c r="R112" s="6"/>
      <c r="S112" s="6"/>
      <c r="T112" s="6"/>
      <c r="U112" s="10"/>
      <c r="V112" s="10"/>
      <c r="W112" s="6"/>
      <c r="X112" s="6"/>
      <c r="Y112" s="6"/>
      <c r="Z112" s="6"/>
      <c r="AA112" s="24"/>
      <c r="AB112" s="32"/>
      <c r="AC112" s="39"/>
    </row>
    <row r="113" spans="1:29" ht="15" customHeight="1" x14ac:dyDescent="0.25">
      <c r="A113" s="40"/>
      <c r="B113" s="31"/>
      <c r="C113" s="24"/>
      <c r="D113" s="24"/>
      <c r="E113" s="25" t="s">
        <v>13</v>
      </c>
      <c r="F113" s="5" t="str">
        <f>ЛЗ9!F118</f>
        <v>Очікую</v>
      </c>
      <c r="G113" s="6"/>
      <c r="H113" s="56" t="s">
        <v>14</v>
      </c>
      <c r="I113" s="6"/>
      <c r="J113" s="6"/>
      <c r="K113" s="6"/>
      <c r="L113" s="24"/>
      <c r="M113" s="26"/>
      <c r="N113" s="56"/>
      <c r="O113" s="56"/>
      <c r="P113" s="56"/>
      <c r="Q113" s="56"/>
      <c r="R113" s="6"/>
      <c r="S113" s="6"/>
      <c r="T113" s="6"/>
      <c r="U113" s="56"/>
      <c r="V113" s="56"/>
      <c r="W113" s="56"/>
      <c r="X113" s="56"/>
      <c r="Y113" s="56"/>
      <c r="Z113" s="56"/>
      <c r="AA113" s="24"/>
      <c r="AB113" s="32"/>
      <c r="AC113" s="39"/>
    </row>
    <row r="114" spans="1:29" ht="12" customHeight="1" thickBot="1" x14ac:dyDescent="0.3">
      <c r="A114" s="40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6"/>
      <c r="AC114" s="39"/>
    </row>
    <row r="115" spans="1:29" ht="12" customHeight="1" x14ac:dyDescent="0.25">
      <c r="A115" s="3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39"/>
    </row>
    <row r="116" spans="1:29" ht="0" hidden="1" customHeight="1" x14ac:dyDescent="0.25">
      <c r="A116" s="41"/>
      <c r="AC116" s="41"/>
    </row>
    <row r="117" spans="1:29" ht="0" hidden="1" customHeight="1" x14ac:dyDescent="0.25">
      <c r="A117" s="41"/>
      <c r="AC117" s="41"/>
    </row>
    <row r="118" spans="1:29" ht="0" hidden="1" customHeight="1" x14ac:dyDescent="0.25">
      <c r="A118" s="41"/>
      <c r="AC118" s="41"/>
    </row>
    <row r="119" spans="1:29" ht="0" hidden="1" customHeight="1" x14ac:dyDescent="0.25">
      <c r="A119" s="41"/>
      <c r="AC119" s="41"/>
    </row>
    <row r="120" spans="1:29" ht="0" hidden="1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</sheetData>
  <sheetProtection insertRows="0" deleteRows="0"/>
  <mergeCells count="11">
    <mergeCell ref="C3:AA3"/>
    <mergeCell ref="C4:AA4"/>
    <mergeCell ref="C5:AA5"/>
    <mergeCell ref="C6:AA6"/>
    <mergeCell ref="C7:AA7"/>
    <mergeCell ref="C8:C9"/>
    <mergeCell ref="D8:D9"/>
    <mergeCell ref="E8:E9"/>
    <mergeCell ref="F8:Y8"/>
    <mergeCell ref="AA8:AA9"/>
    <mergeCell ref="Z8:Z9"/>
  </mergeCells>
  <printOptions horizontalCentered="1"/>
  <pageMargins left="0.19685039370078741" right="0.19685039370078741" top="0.19685039370078741" bottom="0.19685039370078741" header="0" footer="0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Л_Загальна</vt:lpstr>
      <vt:lpstr>ЛЗ1</vt:lpstr>
      <vt:lpstr>ЛЗ2</vt:lpstr>
      <vt:lpstr>ЛЗ3</vt:lpstr>
      <vt:lpstr>ЛЗ4</vt:lpstr>
      <vt:lpstr>ЛЗ5</vt:lpstr>
      <vt:lpstr>ЛЗ6</vt:lpstr>
      <vt:lpstr>ЛЗ7</vt:lpstr>
      <vt:lpstr>ЛЗ8</vt:lpstr>
      <vt:lpstr>ЛЗ9</vt:lpstr>
      <vt:lpstr>ЛР1</vt:lpstr>
      <vt:lpstr>ЛР2</vt:lpstr>
      <vt:lpstr>ЛР3</vt:lpstr>
      <vt:lpstr>ЛР4</vt:lpstr>
      <vt:lpstr>ЛР5</vt:lpstr>
      <vt:lpstr>ЛР6</vt:lpstr>
      <vt:lpstr>ЛР7</vt:lpstr>
      <vt:lpstr>ЛР8</vt:lpstr>
      <vt:lpstr>ЛР9</vt:lpstr>
      <vt:lpstr>Л_Загальна!Область_печати</vt:lpstr>
      <vt:lpstr>ЛЗ1!Область_печати</vt:lpstr>
      <vt:lpstr>ЛЗ2!Область_печати</vt:lpstr>
      <vt:lpstr>ЛЗ3!Область_печати</vt:lpstr>
      <vt:lpstr>ЛЗ4!Область_печати</vt:lpstr>
      <vt:lpstr>ЛЗ5!Область_печати</vt:lpstr>
      <vt:lpstr>ЛЗ6!Область_печати</vt:lpstr>
      <vt:lpstr>ЛЗ7!Область_печати</vt:lpstr>
      <vt:lpstr>ЛЗ8!Область_печати</vt:lpstr>
      <vt:lpstr>ЛЗ9!Область_печати</vt:lpstr>
      <vt:lpstr>ЛР1!Область_печати</vt:lpstr>
      <vt:lpstr>ЛР2!Область_печати</vt:lpstr>
      <vt:lpstr>ЛР3!Область_печати</vt:lpstr>
      <vt:lpstr>ЛР4!Область_печати</vt:lpstr>
      <vt:lpstr>ЛР5!Область_печати</vt:lpstr>
      <vt:lpstr>ЛР6!Область_печати</vt:lpstr>
      <vt:lpstr>ЛР7!Область_печати</vt:lpstr>
      <vt:lpstr>ЛР8!Область_печати</vt:lpstr>
      <vt:lpstr>ЛР9!Область_печати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Maxim Surkov</cp:lastModifiedBy>
  <cp:lastPrinted>2026-01-07T15:30:50Z</cp:lastPrinted>
  <dcterms:created xsi:type="dcterms:W3CDTF">2006-09-28T05:33:49Z</dcterms:created>
  <dcterms:modified xsi:type="dcterms:W3CDTF">2026-05-03T12:05:39Z</dcterms:modified>
  <cp:category/>
  <cp:contentStatus/>
</cp:coreProperties>
</file>