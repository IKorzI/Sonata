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ЭтаКнига"/>
  <mc:AlternateContent xmlns:mc="http://schemas.openxmlformats.org/markup-compatibility/2006">
    <mc:Choice Requires="x15">
      <x15ac:absPath xmlns:x15ac="http://schemas.microsoft.com/office/spreadsheetml/2010/11/ac" url="D:\Мои файлы\JavaScript\Sonata\public\examples\work\"/>
    </mc:Choice>
  </mc:AlternateContent>
  <xr:revisionPtr revIDLastSave="0" documentId="13_ncr:1_{F1763220-FCFF-4114-B139-DF2746E2EF8E}" xr6:coauthVersionLast="47" xr6:coauthVersionMax="47" xr10:uidLastSave="{00000000-0000-0000-0000-000000000000}"/>
  <bookViews>
    <workbookView xWindow="-120" yWindow="-120" windowWidth="38640" windowHeight="21120" tabRatio="656" xr2:uid="{00000000-000D-0000-FFFF-FFFF00000000}"/>
  </bookViews>
  <sheets>
    <sheet name="Приклад" sheetId="68" r:id="rId1"/>
    <sheet name="З0" sheetId="69" r:id="rId2"/>
    <sheet name="З1" sheetId="38" r:id="rId3"/>
    <sheet name="З2" sheetId="50" r:id="rId4"/>
    <sheet name="З3" sheetId="51" r:id="rId5"/>
    <sheet name="З4" sheetId="52" r:id="rId6"/>
    <sheet name="З5" sheetId="53" r:id="rId7"/>
    <sheet name="З6" sheetId="54" r:id="rId8"/>
    <sheet name="З7" sheetId="56" r:id="rId9"/>
    <sheet name="З8" sheetId="55" r:id="rId10"/>
    <sheet name="З9" sheetId="57" r:id="rId11"/>
    <sheet name="Р1" sheetId="59" r:id="rId12"/>
    <sheet name="Р2" sheetId="60" r:id="rId13"/>
    <sheet name="Р3" sheetId="61" r:id="rId14"/>
    <sheet name="Р4" sheetId="62" r:id="rId15"/>
    <sheet name="Р5" sheetId="63" r:id="rId16"/>
    <sheet name="Р6" sheetId="64" r:id="rId17"/>
    <sheet name="Р7" sheetId="65" r:id="rId18"/>
    <sheet name="Р8" sheetId="66" r:id="rId19"/>
    <sheet name="Р9" sheetId="67" r:id="rId20"/>
  </sheets>
  <definedNames>
    <definedName name="A1048577" localSheetId="1">#REF!</definedName>
    <definedName name="A1048577" localSheetId="2">#REF!</definedName>
    <definedName name="A1048577" localSheetId="3">#REF!</definedName>
    <definedName name="A1048577" localSheetId="4">#REF!</definedName>
    <definedName name="A1048577" localSheetId="5">#REF!</definedName>
    <definedName name="A1048577" localSheetId="6">#REF!</definedName>
    <definedName name="A1048577" localSheetId="7">#REF!</definedName>
    <definedName name="A1048577" localSheetId="8">#REF!</definedName>
    <definedName name="A1048577" localSheetId="9">#REF!</definedName>
    <definedName name="A1048577" localSheetId="10">#REF!</definedName>
    <definedName name="A1048577" localSheetId="0">#REF!</definedName>
    <definedName name="A1048577" localSheetId="11">#REF!</definedName>
    <definedName name="A1048577" localSheetId="12">#REF!</definedName>
    <definedName name="A1048577" localSheetId="13">#REF!</definedName>
    <definedName name="A1048577" localSheetId="14">#REF!</definedName>
    <definedName name="A1048577" localSheetId="15">#REF!</definedName>
    <definedName name="A1048577" localSheetId="16">#REF!</definedName>
    <definedName name="A1048577" localSheetId="17">#REF!</definedName>
    <definedName name="A1048577" localSheetId="18">#REF!</definedName>
    <definedName name="A1048577" localSheetId="19">#REF!</definedName>
    <definedName name="A1048577">#REF!</definedName>
    <definedName name="_xlnm.Print_Area" localSheetId="1">З0!$C$3:$U$118</definedName>
    <definedName name="_xlnm.Print_Area" localSheetId="2">З1!$C$3:$U$118</definedName>
    <definedName name="_xlnm.Print_Area" localSheetId="3">З2!$C$3:$U$118</definedName>
    <definedName name="_xlnm.Print_Area" localSheetId="4">З3!$C$3:$U$118</definedName>
    <definedName name="_xlnm.Print_Area" localSheetId="5">З4!$C$3:$U$118</definedName>
    <definedName name="_xlnm.Print_Area" localSheetId="6">З5!$C$3:$U$118</definedName>
    <definedName name="_xlnm.Print_Area" localSheetId="7">З6!$C$3:$U$118</definedName>
    <definedName name="_xlnm.Print_Area" localSheetId="8">З7!$C$3:$U$118</definedName>
    <definedName name="_xlnm.Print_Area" localSheetId="9">З8!$C$3:$U$118</definedName>
    <definedName name="_xlnm.Print_Area" localSheetId="10">З9!$C$3:$U$118</definedName>
    <definedName name="_xlnm.Print_Area" localSheetId="0">Приклад!$C$3:$U$36</definedName>
    <definedName name="_xlnm.Print_Area" localSheetId="11">Р1!$C$3:$V$113</definedName>
    <definedName name="_xlnm.Print_Area" localSheetId="12">Р2!$C$3:$V$113</definedName>
    <definedName name="_xlnm.Print_Area" localSheetId="13">Р3!$C$3:$V$113</definedName>
    <definedName name="_xlnm.Print_Area" localSheetId="14">Р4!$C$3:$V$113</definedName>
    <definedName name="_xlnm.Print_Area" localSheetId="15">Р5!$C$3:$V$113</definedName>
    <definedName name="_xlnm.Print_Area" localSheetId="16">Р6!$C$3:$V$113</definedName>
    <definedName name="_xlnm.Print_Area" localSheetId="17">Р7!$C$3:$V$113</definedName>
    <definedName name="_xlnm.Print_Area" localSheetId="18">Р8!$C$3:$V$113</definedName>
    <definedName name="_xlnm.Print_Area" localSheetId="19">Р9!$C$3:$V$113</definedName>
    <definedName name="Ф80" localSheetId="1">#REF!</definedName>
    <definedName name="Ф80" localSheetId="2">#REF!</definedName>
    <definedName name="Ф80" localSheetId="3">#REF!</definedName>
    <definedName name="Ф80" localSheetId="4">#REF!</definedName>
    <definedName name="Ф80" localSheetId="5">#REF!</definedName>
    <definedName name="Ф80" localSheetId="6">#REF!</definedName>
    <definedName name="Ф80" localSheetId="7">#REF!</definedName>
    <definedName name="Ф80" localSheetId="8">#REF!</definedName>
    <definedName name="Ф80" localSheetId="9">#REF!</definedName>
    <definedName name="Ф80" localSheetId="10">#REF!</definedName>
    <definedName name="Ф80" localSheetId="0">#REF!</definedName>
    <definedName name="Ф80" localSheetId="11">#REF!</definedName>
    <definedName name="Ф80" localSheetId="12">#REF!</definedName>
    <definedName name="Ф80" localSheetId="13">#REF!</definedName>
    <definedName name="Ф80" localSheetId="14">#REF!</definedName>
    <definedName name="Ф80" localSheetId="15">#REF!</definedName>
    <definedName name="Ф80" localSheetId="16">#REF!</definedName>
    <definedName name="Ф80" localSheetId="17">#REF!</definedName>
    <definedName name="Ф80" localSheetId="18">#REF!</definedName>
    <definedName name="Ф80" localSheetId="19">#REF!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 roundtripDataSignature="AMtx7mi/vqgVw2WeVD2CSZpRXBIyplAZAg=="/>
    </ext>
  </extLst>
</workbook>
</file>

<file path=xl/calcChain.xml><?xml version="1.0" encoding="utf-8"?>
<calcChain xmlns="http://schemas.openxmlformats.org/spreadsheetml/2006/main">
  <c r="F116" i="69" l="1"/>
  <c r="F115" i="69"/>
  <c r="F118" i="69" s="1"/>
  <c r="T112" i="69"/>
  <c r="S112" i="69"/>
  <c r="R112" i="69"/>
  <c r="Q112" i="69"/>
  <c r="P112" i="69"/>
  <c r="O112" i="69"/>
  <c r="N112" i="69"/>
  <c r="M112" i="69"/>
  <c r="L112" i="69"/>
  <c r="K112" i="69"/>
  <c r="J112" i="69"/>
  <c r="I112" i="69"/>
  <c r="H112" i="69"/>
  <c r="G112" i="69"/>
  <c r="F112" i="69"/>
  <c r="T111" i="69"/>
  <c r="S111" i="69"/>
  <c r="R111" i="69"/>
  <c r="Q111" i="69"/>
  <c r="P111" i="69"/>
  <c r="O111" i="69"/>
  <c r="N111" i="69"/>
  <c r="M111" i="69"/>
  <c r="L111" i="69"/>
  <c r="K111" i="69"/>
  <c r="J111" i="69"/>
  <c r="I111" i="69"/>
  <c r="H111" i="69"/>
  <c r="G111" i="69"/>
  <c r="F111" i="69"/>
  <c r="T110" i="69"/>
  <c r="S110" i="69"/>
  <c r="R110" i="69"/>
  <c r="Q110" i="69"/>
  <c r="P110" i="69"/>
  <c r="O110" i="69"/>
  <c r="N110" i="69"/>
  <c r="M110" i="69"/>
  <c r="L110" i="69"/>
  <c r="K110" i="69"/>
  <c r="J110" i="69"/>
  <c r="I110" i="69"/>
  <c r="H110" i="69"/>
  <c r="G110" i="69"/>
  <c r="F110" i="69"/>
  <c r="U110" i="69" s="1"/>
  <c r="U109" i="69"/>
  <c r="U108" i="69"/>
  <c r="U107" i="69"/>
  <c r="U106" i="69"/>
  <c r="U105" i="69"/>
  <c r="U104" i="69"/>
  <c r="U103" i="69"/>
  <c r="U102" i="69"/>
  <c r="U101" i="69"/>
  <c r="U100" i="69"/>
  <c r="U99" i="69"/>
  <c r="U98" i="69"/>
  <c r="U97" i="69"/>
  <c r="U96" i="69"/>
  <c r="U95" i="69"/>
  <c r="U94" i="69"/>
  <c r="U93" i="69"/>
  <c r="U92" i="69"/>
  <c r="U91" i="69"/>
  <c r="U90" i="69"/>
  <c r="U89" i="69"/>
  <c r="U88" i="69"/>
  <c r="U87" i="69"/>
  <c r="U86" i="69"/>
  <c r="U85" i="69"/>
  <c r="U84" i="69"/>
  <c r="U83" i="69"/>
  <c r="U82" i="69"/>
  <c r="U81" i="69"/>
  <c r="U80" i="69"/>
  <c r="U79" i="69"/>
  <c r="U78" i="69"/>
  <c r="U77" i="69"/>
  <c r="U76" i="69"/>
  <c r="U75" i="69"/>
  <c r="U74" i="69"/>
  <c r="U73" i="69"/>
  <c r="U72" i="69"/>
  <c r="U71" i="69"/>
  <c r="U70" i="69"/>
  <c r="U69" i="69"/>
  <c r="U68" i="69"/>
  <c r="U67" i="69"/>
  <c r="U66" i="69"/>
  <c r="U65" i="69"/>
  <c r="U64" i="69"/>
  <c r="U63" i="69"/>
  <c r="U62" i="69"/>
  <c r="U61" i="69"/>
  <c r="U60" i="69"/>
  <c r="U59" i="69"/>
  <c r="U58" i="69"/>
  <c r="U57" i="69"/>
  <c r="U56" i="69"/>
  <c r="U55" i="69"/>
  <c r="U54" i="69"/>
  <c r="U53" i="69"/>
  <c r="U52" i="69"/>
  <c r="U51" i="69"/>
  <c r="U50" i="69"/>
  <c r="U49" i="69"/>
  <c r="U48" i="69"/>
  <c r="U47" i="69"/>
  <c r="U46" i="69"/>
  <c r="U45" i="69"/>
  <c r="U44" i="69"/>
  <c r="U43" i="69"/>
  <c r="U42" i="69"/>
  <c r="U41" i="69"/>
  <c r="U40" i="69"/>
  <c r="U39" i="69"/>
  <c r="U38" i="69"/>
  <c r="U37" i="69"/>
  <c r="U36" i="69"/>
  <c r="U35" i="69"/>
  <c r="U34" i="69"/>
  <c r="U33" i="69"/>
  <c r="U32" i="69"/>
  <c r="U31" i="69"/>
  <c r="U30" i="69"/>
  <c r="U29" i="69"/>
  <c r="U28" i="69"/>
  <c r="U27" i="69"/>
  <c r="U26" i="69"/>
  <c r="U25" i="69"/>
  <c r="U24" i="69"/>
  <c r="U23" i="69"/>
  <c r="U22" i="69"/>
  <c r="U21" i="69"/>
  <c r="U20" i="69"/>
  <c r="U19" i="69"/>
  <c r="U18" i="69"/>
  <c r="U17" i="69"/>
  <c r="U16" i="69"/>
  <c r="U15" i="69"/>
  <c r="U14" i="69"/>
  <c r="U13" i="69"/>
  <c r="U12" i="69"/>
  <c r="U11" i="69"/>
  <c r="U10" i="69"/>
  <c r="F34" i="68"/>
  <c r="F33" i="68"/>
  <c r="T30" i="68"/>
  <c r="S30" i="68"/>
  <c r="R30" i="68"/>
  <c r="Q30" i="68"/>
  <c r="P30" i="68"/>
  <c r="O30" i="68"/>
  <c r="N30" i="68"/>
  <c r="M30" i="68"/>
  <c r="L30" i="68"/>
  <c r="K30" i="68"/>
  <c r="J30" i="68"/>
  <c r="I30" i="68"/>
  <c r="H30" i="68"/>
  <c r="G30" i="68"/>
  <c r="F30" i="68"/>
  <c r="T29" i="68"/>
  <c r="S29" i="68"/>
  <c r="R29" i="68"/>
  <c r="Q29" i="68"/>
  <c r="P29" i="68"/>
  <c r="O29" i="68"/>
  <c r="N29" i="68"/>
  <c r="M29" i="68"/>
  <c r="L29" i="68"/>
  <c r="K29" i="68"/>
  <c r="J29" i="68"/>
  <c r="I29" i="68"/>
  <c r="H29" i="68"/>
  <c r="G29" i="68"/>
  <c r="F29" i="68"/>
  <c r="T28" i="68"/>
  <c r="S28" i="68"/>
  <c r="R28" i="68"/>
  <c r="Q28" i="68"/>
  <c r="P28" i="68"/>
  <c r="O28" i="68"/>
  <c r="N28" i="68"/>
  <c r="M28" i="68"/>
  <c r="L28" i="68"/>
  <c r="K28" i="68"/>
  <c r="J28" i="68"/>
  <c r="I28" i="68"/>
  <c r="H28" i="68"/>
  <c r="G28" i="68"/>
  <c r="F28" i="68"/>
  <c r="U27" i="68"/>
  <c r="U26" i="68"/>
  <c r="U25" i="68"/>
  <c r="U24" i="68"/>
  <c r="U23" i="68"/>
  <c r="U22" i="68"/>
  <c r="U21" i="68"/>
  <c r="U20" i="68"/>
  <c r="U19" i="68"/>
  <c r="U18" i="68"/>
  <c r="U17" i="68"/>
  <c r="U16" i="68"/>
  <c r="U15" i="68"/>
  <c r="U14" i="68"/>
  <c r="U13" i="68"/>
  <c r="U12" i="68"/>
  <c r="U11" i="68"/>
  <c r="U10" i="68"/>
  <c r="F113" i="69" l="1"/>
  <c r="F114" i="69"/>
  <c r="F31" i="68"/>
  <c r="U28" i="68"/>
  <c r="F36" i="68"/>
  <c r="F32" i="68"/>
  <c r="U38" i="60" l="1"/>
  <c r="V38" i="60" s="1"/>
  <c r="U37" i="60"/>
  <c r="V37" i="60" s="1"/>
  <c r="U36" i="60"/>
  <c r="V36" i="60" s="1"/>
  <c r="U35" i="60"/>
  <c r="V35" i="60" s="1"/>
  <c r="U34" i="60"/>
  <c r="V34" i="60" s="1"/>
  <c r="U33" i="60"/>
  <c r="V33" i="60" s="1"/>
  <c r="U32" i="60"/>
  <c r="V32" i="60" s="1"/>
  <c r="U31" i="60"/>
  <c r="V31" i="60" s="1"/>
  <c r="U30" i="60"/>
  <c r="V30" i="60" s="1"/>
  <c r="U29" i="60"/>
  <c r="V29" i="60" s="1"/>
  <c r="U28" i="60"/>
  <c r="V28" i="60" s="1"/>
  <c r="U27" i="60"/>
  <c r="V27" i="60" s="1"/>
  <c r="U26" i="60"/>
  <c r="V26" i="60" s="1"/>
  <c r="U25" i="60"/>
  <c r="V25" i="60" s="1"/>
  <c r="U24" i="60"/>
  <c r="V24" i="60" s="1"/>
  <c r="U23" i="60"/>
  <c r="V23" i="60" s="1"/>
  <c r="U22" i="60"/>
  <c r="V22" i="60" s="1"/>
  <c r="U21" i="60"/>
  <c r="V21" i="60" s="1"/>
  <c r="U20" i="60"/>
  <c r="V20" i="60" s="1"/>
  <c r="U19" i="60"/>
  <c r="V19" i="60" s="1"/>
  <c r="U18" i="60"/>
  <c r="V18" i="60" s="1"/>
  <c r="U17" i="60"/>
  <c r="V17" i="60" s="1"/>
  <c r="U16" i="60"/>
  <c r="V16" i="60" s="1"/>
  <c r="U15" i="60"/>
  <c r="V15" i="60" s="1"/>
  <c r="U14" i="60"/>
  <c r="V14" i="60" s="1"/>
  <c r="U13" i="60"/>
  <c r="V13" i="60" s="1"/>
  <c r="U12" i="60"/>
  <c r="V12" i="60" s="1"/>
  <c r="U11" i="60"/>
  <c r="V11" i="60" s="1"/>
  <c r="U10" i="60"/>
  <c r="V10" i="60" s="1"/>
  <c r="F112" i="67"/>
  <c r="F112" i="66"/>
  <c r="F112" i="65"/>
  <c r="F112" i="64"/>
  <c r="F112" i="63"/>
  <c r="F112" i="62"/>
  <c r="F112" i="61"/>
  <c r="F112" i="60"/>
  <c r="F112" i="59"/>
  <c r="U39" i="60"/>
  <c r="V39" i="60" s="1"/>
  <c r="U40" i="60"/>
  <c r="V40" i="60" s="1"/>
  <c r="U41" i="60"/>
  <c r="V41" i="60" s="1"/>
  <c r="U42" i="60"/>
  <c r="V42" i="60" s="1"/>
  <c r="U43" i="60"/>
  <c r="V43" i="60" s="1"/>
  <c r="U44" i="60"/>
  <c r="V44" i="60" s="1"/>
  <c r="U45" i="60"/>
  <c r="V45" i="60" s="1"/>
  <c r="U46" i="60"/>
  <c r="V46" i="60" s="1"/>
  <c r="U47" i="60"/>
  <c r="V47" i="60" s="1"/>
  <c r="U48" i="60"/>
  <c r="V48" i="60" s="1"/>
  <c r="U49" i="60"/>
  <c r="V49" i="60" s="1"/>
  <c r="U50" i="60"/>
  <c r="V50" i="60" s="1"/>
  <c r="U51" i="60"/>
  <c r="V51" i="60" s="1"/>
  <c r="U52" i="60"/>
  <c r="V52" i="60" s="1"/>
  <c r="U53" i="60"/>
  <c r="V53" i="60" s="1"/>
  <c r="U54" i="60"/>
  <c r="V54" i="60" s="1"/>
  <c r="U55" i="60"/>
  <c r="V55" i="60" s="1"/>
  <c r="U56" i="60"/>
  <c r="V56" i="60" s="1"/>
  <c r="U57" i="60"/>
  <c r="V57" i="60" s="1"/>
  <c r="U58" i="60"/>
  <c r="V58" i="60" s="1"/>
  <c r="U59" i="60"/>
  <c r="V59" i="60" s="1"/>
  <c r="U60" i="60"/>
  <c r="V60" i="60" s="1"/>
  <c r="U61" i="60"/>
  <c r="V61" i="60" s="1"/>
  <c r="U62" i="60"/>
  <c r="V62" i="60" s="1"/>
  <c r="U63" i="60"/>
  <c r="V63" i="60" s="1"/>
  <c r="U64" i="60"/>
  <c r="V64" i="60" s="1"/>
  <c r="U65" i="60"/>
  <c r="V65" i="60" s="1"/>
  <c r="U66" i="60"/>
  <c r="V66" i="60" s="1"/>
  <c r="U67" i="60"/>
  <c r="V67" i="60" s="1"/>
  <c r="U68" i="60"/>
  <c r="V68" i="60" s="1"/>
  <c r="U69" i="60"/>
  <c r="V69" i="60" s="1"/>
  <c r="U70" i="60"/>
  <c r="V70" i="60" s="1"/>
  <c r="U71" i="60"/>
  <c r="V71" i="60" s="1"/>
  <c r="U72" i="60"/>
  <c r="V72" i="60" s="1"/>
  <c r="U73" i="60"/>
  <c r="V73" i="60" s="1"/>
  <c r="U74" i="60"/>
  <c r="V74" i="60" s="1"/>
  <c r="U75" i="60"/>
  <c r="V75" i="60" s="1"/>
  <c r="U76" i="60"/>
  <c r="V76" i="60" s="1"/>
  <c r="U77" i="60"/>
  <c r="V77" i="60" s="1"/>
  <c r="U78" i="60"/>
  <c r="V78" i="60" s="1"/>
  <c r="U79" i="60"/>
  <c r="V79" i="60" s="1"/>
  <c r="U80" i="60"/>
  <c r="V80" i="60" s="1"/>
  <c r="U81" i="60"/>
  <c r="V81" i="60" s="1"/>
  <c r="U82" i="60"/>
  <c r="V82" i="60" s="1"/>
  <c r="U83" i="60"/>
  <c r="V83" i="60" s="1"/>
  <c r="U84" i="60"/>
  <c r="V84" i="60" s="1"/>
  <c r="U85" i="60"/>
  <c r="V85" i="60" s="1"/>
  <c r="U86" i="60"/>
  <c r="V86" i="60" s="1"/>
  <c r="U87" i="60"/>
  <c r="V87" i="60" s="1"/>
  <c r="U88" i="60"/>
  <c r="V88" i="60" s="1"/>
  <c r="U89" i="60"/>
  <c r="V89" i="60" s="1"/>
  <c r="U90" i="60"/>
  <c r="V90" i="60" s="1"/>
  <c r="U91" i="60"/>
  <c r="V91" i="60" s="1"/>
  <c r="U92" i="60"/>
  <c r="V92" i="60" s="1"/>
  <c r="U93" i="60"/>
  <c r="V93" i="60" s="1"/>
  <c r="U94" i="60"/>
  <c r="V94" i="60" s="1"/>
  <c r="U95" i="60"/>
  <c r="V95" i="60" s="1"/>
  <c r="U96" i="60"/>
  <c r="V96" i="60" s="1"/>
  <c r="U97" i="60"/>
  <c r="V97" i="60" s="1"/>
  <c r="U98" i="60"/>
  <c r="V98" i="60" s="1"/>
  <c r="U99" i="60"/>
  <c r="V99" i="60" s="1"/>
  <c r="U100" i="60"/>
  <c r="V100" i="60" s="1"/>
  <c r="U101" i="60"/>
  <c r="V101" i="60" s="1"/>
  <c r="U102" i="60"/>
  <c r="V102" i="60" s="1"/>
  <c r="U103" i="60"/>
  <c r="V103" i="60" s="1"/>
  <c r="U104" i="60"/>
  <c r="V104" i="60" s="1"/>
  <c r="U105" i="60"/>
  <c r="V105" i="60" s="1"/>
  <c r="U106" i="60"/>
  <c r="V106" i="60" s="1"/>
  <c r="U107" i="60"/>
  <c r="V107" i="60" s="1"/>
  <c r="U108" i="60"/>
  <c r="V108" i="60" s="1"/>
  <c r="U109" i="60"/>
  <c r="V109" i="60" s="1"/>
  <c r="U11" i="61"/>
  <c r="V11" i="61" s="1"/>
  <c r="U12" i="61"/>
  <c r="V12" i="61" s="1"/>
  <c r="U13" i="61"/>
  <c r="V13" i="61" s="1"/>
  <c r="U14" i="61"/>
  <c r="V14" i="61" s="1"/>
  <c r="U15" i="61"/>
  <c r="V15" i="61" s="1"/>
  <c r="U16" i="61"/>
  <c r="V16" i="61" s="1"/>
  <c r="U17" i="61"/>
  <c r="V17" i="61" s="1"/>
  <c r="U18" i="61"/>
  <c r="V18" i="61" s="1"/>
  <c r="U19" i="61"/>
  <c r="V19" i="61" s="1"/>
  <c r="U20" i="61"/>
  <c r="V20" i="61" s="1"/>
  <c r="U21" i="61"/>
  <c r="V21" i="61" s="1"/>
  <c r="U22" i="61"/>
  <c r="V22" i="61" s="1"/>
  <c r="U23" i="61"/>
  <c r="V23" i="61" s="1"/>
  <c r="U24" i="61"/>
  <c r="V24" i="61" s="1"/>
  <c r="U25" i="61"/>
  <c r="V25" i="61" s="1"/>
  <c r="U26" i="61"/>
  <c r="V26" i="61" s="1"/>
  <c r="U27" i="61"/>
  <c r="V27" i="61" s="1"/>
  <c r="U28" i="61"/>
  <c r="V28" i="61" s="1"/>
  <c r="U29" i="61"/>
  <c r="V29" i="61" s="1"/>
  <c r="U30" i="61"/>
  <c r="V30" i="61" s="1"/>
  <c r="U31" i="61"/>
  <c r="V31" i="61" s="1"/>
  <c r="U32" i="61"/>
  <c r="V32" i="61" s="1"/>
  <c r="U33" i="61"/>
  <c r="V33" i="61" s="1"/>
  <c r="U34" i="61"/>
  <c r="V34" i="61" s="1"/>
  <c r="U35" i="61"/>
  <c r="V35" i="61" s="1"/>
  <c r="U36" i="61"/>
  <c r="V36" i="61" s="1"/>
  <c r="U37" i="61"/>
  <c r="V37" i="61" s="1"/>
  <c r="U38" i="61"/>
  <c r="V38" i="61" s="1"/>
  <c r="U39" i="61"/>
  <c r="V39" i="61" s="1"/>
  <c r="U40" i="61"/>
  <c r="V40" i="61" s="1"/>
  <c r="U41" i="61"/>
  <c r="V41" i="61" s="1"/>
  <c r="U42" i="61"/>
  <c r="V42" i="61" s="1"/>
  <c r="U43" i="61"/>
  <c r="V43" i="61" s="1"/>
  <c r="U44" i="61"/>
  <c r="V44" i="61" s="1"/>
  <c r="U45" i="61"/>
  <c r="V45" i="61" s="1"/>
  <c r="U46" i="61"/>
  <c r="V46" i="61" s="1"/>
  <c r="U47" i="61"/>
  <c r="V47" i="61" s="1"/>
  <c r="U48" i="61"/>
  <c r="V48" i="61" s="1"/>
  <c r="U49" i="61"/>
  <c r="V49" i="61" s="1"/>
  <c r="U50" i="61"/>
  <c r="V50" i="61" s="1"/>
  <c r="U51" i="61"/>
  <c r="V51" i="61" s="1"/>
  <c r="U52" i="61"/>
  <c r="V52" i="61" s="1"/>
  <c r="U53" i="61"/>
  <c r="V53" i="61" s="1"/>
  <c r="U54" i="61"/>
  <c r="V54" i="61" s="1"/>
  <c r="U55" i="61"/>
  <c r="V55" i="61" s="1"/>
  <c r="U56" i="61"/>
  <c r="V56" i="61" s="1"/>
  <c r="U57" i="61"/>
  <c r="V57" i="61" s="1"/>
  <c r="U58" i="61"/>
  <c r="V58" i="61" s="1"/>
  <c r="U59" i="61"/>
  <c r="V59" i="61" s="1"/>
  <c r="U60" i="61"/>
  <c r="V60" i="61" s="1"/>
  <c r="U61" i="61"/>
  <c r="V61" i="61" s="1"/>
  <c r="U62" i="61"/>
  <c r="V62" i="61" s="1"/>
  <c r="U63" i="61"/>
  <c r="V63" i="61" s="1"/>
  <c r="U64" i="61"/>
  <c r="V64" i="61" s="1"/>
  <c r="U65" i="61"/>
  <c r="V65" i="61" s="1"/>
  <c r="U66" i="61"/>
  <c r="V66" i="61" s="1"/>
  <c r="U67" i="61"/>
  <c r="V67" i="61" s="1"/>
  <c r="U68" i="61"/>
  <c r="V68" i="61" s="1"/>
  <c r="U69" i="61"/>
  <c r="V69" i="61" s="1"/>
  <c r="U70" i="61"/>
  <c r="V70" i="61" s="1"/>
  <c r="U71" i="61"/>
  <c r="V71" i="61" s="1"/>
  <c r="U72" i="61"/>
  <c r="V72" i="61" s="1"/>
  <c r="U73" i="61"/>
  <c r="V73" i="61" s="1"/>
  <c r="U74" i="61"/>
  <c r="V74" i="61" s="1"/>
  <c r="U75" i="61"/>
  <c r="V75" i="61" s="1"/>
  <c r="U76" i="61"/>
  <c r="V76" i="61" s="1"/>
  <c r="U77" i="61"/>
  <c r="V77" i="61" s="1"/>
  <c r="U78" i="61"/>
  <c r="V78" i="61" s="1"/>
  <c r="U79" i="61"/>
  <c r="V79" i="61" s="1"/>
  <c r="U80" i="61"/>
  <c r="V80" i="61" s="1"/>
  <c r="U81" i="61"/>
  <c r="V81" i="61" s="1"/>
  <c r="U82" i="61"/>
  <c r="V82" i="61" s="1"/>
  <c r="U83" i="61"/>
  <c r="V83" i="61" s="1"/>
  <c r="U84" i="61"/>
  <c r="V84" i="61" s="1"/>
  <c r="U85" i="61"/>
  <c r="V85" i="61" s="1"/>
  <c r="U86" i="61"/>
  <c r="V86" i="61" s="1"/>
  <c r="U87" i="61"/>
  <c r="V87" i="61" s="1"/>
  <c r="U88" i="61"/>
  <c r="V88" i="61" s="1"/>
  <c r="U89" i="61"/>
  <c r="V89" i="61" s="1"/>
  <c r="U90" i="61"/>
  <c r="V90" i="61" s="1"/>
  <c r="U91" i="61"/>
  <c r="V91" i="61" s="1"/>
  <c r="U92" i="61"/>
  <c r="V92" i="61" s="1"/>
  <c r="U93" i="61"/>
  <c r="V93" i="61" s="1"/>
  <c r="U94" i="61"/>
  <c r="V94" i="61" s="1"/>
  <c r="U95" i="61"/>
  <c r="V95" i="61" s="1"/>
  <c r="U96" i="61"/>
  <c r="V96" i="61" s="1"/>
  <c r="U97" i="61"/>
  <c r="V97" i="61" s="1"/>
  <c r="U98" i="61"/>
  <c r="V98" i="61" s="1"/>
  <c r="U99" i="61"/>
  <c r="V99" i="61" s="1"/>
  <c r="U100" i="61"/>
  <c r="V100" i="61" s="1"/>
  <c r="U101" i="61"/>
  <c r="V101" i="61" s="1"/>
  <c r="U102" i="61"/>
  <c r="V102" i="61" s="1"/>
  <c r="U103" i="61"/>
  <c r="V103" i="61" s="1"/>
  <c r="U104" i="61"/>
  <c r="V104" i="61" s="1"/>
  <c r="U105" i="61"/>
  <c r="V105" i="61" s="1"/>
  <c r="U106" i="61"/>
  <c r="V106" i="61" s="1"/>
  <c r="U107" i="61"/>
  <c r="V107" i="61" s="1"/>
  <c r="U108" i="61"/>
  <c r="V108" i="61" s="1"/>
  <c r="U109" i="61"/>
  <c r="V109" i="61" s="1"/>
  <c r="U11" i="62"/>
  <c r="V11" i="62" s="1"/>
  <c r="U12" i="62"/>
  <c r="V12" i="62" s="1"/>
  <c r="U13" i="62"/>
  <c r="V13" i="62" s="1"/>
  <c r="U14" i="62"/>
  <c r="V14" i="62" s="1"/>
  <c r="U15" i="62"/>
  <c r="V15" i="62" s="1"/>
  <c r="U16" i="62"/>
  <c r="V16" i="62" s="1"/>
  <c r="U17" i="62"/>
  <c r="V17" i="62" s="1"/>
  <c r="U18" i="62"/>
  <c r="V18" i="62" s="1"/>
  <c r="U19" i="62"/>
  <c r="V19" i="62" s="1"/>
  <c r="U20" i="62"/>
  <c r="V20" i="62" s="1"/>
  <c r="U21" i="62"/>
  <c r="V21" i="62" s="1"/>
  <c r="U22" i="62"/>
  <c r="V22" i="62" s="1"/>
  <c r="U23" i="62"/>
  <c r="V23" i="62" s="1"/>
  <c r="U24" i="62"/>
  <c r="V24" i="62" s="1"/>
  <c r="U25" i="62"/>
  <c r="V25" i="62" s="1"/>
  <c r="U26" i="62"/>
  <c r="V26" i="62" s="1"/>
  <c r="U27" i="62"/>
  <c r="V27" i="62" s="1"/>
  <c r="U28" i="62"/>
  <c r="V28" i="62" s="1"/>
  <c r="U29" i="62"/>
  <c r="V29" i="62" s="1"/>
  <c r="U30" i="62"/>
  <c r="V30" i="62" s="1"/>
  <c r="U31" i="62"/>
  <c r="V31" i="62" s="1"/>
  <c r="U32" i="62"/>
  <c r="V32" i="62" s="1"/>
  <c r="U33" i="62"/>
  <c r="V33" i="62" s="1"/>
  <c r="U34" i="62"/>
  <c r="V34" i="62" s="1"/>
  <c r="U35" i="62"/>
  <c r="V35" i="62" s="1"/>
  <c r="U36" i="62"/>
  <c r="V36" i="62" s="1"/>
  <c r="U37" i="62"/>
  <c r="V37" i="62" s="1"/>
  <c r="U38" i="62"/>
  <c r="V38" i="62" s="1"/>
  <c r="U39" i="62"/>
  <c r="V39" i="62" s="1"/>
  <c r="U40" i="62"/>
  <c r="V40" i="62" s="1"/>
  <c r="U41" i="62"/>
  <c r="V41" i="62" s="1"/>
  <c r="U42" i="62"/>
  <c r="V42" i="62" s="1"/>
  <c r="U43" i="62"/>
  <c r="V43" i="62" s="1"/>
  <c r="U44" i="62"/>
  <c r="V44" i="62" s="1"/>
  <c r="U45" i="62"/>
  <c r="V45" i="62" s="1"/>
  <c r="U46" i="62"/>
  <c r="V46" i="62" s="1"/>
  <c r="U47" i="62"/>
  <c r="V47" i="62" s="1"/>
  <c r="U48" i="62"/>
  <c r="V48" i="62" s="1"/>
  <c r="U49" i="62"/>
  <c r="V49" i="62" s="1"/>
  <c r="U50" i="62"/>
  <c r="V50" i="62" s="1"/>
  <c r="U51" i="62"/>
  <c r="V51" i="62" s="1"/>
  <c r="U52" i="62"/>
  <c r="V52" i="62" s="1"/>
  <c r="U53" i="62"/>
  <c r="V53" i="62" s="1"/>
  <c r="U54" i="62"/>
  <c r="V54" i="62" s="1"/>
  <c r="U55" i="62"/>
  <c r="V55" i="62" s="1"/>
  <c r="U56" i="62"/>
  <c r="V56" i="62" s="1"/>
  <c r="U57" i="62"/>
  <c r="V57" i="62" s="1"/>
  <c r="U58" i="62"/>
  <c r="V58" i="62" s="1"/>
  <c r="U59" i="62"/>
  <c r="V59" i="62" s="1"/>
  <c r="U60" i="62"/>
  <c r="V60" i="62" s="1"/>
  <c r="U61" i="62"/>
  <c r="V61" i="62" s="1"/>
  <c r="U62" i="62"/>
  <c r="V62" i="62" s="1"/>
  <c r="U63" i="62"/>
  <c r="V63" i="62" s="1"/>
  <c r="U64" i="62"/>
  <c r="V64" i="62" s="1"/>
  <c r="U65" i="62"/>
  <c r="V65" i="62" s="1"/>
  <c r="U66" i="62"/>
  <c r="V66" i="62" s="1"/>
  <c r="U67" i="62"/>
  <c r="V67" i="62" s="1"/>
  <c r="U68" i="62"/>
  <c r="V68" i="62" s="1"/>
  <c r="U69" i="62"/>
  <c r="V69" i="62" s="1"/>
  <c r="U70" i="62"/>
  <c r="V70" i="62" s="1"/>
  <c r="U71" i="62"/>
  <c r="V71" i="62" s="1"/>
  <c r="U72" i="62"/>
  <c r="V72" i="62" s="1"/>
  <c r="U73" i="62"/>
  <c r="V73" i="62" s="1"/>
  <c r="U74" i="62"/>
  <c r="V74" i="62" s="1"/>
  <c r="U75" i="62"/>
  <c r="V75" i="62" s="1"/>
  <c r="U76" i="62"/>
  <c r="V76" i="62" s="1"/>
  <c r="U77" i="62"/>
  <c r="V77" i="62" s="1"/>
  <c r="U78" i="62"/>
  <c r="V78" i="62" s="1"/>
  <c r="U79" i="62"/>
  <c r="V79" i="62" s="1"/>
  <c r="U80" i="62"/>
  <c r="V80" i="62" s="1"/>
  <c r="U81" i="62"/>
  <c r="V81" i="62" s="1"/>
  <c r="U82" i="62"/>
  <c r="V82" i="62" s="1"/>
  <c r="U83" i="62"/>
  <c r="V83" i="62" s="1"/>
  <c r="U84" i="62"/>
  <c r="V84" i="62" s="1"/>
  <c r="U85" i="62"/>
  <c r="V85" i="62" s="1"/>
  <c r="U86" i="62"/>
  <c r="V86" i="62" s="1"/>
  <c r="U87" i="62"/>
  <c r="V87" i="62" s="1"/>
  <c r="U88" i="62"/>
  <c r="V88" i="62" s="1"/>
  <c r="U89" i="62"/>
  <c r="V89" i="62" s="1"/>
  <c r="U90" i="62"/>
  <c r="V90" i="62" s="1"/>
  <c r="U91" i="62"/>
  <c r="V91" i="62" s="1"/>
  <c r="U92" i="62"/>
  <c r="V92" i="62" s="1"/>
  <c r="U93" i="62"/>
  <c r="V93" i="62" s="1"/>
  <c r="U94" i="62"/>
  <c r="V94" i="62" s="1"/>
  <c r="U95" i="62"/>
  <c r="V95" i="62" s="1"/>
  <c r="U96" i="62"/>
  <c r="V96" i="62" s="1"/>
  <c r="U97" i="62"/>
  <c r="V97" i="62" s="1"/>
  <c r="U98" i="62"/>
  <c r="V98" i="62" s="1"/>
  <c r="U99" i="62"/>
  <c r="V99" i="62" s="1"/>
  <c r="U100" i="62"/>
  <c r="V100" i="62" s="1"/>
  <c r="U101" i="62"/>
  <c r="V101" i="62" s="1"/>
  <c r="U102" i="62"/>
  <c r="V102" i="62" s="1"/>
  <c r="U103" i="62"/>
  <c r="V103" i="62" s="1"/>
  <c r="U104" i="62"/>
  <c r="V104" i="62" s="1"/>
  <c r="U105" i="62"/>
  <c r="V105" i="62" s="1"/>
  <c r="U106" i="62"/>
  <c r="V106" i="62" s="1"/>
  <c r="U107" i="62"/>
  <c r="V107" i="62" s="1"/>
  <c r="U108" i="62"/>
  <c r="V108" i="62" s="1"/>
  <c r="U109" i="62"/>
  <c r="V109" i="62" s="1"/>
  <c r="U11" i="63"/>
  <c r="V11" i="63" s="1"/>
  <c r="U12" i="63"/>
  <c r="V12" i="63" s="1"/>
  <c r="U13" i="63"/>
  <c r="V13" i="63" s="1"/>
  <c r="U14" i="63"/>
  <c r="V14" i="63" s="1"/>
  <c r="U15" i="63"/>
  <c r="V15" i="63" s="1"/>
  <c r="U16" i="63"/>
  <c r="V16" i="63" s="1"/>
  <c r="U17" i="63"/>
  <c r="V17" i="63" s="1"/>
  <c r="U18" i="63"/>
  <c r="V18" i="63" s="1"/>
  <c r="U19" i="63"/>
  <c r="V19" i="63" s="1"/>
  <c r="U20" i="63"/>
  <c r="V20" i="63" s="1"/>
  <c r="U21" i="63"/>
  <c r="V21" i="63" s="1"/>
  <c r="U22" i="63"/>
  <c r="V22" i="63" s="1"/>
  <c r="U23" i="63"/>
  <c r="V23" i="63" s="1"/>
  <c r="U24" i="63"/>
  <c r="V24" i="63" s="1"/>
  <c r="U25" i="63"/>
  <c r="V25" i="63" s="1"/>
  <c r="U26" i="63"/>
  <c r="V26" i="63" s="1"/>
  <c r="U27" i="63"/>
  <c r="V27" i="63" s="1"/>
  <c r="U28" i="63"/>
  <c r="V28" i="63" s="1"/>
  <c r="U29" i="63"/>
  <c r="V29" i="63" s="1"/>
  <c r="U30" i="63"/>
  <c r="V30" i="63" s="1"/>
  <c r="U31" i="63"/>
  <c r="V31" i="63" s="1"/>
  <c r="U32" i="63"/>
  <c r="V32" i="63" s="1"/>
  <c r="U33" i="63"/>
  <c r="V33" i="63" s="1"/>
  <c r="U34" i="63"/>
  <c r="V34" i="63" s="1"/>
  <c r="U35" i="63"/>
  <c r="V35" i="63" s="1"/>
  <c r="U36" i="63"/>
  <c r="V36" i="63" s="1"/>
  <c r="U37" i="63"/>
  <c r="V37" i="63" s="1"/>
  <c r="U38" i="63"/>
  <c r="V38" i="63" s="1"/>
  <c r="U39" i="63"/>
  <c r="V39" i="63" s="1"/>
  <c r="U40" i="63"/>
  <c r="V40" i="63" s="1"/>
  <c r="U41" i="63"/>
  <c r="V41" i="63" s="1"/>
  <c r="U42" i="63"/>
  <c r="V42" i="63" s="1"/>
  <c r="U43" i="63"/>
  <c r="V43" i="63" s="1"/>
  <c r="U44" i="63"/>
  <c r="V44" i="63" s="1"/>
  <c r="U45" i="63"/>
  <c r="V45" i="63" s="1"/>
  <c r="U46" i="63"/>
  <c r="V46" i="63" s="1"/>
  <c r="U47" i="63"/>
  <c r="V47" i="63" s="1"/>
  <c r="U48" i="63"/>
  <c r="V48" i="63" s="1"/>
  <c r="U49" i="63"/>
  <c r="V49" i="63" s="1"/>
  <c r="U50" i="63"/>
  <c r="V50" i="63" s="1"/>
  <c r="U51" i="63"/>
  <c r="V51" i="63" s="1"/>
  <c r="U52" i="63"/>
  <c r="V52" i="63" s="1"/>
  <c r="U53" i="63"/>
  <c r="V53" i="63" s="1"/>
  <c r="U54" i="63"/>
  <c r="V54" i="63" s="1"/>
  <c r="U55" i="63"/>
  <c r="V55" i="63" s="1"/>
  <c r="U56" i="63"/>
  <c r="V56" i="63" s="1"/>
  <c r="U57" i="63"/>
  <c r="V57" i="63" s="1"/>
  <c r="U58" i="63"/>
  <c r="V58" i="63" s="1"/>
  <c r="U59" i="63"/>
  <c r="V59" i="63" s="1"/>
  <c r="U60" i="63"/>
  <c r="V60" i="63" s="1"/>
  <c r="U61" i="63"/>
  <c r="V61" i="63" s="1"/>
  <c r="U62" i="63"/>
  <c r="V62" i="63" s="1"/>
  <c r="U63" i="63"/>
  <c r="V63" i="63" s="1"/>
  <c r="U64" i="63"/>
  <c r="V64" i="63" s="1"/>
  <c r="U65" i="63"/>
  <c r="V65" i="63" s="1"/>
  <c r="U66" i="63"/>
  <c r="V66" i="63" s="1"/>
  <c r="U67" i="63"/>
  <c r="V67" i="63" s="1"/>
  <c r="U68" i="63"/>
  <c r="V68" i="63" s="1"/>
  <c r="U69" i="63"/>
  <c r="V69" i="63" s="1"/>
  <c r="U70" i="63"/>
  <c r="V70" i="63" s="1"/>
  <c r="U71" i="63"/>
  <c r="V71" i="63" s="1"/>
  <c r="U72" i="63"/>
  <c r="V72" i="63" s="1"/>
  <c r="U73" i="63"/>
  <c r="V73" i="63" s="1"/>
  <c r="U74" i="63"/>
  <c r="V74" i="63" s="1"/>
  <c r="U75" i="63"/>
  <c r="V75" i="63" s="1"/>
  <c r="U76" i="63"/>
  <c r="V76" i="63" s="1"/>
  <c r="U77" i="63"/>
  <c r="V77" i="63" s="1"/>
  <c r="U78" i="63"/>
  <c r="V78" i="63" s="1"/>
  <c r="U79" i="63"/>
  <c r="V79" i="63" s="1"/>
  <c r="U80" i="63"/>
  <c r="V80" i="63" s="1"/>
  <c r="U81" i="63"/>
  <c r="V81" i="63" s="1"/>
  <c r="U82" i="63"/>
  <c r="V82" i="63" s="1"/>
  <c r="U83" i="63"/>
  <c r="V83" i="63" s="1"/>
  <c r="U84" i="63"/>
  <c r="V84" i="63" s="1"/>
  <c r="U85" i="63"/>
  <c r="V85" i="63" s="1"/>
  <c r="U86" i="63"/>
  <c r="V86" i="63" s="1"/>
  <c r="U87" i="63"/>
  <c r="V87" i="63" s="1"/>
  <c r="U88" i="63"/>
  <c r="V88" i="63" s="1"/>
  <c r="U89" i="63"/>
  <c r="V89" i="63" s="1"/>
  <c r="U90" i="63"/>
  <c r="V90" i="63" s="1"/>
  <c r="U91" i="63"/>
  <c r="V91" i="63" s="1"/>
  <c r="U92" i="63"/>
  <c r="V92" i="63" s="1"/>
  <c r="U93" i="63"/>
  <c r="V93" i="63" s="1"/>
  <c r="U94" i="63"/>
  <c r="V94" i="63" s="1"/>
  <c r="U95" i="63"/>
  <c r="V95" i="63" s="1"/>
  <c r="U96" i="63"/>
  <c r="V96" i="63" s="1"/>
  <c r="U97" i="63"/>
  <c r="V97" i="63" s="1"/>
  <c r="U98" i="63"/>
  <c r="V98" i="63" s="1"/>
  <c r="U99" i="63"/>
  <c r="V99" i="63" s="1"/>
  <c r="U100" i="63"/>
  <c r="V100" i="63" s="1"/>
  <c r="U101" i="63"/>
  <c r="V101" i="63" s="1"/>
  <c r="U102" i="63"/>
  <c r="V102" i="63" s="1"/>
  <c r="U103" i="63"/>
  <c r="V103" i="63" s="1"/>
  <c r="U104" i="63"/>
  <c r="V104" i="63" s="1"/>
  <c r="U105" i="63"/>
  <c r="V105" i="63" s="1"/>
  <c r="U106" i="63"/>
  <c r="V106" i="63" s="1"/>
  <c r="U107" i="63"/>
  <c r="V107" i="63" s="1"/>
  <c r="U108" i="63"/>
  <c r="V108" i="63" s="1"/>
  <c r="U109" i="63"/>
  <c r="V109" i="63" s="1"/>
  <c r="U11" i="64"/>
  <c r="V11" i="64" s="1"/>
  <c r="U12" i="64"/>
  <c r="V12" i="64" s="1"/>
  <c r="U13" i="64"/>
  <c r="V13" i="64" s="1"/>
  <c r="U14" i="64"/>
  <c r="V14" i="64" s="1"/>
  <c r="U15" i="64"/>
  <c r="V15" i="64" s="1"/>
  <c r="U16" i="64"/>
  <c r="V16" i="64" s="1"/>
  <c r="U17" i="64"/>
  <c r="V17" i="64" s="1"/>
  <c r="U18" i="64"/>
  <c r="V18" i="64" s="1"/>
  <c r="U19" i="64"/>
  <c r="V19" i="64" s="1"/>
  <c r="U20" i="64"/>
  <c r="V20" i="64" s="1"/>
  <c r="U21" i="64"/>
  <c r="V21" i="64" s="1"/>
  <c r="U22" i="64"/>
  <c r="V22" i="64" s="1"/>
  <c r="U23" i="64"/>
  <c r="V23" i="64" s="1"/>
  <c r="U24" i="64"/>
  <c r="V24" i="64" s="1"/>
  <c r="U25" i="64"/>
  <c r="V25" i="64" s="1"/>
  <c r="U26" i="64"/>
  <c r="V26" i="64" s="1"/>
  <c r="U27" i="64"/>
  <c r="V27" i="64" s="1"/>
  <c r="U28" i="64"/>
  <c r="V28" i="64" s="1"/>
  <c r="U29" i="64"/>
  <c r="V29" i="64" s="1"/>
  <c r="U30" i="64"/>
  <c r="V30" i="64" s="1"/>
  <c r="U31" i="64"/>
  <c r="V31" i="64" s="1"/>
  <c r="U32" i="64"/>
  <c r="V32" i="64" s="1"/>
  <c r="U33" i="64"/>
  <c r="V33" i="64" s="1"/>
  <c r="U34" i="64"/>
  <c r="V34" i="64" s="1"/>
  <c r="U35" i="64"/>
  <c r="V35" i="64" s="1"/>
  <c r="U36" i="64"/>
  <c r="V36" i="64" s="1"/>
  <c r="U37" i="64"/>
  <c r="V37" i="64" s="1"/>
  <c r="U38" i="64"/>
  <c r="V38" i="64" s="1"/>
  <c r="U39" i="64"/>
  <c r="V39" i="64" s="1"/>
  <c r="U40" i="64"/>
  <c r="V40" i="64" s="1"/>
  <c r="U41" i="64"/>
  <c r="V41" i="64" s="1"/>
  <c r="U42" i="64"/>
  <c r="V42" i="64" s="1"/>
  <c r="U43" i="64"/>
  <c r="V43" i="64" s="1"/>
  <c r="U44" i="64"/>
  <c r="V44" i="64" s="1"/>
  <c r="U45" i="64"/>
  <c r="V45" i="64" s="1"/>
  <c r="U46" i="64"/>
  <c r="V46" i="64" s="1"/>
  <c r="U47" i="64"/>
  <c r="V47" i="64" s="1"/>
  <c r="U48" i="64"/>
  <c r="V48" i="64" s="1"/>
  <c r="U49" i="64"/>
  <c r="V49" i="64" s="1"/>
  <c r="U50" i="64"/>
  <c r="V50" i="64" s="1"/>
  <c r="U51" i="64"/>
  <c r="V51" i="64" s="1"/>
  <c r="U52" i="64"/>
  <c r="V52" i="64" s="1"/>
  <c r="U53" i="64"/>
  <c r="V53" i="64" s="1"/>
  <c r="U54" i="64"/>
  <c r="V54" i="64" s="1"/>
  <c r="U55" i="64"/>
  <c r="V55" i="64" s="1"/>
  <c r="U56" i="64"/>
  <c r="V56" i="64" s="1"/>
  <c r="U57" i="64"/>
  <c r="V57" i="64" s="1"/>
  <c r="U58" i="64"/>
  <c r="V58" i="64" s="1"/>
  <c r="U59" i="64"/>
  <c r="V59" i="64" s="1"/>
  <c r="U60" i="64"/>
  <c r="V60" i="64" s="1"/>
  <c r="U61" i="64"/>
  <c r="V61" i="64" s="1"/>
  <c r="U62" i="64"/>
  <c r="V62" i="64" s="1"/>
  <c r="U63" i="64"/>
  <c r="V63" i="64" s="1"/>
  <c r="U64" i="64"/>
  <c r="V64" i="64" s="1"/>
  <c r="U65" i="64"/>
  <c r="V65" i="64" s="1"/>
  <c r="U66" i="64"/>
  <c r="V66" i="64" s="1"/>
  <c r="U67" i="64"/>
  <c r="V67" i="64" s="1"/>
  <c r="U68" i="64"/>
  <c r="V68" i="64" s="1"/>
  <c r="U69" i="64"/>
  <c r="V69" i="64" s="1"/>
  <c r="U70" i="64"/>
  <c r="V70" i="64" s="1"/>
  <c r="U71" i="64"/>
  <c r="V71" i="64" s="1"/>
  <c r="U72" i="64"/>
  <c r="V72" i="64" s="1"/>
  <c r="U73" i="64"/>
  <c r="V73" i="64" s="1"/>
  <c r="U74" i="64"/>
  <c r="V74" i="64" s="1"/>
  <c r="U75" i="64"/>
  <c r="V75" i="64" s="1"/>
  <c r="U76" i="64"/>
  <c r="V76" i="64" s="1"/>
  <c r="U77" i="64"/>
  <c r="V77" i="64" s="1"/>
  <c r="U78" i="64"/>
  <c r="V78" i="64" s="1"/>
  <c r="U79" i="64"/>
  <c r="V79" i="64" s="1"/>
  <c r="U80" i="64"/>
  <c r="V80" i="64" s="1"/>
  <c r="U81" i="64"/>
  <c r="V81" i="64" s="1"/>
  <c r="U82" i="64"/>
  <c r="V82" i="64" s="1"/>
  <c r="U83" i="64"/>
  <c r="V83" i="64" s="1"/>
  <c r="U84" i="64"/>
  <c r="V84" i="64" s="1"/>
  <c r="U85" i="64"/>
  <c r="V85" i="64" s="1"/>
  <c r="U86" i="64"/>
  <c r="V86" i="64" s="1"/>
  <c r="U87" i="64"/>
  <c r="V87" i="64" s="1"/>
  <c r="U88" i="64"/>
  <c r="V88" i="64" s="1"/>
  <c r="U89" i="64"/>
  <c r="V89" i="64" s="1"/>
  <c r="U90" i="64"/>
  <c r="V90" i="64" s="1"/>
  <c r="U91" i="64"/>
  <c r="V91" i="64" s="1"/>
  <c r="U92" i="64"/>
  <c r="V92" i="64" s="1"/>
  <c r="U93" i="64"/>
  <c r="V93" i="64" s="1"/>
  <c r="U94" i="64"/>
  <c r="V94" i="64" s="1"/>
  <c r="U95" i="64"/>
  <c r="V95" i="64" s="1"/>
  <c r="U96" i="64"/>
  <c r="V96" i="64" s="1"/>
  <c r="U97" i="64"/>
  <c r="V97" i="64" s="1"/>
  <c r="U98" i="64"/>
  <c r="V98" i="64" s="1"/>
  <c r="U99" i="64"/>
  <c r="V99" i="64" s="1"/>
  <c r="U100" i="64"/>
  <c r="V100" i="64" s="1"/>
  <c r="U101" i="64"/>
  <c r="V101" i="64" s="1"/>
  <c r="U102" i="64"/>
  <c r="V102" i="64" s="1"/>
  <c r="U103" i="64"/>
  <c r="V103" i="64" s="1"/>
  <c r="U104" i="64"/>
  <c r="V104" i="64" s="1"/>
  <c r="U105" i="64"/>
  <c r="V105" i="64" s="1"/>
  <c r="U106" i="64"/>
  <c r="V106" i="64" s="1"/>
  <c r="U107" i="64"/>
  <c r="V107" i="64" s="1"/>
  <c r="U108" i="64"/>
  <c r="V108" i="64" s="1"/>
  <c r="U109" i="64"/>
  <c r="V109" i="64" s="1"/>
  <c r="U11" i="65"/>
  <c r="V11" i="65" s="1"/>
  <c r="U12" i="65"/>
  <c r="V12" i="65" s="1"/>
  <c r="U13" i="65"/>
  <c r="V13" i="65" s="1"/>
  <c r="U14" i="65"/>
  <c r="V14" i="65" s="1"/>
  <c r="U15" i="65"/>
  <c r="V15" i="65" s="1"/>
  <c r="U16" i="65"/>
  <c r="V16" i="65" s="1"/>
  <c r="U17" i="65"/>
  <c r="V17" i="65" s="1"/>
  <c r="U18" i="65"/>
  <c r="V18" i="65" s="1"/>
  <c r="U19" i="65"/>
  <c r="V19" i="65" s="1"/>
  <c r="U20" i="65"/>
  <c r="V20" i="65" s="1"/>
  <c r="U21" i="65"/>
  <c r="V21" i="65" s="1"/>
  <c r="U22" i="65"/>
  <c r="V22" i="65" s="1"/>
  <c r="U23" i="65"/>
  <c r="V23" i="65" s="1"/>
  <c r="U24" i="65"/>
  <c r="V24" i="65" s="1"/>
  <c r="U25" i="65"/>
  <c r="V25" i="65" s="1"/>
  <c r="U26" i="65"/>
  <c r="V26" i="65" s="1"/>
  <c r="U27" i="65"/>
  <c r="V27" i="65" s="1"/>
  <c r="U28" i="65"/>
  <c r="V28" i="65" s="1"/>
  <c r="U29" i="65"/>
  <c r="V29" i="65" s="1"/>
  <c r="U30" i="65"/>
  <c r="V30" i="65" s="1"/>
  <c r="U31" i="65"/>
  <c r="V31" i="65" s="1"/>
  <c r="U32" i="65"/>
  <c r="V32" i="65" s="1"/>
  <c r="U33" i="65"/>
  <c r="V33" i="65" s="1"/>
  <c r="U34" i="65"/>
  <c r="V34" i="65" s="1"/>
  <c r="U35" i="65"/>
  <c r="V35" i="65" s="1"/>
  <c r="U36" i="65"/>
  <c r="V36" i="65" s="1"/>
  <c r="U37" i="65"/>
  <c r="V37" i="65" s="1"/>
  <c r="U38" i="65"/>
  <c r="V38" i="65" s="1"/>
  <c r="U39" i="65"/>
  <c r="V39" i="65" s="1"/>
  <c r="U40" i="65"/>
  <c r="V40" i="65" s="1"/>
  <c r="U41" i="65"/>
  <c r="V41" i="65" s="1"/>
  <c r="U42" i="65"/>
  <c r="V42" i="65" s="1"/>
  <c r="U43" i="65"/>
  <c r="V43" i="65" s="1"/>
  <c r="U44" i="65"/>
  <c r="V44" i="65" s="1"/>
  <c r="U45" i="65"/>
  <c r="V45" i="65" s="1"/>
  <c r="U46" i="65"/>
  <c r="V46" i="65" s="1"/>
  <c r="U47" i="65"/>
  <c r="V47" i="65" s="1"/>
  <c r="U48" i="65"/>
  <c r="V48" i="65" s="1"/>
  <c r="U49" i="65"/>
  <c r="V49" i="65" s="1"/>
  <c r="U50" i="65"/>
  <c r="V50" i="65" s="1"/>
  <c r="U51" i="65"/>
  <c r="V51" i="65" s="1"/>
  <c r="U52" i="65"/>
  <c r="V52" i="65" s="1"/>
  <c r="U53" i="65"/>
  <c r="V53" i="65" s="1"/>
  <c r="U54" i="65"/>
  <c r="V54" i="65" s="1"/>
  <c r="U55" i="65"/>
  <c r="V55" i="65" s="1"/>
  <c r="U56" i="65"/>
  <c r="V56" i="65" s="1"/>
  <c r="U57" i="65"/>
  <c r="V57" i="65" s="1"/>
  <c r="U58" i="65"/>
  <c r="V58" i="65" s="1"/>
  <c r="U59" i="65"/>
  <c r="V59" i="65" s="1"/>
  <c r="U60" i="65"/>
  <c r="V60" i="65" s="1"/>
  <c r="U61" i="65"/>
  <c r="V61" i="65" s="1"/>
  <c r="U62" i="65"/>
  <c r="V62" i="65" s="1"/>
  <c r="U63" i="65"/>
  <c r="V63" i="65" s="1"/>
  <c r="U64" i="65"/>
  <c r="V64" i="65" s="1"/>
  <c r="U65" i="65"/>
  <c r="V65" i="65" s="1"/>
  <c r="U66" i="65"/>
  <c r="V66" i="65" s="1"/>
  <c r="U67" i="65"/>
  <c r="V67" i="65" s="1"/>
  <c r="U68" i="65"/>
  <c r="V68" i="65" s="1"/>
  <c r="U69" i="65"/>
  <c r="V69" i="65" s="1"/>
  <c r="U70" i="65"/>
  <c r="V70" i="65" s="1"/>
  <c r="U71" i="65"/>
  <c r="V71" i="65" s="1"/>
  <c r="U72" i="65"/>
  <c r="V72" i="65" s="1"/>
  <c r="U73" i="65"/>
  <c r="V73" i="65" s="1"/>
  <c r="U74" i="65"/>
  <c r="V74" i="65" s="1"/>
  <c r="U75" i="65"/>
  <c r="V75" i="65" s="1"/>
  <c r="U76" i="65"/>
  <c r="V76" i="65" s="1"/>
  <c r="U77" i="65"/>
  <c r="V77" i="65" s="1"/>
  <c r="U78" i="65"/>
  <c r="V78" i="65" s="1"/>
  <c r="U79" i="65"/>
  <c r="V79" i="65" s="1"/>
  <c r="U80" i="65"/>
  <c r="V80" i="65" s="1"/>
  <c r="U81" i="65"/>
  <c r="V81" i="65" s="1"/>
  <c r="U82" i="65"/>
  <c r="V82" i="65" s="1"/>
  <c r="U83" i="65"/>
  <c r="V83" i="65" s="1"/>
  <c r="U84" i="65"/>
  <c r="V84" i="65" s="1"/>
  <c r="U85" i="65"/>
  <c r="V85" i="65" s="1"/>
  <c r="U86" i="65"/>
  <c r="V86" i="65" s="1"/>
  <c r="U87" i="65"/>
  <c r="V87" i="65" s="1"/>
  <c r="U88" i="65"/>
  <c r="V88" i="65" s="1"/>
  <c r="U89" i="65"/>
  <c r="V89" i="65" s="1"/>
  <c r="U90" i="65"/>
  <c r="V90" i="65" s="1"/>
  <c r="U91" i="65"/>
  <c r="V91" i="65" s="1"/>
  <c r="U92" i="65"/>
  <c r="V92" i="65" s="1"/>
  <c r="U93" i="65"/>
  <c r="V93" i="65" s="1"/>
  <c r="U94" i="65"/>
  <c r="V94" i="65" s="1"/>
  <c r="U95" i="65"/>
  <c r="V95" i="65" s="1"/>
  <c r="U96" i="65"/>
  <c r="V96" i="65" s="1"/>
  <c r="U97" i="65"/>
  <c r="V97" i="65" s="1"/>
  <c r="U98" i="65"/>
  <c r="V98" i="65" s="1"/>
  <c r="U99" i="65"/>
  <c r="V99" i="65" s="1"/>
  <c r="U100" i="65"/>
  <c r="V100" i="65" s="1"/>
  <c r="U101" i="65"/>
  <c r="V101" i="65" s="1"/>
  <c r="U102" i="65"/>
  <c r="V102" i="65" s="1"/>
  <c r="U103" i="65"/>
  <c r="V103" i="65" s="1"/>
  <c r="U104" i="65"/>
  <c r="V104" i="65" s="1"/>
  <c r="U105" i="65"/>
  <c r="V105" i="65" s="1"/>
  <c r="U106" i="65"/>
  <c r="V106" i="65" s="1"/>
  <c r="U107" i="65"/>
  <c r="V107" i="65" s="1"/>
  <c r="U108" i="65"/>
  <c r="V108" i="65" s="1"/>
  <c r="U109" i="65"/>
  <c r="V109" i="65" s="1"/>
  <c r="U11" i="66"/>
  <c r="V11" i="66" s="1"/>
  <c r="U12" i="66"/>
  <c r="V12" i="66" s="1"/>
  <c r="U13" i="66"/>
  <c r="V13" i="66" s="1"/>
  <c r="U14" i="66"/>
  <c r="V14" i="66" s="1"/>
  <c r="U15" i="66"/>
  <c r="V15" i="66" s="1"/>
  <c r="U16" i="66"/>
  <c r="V16" i="66" s="1"/>
  <c r="U17" i="66"/>
  <c r="V17" i="66" s="1"/>
  <c r="U18" i="66"/>
  <c r="V18" i="66" s="1"/>
  <c r="U19" i="66"/>
  <c r="V19" i="66" s="1"/>
  <c r="U20" i="66"/>
  <c r="V20" i="66" s="1"/>
  <c r="U21" i="66"/>
  <c r="V21" i="66" s="1"/>
  <c r="U22" i="66"/>
  <c r="V22" i="66" s="1"/>
  <c r="U23" i="66"/>
  <c r="V23" i="66" s="1"/>
  <c r="U24" i="66"/>
  <c r="V24" i="66" s="1"/>
  <c r="U25" i="66"/>
  <c r="V25" i="66" s="1"/>
  <c r="U26" i="66"/>
  <c r="V26" i="66" s="1"/>
  <c r="U27" i="66"/>
  <c r="V27" i="66" s="1"/>
  <c r="U28" i="66"/>
  <c r="V28" i="66" s="1"/>
  <c r="U29" i="66"/>
  <c r="V29" i="66" s="1"/>
  <c r="U30" i="66"/>
  <c r="V30" i="66" s="1"/>
  <c r="U31" i="66"/>
  <c r="V31" i="66" s="1"/>
  <c r="U32" i="66"/>
  <c r="V32" i="66" s="1"/>
  <c r="U33" i="66"/>
  <c r="V33" i="66" s="1"/>
  <c r="U34" i="66"/>
  <c r="V34" i="66" s="1"/>
  <c r="U35" i="66"/>
  <c r="V35" i="66" s="1"/>
  <c r="U36" i="66"/>
  <c r="V36" i="66" s="1"/>
  <c r="U37" i="66"/>
  <c r="V37" i="66" s="1"/>
  <c r="U38" i="66"/>
  <c r="V38" i="66" s="1"/>
  <c r="U39" i="66"/>
  <c r="V39" i="66" s="1"/>
  <c r="U40" i="66"/>
  <c r="V40" i="66" s="1"/>
  <c r="U41" i="66"/>
  <c r="V41" i="66" s="1"/>
  <c r="U42" i="66"/>
  <c r="V42" i="66" s="1"/>
  <c r="U43" i="66"/>
  <c r="V43" i="66" s="1"/>
  <c r="U44" i="66"/>
  <c r="V44" i="66" s="1"/>
  <c r="U45" i="66"/>
  <c r="V45" i="66" s="1"/>
  <c r="U46" i="66"/>
  <c r="V46" i="66" s="1"/>
  <c r="U47" i="66"/>
  <c r="V47" i="66" s="1"/>
  <c r="U48" i="66"/>
  <c r="V48" i="66" s="1"/>
  <c r="U49" i="66"/>
  <c r="V49" i="66" s="1"/>
  <c r="U50" i="66"/>
  <c r="V50" i="66" s="1"/>
  <c r="U51" i="66"/>
  <c r="V51" i="66" s="1"/>
  <c r="U52" i="66"/>
  <c r="V52" i="66" s="1"/>
  <c r="U53" i="66"/>
  <c r="V53" i="66" s="1"/>
  <c r="U54" i="66"/>
  <c r="V54" i="66" s="1"/>
  <c r="U55" i="66"/>
  <c r="V55" i="66" s="1"/>
  <c r="U56" i="66"/>
  <c r="V56" i="66" s="1"/>
  <c r="U57" i="66"/>
  <c r="V57" i="66" s="1"/>
  <c r="U58" i="66"/>
  <c r="V58" i="66" s="1"/>
  <c r="U59" i="66"/>
  <c r="V59" i="66" s="1"/>
  <c r="U60" i="66"/>
  <c r="V60" i="66" s="1"/>
  <c r="U61" i="66"/>
  <c r="V61" i="66" s="1"/>
  <c r="U62" i="66"/>
  <c r="V62" i="66" s="1"/>
  <c r="U63" i="66"/>
  <c r="V63" i="66" s="1"/>
  <c r="U64" i="66"/>
  <c r="V64" i="66" s="1"/>
  <c r="U65" i="66"/>
  <c r="V65" i="66" s="1"/>
  <c r="U66" i="66"/>
  <c r="V66" i="66" s="1"/>
  <c r="U67" i="66"/>
  <c r="V67" i="66" s="1"/>
  <c r="U68" i="66"/>
  <c r="V68" i="66" s="1"/>
  <c r="U69" i="66"/>
  <c r="V69" i="66" s="1"/>
  <c r="U70" i="66"/>
  <c r="V70" i="66" s="1"/>
  <c r="U71" i="66"/>
  <c r="V71" i="66" s="1"/>
  <c r="U72" i="66"/>
  <c r="V72" i="66" s="1"/>
  <c r="U73" i="66"/>
  <c r="V73" i="66" s="1"/>
  <c r="U74" i="66"/>
  <c r="V74" i="66" s="1"/>
  <c r="U75" i="66"/>
  <c r="V75" i="66" s="1"/>
  <c r="U76" i="66"/>
  <c r="V76" i="66" s="1"/>
  <c r="U77" i="66"/>
  <c r="V77" i="66" s="1"/>
  <c r="U78" i="66"/>
  <c r="V78" i="66" s="1"/>
  <c r="U79" i="66"/>
  <c r="V79" i="66" s="1"/>
  <c r="U80" i="66"/>
  <c r="V80" i="66" s="1"/>
  <c r="U81" i="66"/>
  <c r="V81" i="66" s="1"/>
  <c r="U82" i="66"/>
  <c r="V82" i="66" s="1"/>
  <c r="U83" i="66"/>
  <c r="V83" i="66" s="1"/>
  <c r="U84" i="66"/>
  <c r="V84" i="66" s="1"/>
  <c r="U85" i="66"/>
  <c r="V85" i="66" s="1"/>
  <c r="U86" i="66"/>
  <c r="V86" i="66" s="1"/>
  <c r="U87" i="66"/>
  <c r="V87" i="66" s="1"/>
  <c r="U88" i="66"/>
  <c r="V88" i="66" s="1"/>
  <c r="U89" i="66"/>
  <c r="V89" i="66" s="1"/>
  <c r="U90" i="66"/>
  <c r="V90" i="66" s="1"/>
  <c r="U91" i="66"/>
  <c r="V91" i="66" s="1"/>
  <c r="U92" i="66"/>
  <c r="V92" i="66" s="1"/>
  <c r="U93" i="66"/>
  <c r="V93" i="66" s="1"/>
  <c r="U94" i="66"/>
  <c r="V94" i="66" s="1"/>
  <c r="U95" i="66"/>
  <c r="V95" i="66" s="1"/>
  <c r="U96" i="66"/>
  <c r="V96" i="66" s="1"/>
  <c r="U97" i="66"/>
  <c r="V97" i="66" s="1"/>
  <c r="U98" i="66"/>
  <c r="V98" i="66" s="1"/>
  <c r="U99" i="66"/>
  <c r="V99" i="66" s="1"/>
  <c r="U100" i="66"/>
  <c r="V100" i="66" s="1"/>
  <c r="U101" i="66"/>
  <c r="V101" i="66" s="1"/>
  <c r="U102" i="66"/>
  <c r="V102" i="66" s="1"/>
  <c r="U103" i="66"/>
  <c r="V103" i="66" s="1"/>
  <c r="U104" i="66"/>
  <c r="V104" i="66" s="1"/>
  <c r="U105" i="66"/>
  <c r="V105" i="66" s="1"/>
  <c r="U106" i="66"/>
  <c r="V106" i="66" s="1"/>
  <c r="U107" i="66"/>
  <c r="V107" i="66" s="1"/>
  <c r="U108" i="66"/>
  <c r="V108" i="66" s="1"/>
  <c r="U109" i="66"/>
  <c r="V109" i="66" s="1"/>
  <c r="U11" i="67"/>
  <c r="V11" i="67" s="1"/>
  <c r="U12" i="67"/>
  <c r="V12" i="67" s="1"/>
  <c r="U13" i="67"/>
  <c r="V13" i="67" s="1"/>
  <c r="U14" i="67"/>
  <c r="V14" i="67" s="1"/>
  <c r="U15" i="67"/>
  <c r="V15" i="67" s="1"/>
  <c r="U16" i="67"/>
  <c r="V16" i="67" s="1"/>
  <c r="U17" i="67"/>
  <c r="V17" i="67" s="1"/>
  <c r="U18" i="67"/>
  <c r="V18" i="67" s="1"/>
  <c r="U19" i="67"/>
  <c r="V19" i="67" s="1"/>
  <c r="U20" i="67"/>
  <c r="V20" i="67" s="1"/>
  <c r="U21" i="67"/>
  <c r="V21" i="67" s="1"/>
  <c r="U22" i="67"/>
  <c r="V22" i="67" s="1"/>
  <c r="U23" i="67"/>
  <c r="V23" i="67" s="1"/>
  <c r="U24" i="67"/>
  <c r="V24" i="67" s="1"/>
  <c r="U25" i="67"/>
  <c r="V25" i="67" s="1"/>
  <c r="U26" i="67"/>
  <c r="V26" i="67" s="1"/>
  <c r="U27" i="67"/>
  <c r="V27" i="67" s="1"/>
  <c r="U28" i="67"/>
  <c r="V28" i="67" s="1"/>
  <c r="U29" i="67"/>
  <c r="V29" i="67" s="1"/>
  <c r="U30" i="67"/>
  <c r="V30" i="67" s="1"/>
  <c r="U31" i="67"/>
  <c r="V31" i="67" s="1"/>
  <c r="U32" i="67"/>
  <c r="V32" i="67" s="1"/>
  <c r="U33" i="67"/>
  <c r="V33" i="67" s="1"/>
  <c r="U34" i="67"/>
  <c r="V34" i="67" s="1"/>
  <c r="U35" i="67"/>
  <c r="V35" i="67" s="1"/>
  <c r="U36" i="67"/>
  <c r="V36" i="67" s="1"/>
  <c r="U37" i="67"/>
  <c r="V37" i="67" s="1"/>
  <c r="U38" i="67"/>
  <c r="V38" i="67" s="1"/>
  <c r="U39" i="67"/>
  <c r="V39" i="67" s="1"/>
  <c r="U40" i="67"/>
  <c r="V40" i="67" s="1"/>
  <c r="U41" i="67"/>
  <c r="V41" i="67" s="1"/>
  <c r="U42" i="67"/>
  <c r="V42" i="67" s="1"/>
  <c r="U43" i="67"/>
  <c r="V43" i="67" s="1"/>
  <c r="U44" i="67"/>
  <c r="V44" i="67" s="1"/>
  <c r="U45" i="67"/>
  <c r="V45" i="67" s="1"/>
  <c r="U46" i="67"/>
  <c r="V46" i="67" s="1"/>
  <c r="U47" i="67"/>
  <c r="V47" i="67" s="1"/>
  <c r="U48" i="67"/>
  <c r="V48" i="67" s="1"/>
  <c r="U49" i="67"/>
  <c r="V49" i="67" s="1"/>
  <c r="U50" i="67"/>
  <c r="V50" i="67" s="1"/>
  <c r="U51" i="67"/>
  <c r="V51" i="67" s="1"/>
  <c r="U52" i="67"/>
  <c r="V52" i="67" s="1"/>
  <c r="U53" i="67"/>
  <c r="V53" i="67" s="1"/>
  <c r="U54" i="67"/>
  <c r="V54" i="67" s="1"/>
  <c r="U55" i="67"/>
  <c r="V55" i="67" s="1"/>
  <c r="U56" i="67"/>
  <c r="V56" i="67" s="1"/>
  <c r="U57" i="67"/>
  <c r="V57" i="67" s="1"/>
  <c r="U58" i="67"/>
  <c r="V58" i="67" s="1"/>
  <c r="U59" i="67"/>
  <c r="V59" i="67" s="1"/>
  <c r="U60" i="67"/>
  <c r="V60" i="67" s="1"/>
  <c r="U61" i="67"/>
  <c r="V61" i="67" s="1"/>
  <c r="U62" i="67"/>
  <c r="V62" i="67" s="1"/>
  <c r="U63" i="67"/>
  <c r="V63" i="67" s="1"/>
  <c r="U64" i="67"/>
  <c r="V64" i="67" s="1"/>
  <c r="U65" i="67"/>
  <c r="V65" i="67" s="1"/>
  <c r="U66" i="67"/>
  <c r="V66" i="67" s="1"/>
  <c r="U67" i="67"/>
  <c r="V67" i="67" s="1"/>
  <c r="U68" i="67"/>
  <c r="V68" i="67" s="1"/>
  <c r="U69" i="67"/>
  <c r="V69" i="67" s="1"/>
  <c r="U70" i="67"/>
  <c r="V70" i="67" s="1"/>
  <c r="U71" i="67"/>
  <c r="V71" i="67" s="1"/>
  <c r="U72" i="67"/>
  <c r="V72" i="67" s="1"/>
  <c r="U73" i="67"/>
  <c r="V73" i="67" s="1"/>
  <c r="U74" i="67"/>
  <c r="V74" i="67" s="1"/>
  <c r="U75" i="67"/>
  <c r="V75" i="67" s="1"/>
  <c r="U76" i="67"/>
  <c r="V76" i="67" s="1"/>
  <c r="U77" i="67"/>
  <c r="V77" i="67" s="1"/>
  <c r="U78" i="67"/>
  <c r="V78" i="67" s="1"/>
  <c r="U79" i="67"/>
  <c r="V79" i="67" s="1"/>
  <c r="U80" i="67"/>
  <c r="V80" i="67" s="1"/>
  <c r="U81" i="67"/>
  <c r="V81" i="67" s="1"/>
  <c r="U82" i="67"/>
  <c r="V82" i="67" s="1"/>
  <c r="U83" i="67"/>
  <c r="V83" i="67" s="1"/>
  <c r="U84" i="67"/>
  <c r="V84" i="67" s="1"/>
  <c r="U85" i="67"/>
  <c r="V85" i="67" s="1"/>
  <c r="U86" i="67"/>
  <c r="V86" i="67" s="1"/>
  <c r="U87" i="67"/>
  <c r="V87" i="67" s="1"/>
  <c r="U88" i="67"/>
  <c r="V88" i="67" s="1"/>
  <c r="U89" i="67"/>
  <c r="V89" i="67" s="1"/>
  <c r="U90" i="67"/>
  <c r="V90" i="67" s="1"/>
  <c r="U91" i="67"/>
  <c r="V91" i="67" s="1"/>
  <c r="U92" i="67"/>
  <c r="V92" i="67" s="1"/>
  <c r="U93" i="67"/>
  <c r="V93" i="67" s="1"/>
  <c r="U94" i="67"/>
  <c r="V94" i="67" s="1"/>
  <c r="U95" i="67"/>
  <c r="V95" i="67" s="1"/>
  <c r="U96" i="67"/>
  <c r="V96" i="67" s="1"/>
  <c r="U97" i="67"/>
  <c r="V97" i="67" s="1"/>
  <c r="U98" i="67"/>
  <c r="V98" i="67" s="1"/>
  <c r="U99" i="67"/>
  <c r="V99" i="67" s="1"/>
  <c r="U100" i="67"/>
  <c r="V100" i="67" s="1"/>
  <c r="U101" i="67"/>
  <c r="V101" i="67" s="1"/>
  <c r="U102" i="67"/>
  <c r="V102" i="67" s="1"/>
  <c r="U103" i="67"/>
  <c r="V103" i="67" s="1"/>
  <c r="U104" i="67"/>
  <c r="V104" i="67" s="1"/>
  <c r="U105" i="67"/>
  <c r="V105" i="67" s="1"/>
  <c r="U106" i="67"/>
  <c r="V106" i="67" s="1"/>
  <c r="U107" i="67"/>
  <c r="V107" i="67" s="1"/>
  <c r="U108" i="67"/>
  <c r="V108" i="67" s="1"/>
  <c r="U109" i="67"/>
  <c r="V109" i="67" s="1"/>
  <c r="U11" i="59"/>
  <c r="V11" i="59" s="1"/>
  <c r="U12" i="59"/>
  <c r="V12" i="59" s="1"/>
  <c r="U13" i="59"/>
  <c r="V13" i="59" s="1"/>
  <c r="U14" i="59"/>
  <c r="V14" i="59" s="1"/>
  <c r="U15" i="59"/>
  <c r="V15" i="59" s="1"/>
  <c r="U16" i="59"/>
  <c r="V16" i="59" s="1"/>
  <c r="U17" i="59"/>
  <c r="V17" i="59" s="1"/>
  <c r="U18" i="59"/>
  <c r="V18" i="59" s="1"/>
  <c r="U19" i="59"/>
  <c r="V19" i="59" s="1"/>
  <c r="U20" i="59"/>
  <c r="V20" i="59" s="1"/>
  <c r="U21" i="59"/>
  <c r="V21" i="59" s="1"/>
  <c r="U22" i="59"/>
  <c r="V22" i="59" s="1"/>
  <c r="U23" i="59"/>
  <c r="V23" i="59" s="1"/>
  <c r="U24" i="59"/>
  <c r="V24" i="59" s="1"/>
  <c r="U25" i="59"/>
  <c r="V25" i="59" s="1"/>
  <c r="U26" i="59"/>
  <c r="V26" i="59" s="1"/>
  <c r="U27" i="59"/>
  <c r="V27" i="59" s="1"/>
  <c r="U28" i="59"/>
  <c r="V28" i="59" s="1"/>
  <c r="U29" i="59"/>
  <c r="V29" i="59" s="1"/>
  <c r="U30" i="59"/>
  <c r="V30" i="59" s="1"/>
  <c r="U31" i="59"/>
  <c r="V31" i="59" s="1"/>
  <c r="U32" i="59"/>
  <c r="V32" i="59" s="1"/>
  <c r="U33" i="59"/>
  <c r="V33" i="59" s="1"/>
  <c r="U34" i="59"/>
  <c r="V34" i="59" s="1"/>
  <c r="U35" i="59"/>
  <c r="V35" i="59" s="1"/>
  <c r="U36" i="59"/>
  <c r="V36" i="59" s="1"/>
  <c r="U37" i="59"/>
  <c r="V37" i="59" s="1"/>
  <c r="U38" i="59"/>
  <c r="V38" i="59" s="1"/>
  <c r="U39" i="59"/>
  <c r="V39" i="59" s="1"/>
  <c r="U40" i="59"/>
  <c r="V40" i="59" s="1"/>
  <c r="U41" i="59"/>
  <c r="V41" i="59" s="1"/>
  <c r="U42" i="59"/>
  <c r="V42" i="59" s="1"/>
  <c r="U43" i="59"/>
  <c r="V43" i="59" s="1"/>
  <c r="U44" i="59"/>
  <c r="V44" i="59" s="1"/>
  <c r="U45" i="59"/>
  <c r="V45" i="59" s="1"/>
  <c r="U46" i="59"/>
  <c r="V46" i="59" s="1"/>
  <c r="U47" i="59"/>
  <c r="V47" i="59" s="1"/>
  <c r="U48" i="59"/>
  <c r="V48" i="59" s="1"/>
  <c r="U49" i="59"/>
  <c r="V49" i="59" s="1"/>
  <c r="U50" i="59"/>
  <c r="V50" i="59" s="1"/>
  <c r="U51" i="59"/>
  <c r="V51" i="59" s="1"/>
  <c r="U52" i="59"/>
  <c r="V52" i="59" s="1"/>
  <c r="U53" i="59"/>
  <c r="V53" i="59" s="1"/>
  <c r="U54" i="59"/>
  <c r="V54" i="59" s="1"/>
  <c r="U55" i="59"/>
  <c r="V55" i="59" s="1"/>
  <c r="U56" i="59"/>
  <c r="V56" i="59" s="1"/>
  <c r="U57" i="59"/>
  <c r="V57" i="59" s="1"/>
  <c r="U58" i="59"/>
  <c r="V58" i="59" s="1"/>
  <c r="U59" i="59"/>
  <c r="V59" i="59" s="1"/>
  <c r="U60" i="59"/>
  <c r="V60" i="59" s="1"/>
  <c r="U61" i="59"/>
  <c r="V61" i="59" s="1"/>
  <c r="U62" i="59"/>
  <c r="V62" i="59" s="1"/>
  <c r="U63" i="59"/>
  <c r="V63" i="59" s="1"/>
  <c r="U64" i="59"/>
  <c r="V64" i="59" s="1"/>
  <c r="U65" i="59"/>
  <c r="V65" i="59" s="1"/>
  <c r="U66" i="59"/>
  <c r="V66" i="59" s="1"/>
  <c r="U67" i="59"/>
  <c r="V67" i="59" s="1"/>
  <c r="U68" i="59"/>
  <c r="V68" i="59" s="1"/>
  <c r="U69" i="59"/>
  <c r="V69" i="59" s="1"/>
  <c r="U70" i="59"/>
  <c r="V70" i="59" s="1"/>
  <c r="U71" i="59"/>
  <c r="V71" i="59" s="1"/>
  <c r="U72" i="59"/>
  <c r="V72" i="59" s="1"/>
  <c r="U73" i="59"/>
  <c r="V73" i="59" s="1"/>
  <c r="U74" i="59"/>
  <c r="V74" i="59" s="1"/>
  <c r="U75" i="59"/>
  <c r="V75" i="59" s="1"/>
  <c r="U76" i="59"/>
  <c r="V76" i="59" s="1"/>
  <c r="U77" i="59"/>
  <c r="V77" i="59" s="1"/>
  <c r="U78" i="59"/>
  <c r="V78" i="59" s="1"/>
  <c r="U79" i="59"/>
  <c r="V79" i="59" s="1"/>
  <c r="U80" i="59"/>
  <c r="V80" i="59" s="1"/>
  <c r="U81" i="59"/>
  <c r="V81" i="59" s="1"/>
  <c r="U82" i="59"/>
  <c r="V82" i="59" s="1"/>
  <c r="U83" i="59"/>
  <c r="V83" i="59" s="1"/>
  <c r="U84" i="59"/>
  <c r="V84" i="59" s="1"/>
  <c r="U85" i="59"/>
  <c r="V85" i="59" s="1"/>
  <c r="U86" i="59"/>
  <c r="V86" i="59" s="1"/>
  <c r="U87" i="59"/>
  <c r="V87" i="59" s="1"/>
  <c r="U88" i="59"/>
  <c r="V88" i="59" s="1"/>
  <c r="U89" i="59"/>
  <c r="V89" i="59" s="1"/>
  <c r="U90" i="59"/>
  <c r="V90" i="59" s="1"/>
  <c r="U91" i="59"/>
  <c r="V91" i="59" s="1"/>
  <c r="U92" i="59"/>
  <c r="V92" i="59" s="1"/>
  <c r="U93" i="59"/>
  <c r="V93" i="59" s="1"/>
  <c r="U94" i="59"/>
  <c r="V94" i="59" s="1"/>
  <c r="U95" i="59"/>
  <c r="V95" i="59" s="1"/>
  <c r="U96" i="59"/>
  <c r="V96" i="59" s="1"/>
  <c r="U97" i="59"/>
  <c r="V97" i="59" s="1"/>
  <c r="U98" i="59"/>
  <c r="V98" i="59" s="1"/>
  <c r="U99" i="59"/>
  <c r="V99" i="59" s="1"/>
  <c r="U100" i="59"/>
  <c r="V100" i="59" s="1"/>
  <c r="U101" i="59"/>
  <c r="V101" i="59" s="1"/>
  <c r="U102" i="59"/>
  <c r="V102" i="59" s="1"/>
  <c r="U103" i="59"/>
  <c r="V103" i="59" s="1"/>
  <c r="U104" i="59"/>
  <c r="V104" i="59" s="1"/>
  <c r="U105" i="59"/>
  <c r="V105" i="59" s="1"/>
  <c r="U106" i="59"/>
  <c r="V106" i="59" s="1"/>
  <c r="U107" i="59"/>
  <c r="V107" i="59" s="1"/>
  <c r="U108" i="59"/>
  <c r="V108" i="59" s="1"/>
  <c r="U109" i="59"/>
  <c r="V109" i="59" s="1"/>
  <c r="U10" i="61"/>
  <c r="V10" i="61" s="1"/>
  <c r="U10" i="62"/>
  <c r="V10" i="62" s="1"/>
  <c r="U10" i="63"/>
  <c r="V10" i="63" s="1"/>
  <c r="U10" i="64"/>
  <c r="V10" i="64" s="1"/>
  <c r="U10" i="65"/>
  <c r="V10" i="65" s="1"/>
  <c r="U10" i="66"/>
  <c r="V10" i="66" s="1"/>
  <c r="U10" i="67"/>
  <c r="V10" i="67" s="1"/>
  <c r="U10" i="59"/>
  <c r="V10" i="59" s="1"/>
  <c r="F116" i="50" l="1"/>
  <c r="F111" i="60" s="1"/>
  <c r="F115" i="50"/>
  <c r="F116" i="51"/>
  <c r="F111" i="61" s="1"/>
  <c r="F115" i="51"/>
  <c r="F116" i="52"/>
  <c r="F111" i="62" s="1"/>
  <c r="F115" i="52"/>
  <c r="F116" i="53"/>
  <c r="F111" i="63" s="1"/>
  <c r="F115" i="53"/>
  <c r="F116" i="54"/>
  <c r="F111" i="64" s="1"/>
  <c r="F115" i="54"/>
  <c r="F116" i="56"/>
  <c r="F111" i="65" s="1"/>
  <c r="F115" i="56"/>
  <c r="F116" i="55"/>
  <c r="F111" i="66" s="1"/>
  <c r="F115" i="55"/>
  <c r="F116" i="57"/>
  <c r="F111" i="67" s="1"/>
  <c r="F115" i="57"/>
  <c r="F116" i="38"/>
  <c r="F115" i="38"/>
  <c r="G112" i="54"/>
  <c r="T112" i="38"/>
  <c r="S112" i="38"/>
  <c r="R112" i="38"/>
  <c r="Q112" i="38"/>
  <c r="P112" i="38"/>
  <c r="O112" i="38"/>
  <c r="N112" i="38"/>
  <c r="M112" i="38"/>
  <c r="L112" i="38"/>
  <c r="K112" i="38"/>
  <c r="J112" i="38"/>
  <c r="I112" i="38"/>
  <c r="H112" i="38"/>
  <c r="G112" i="38"/>
  <c r="F112" i="38"/>
  <c r="T111" i="38"/>
  <c r="S111" i="38"/>
  <c r="R111" i="38"/>
  <c r="Q111" i="38"/>
  <c r="P111" i="38"/>
  <c r="O111" i="38"/>
  <c r="N111" i="38"/>
  <c r="M111" i="38"/>
  <c r="L111" i="38"/>
  <c r="K111" i="38"/>
  <c r="J111" i="38"/>
  <c r="I111" i="38"/>
  <c r="H111" i="38"/>
  <c r="G111" i="38"/>
  <c r="F111" i="38"/>
  <c r="T110" i="38"/>
  <c r="S110" i="38"/>
  <c r="R110" i="38"/>
  <c r="Q110" i="38"/>
  <c r="P110" i="38"/>
  <c r="O110" i="38"/>
  <c r="N110" i="38"/>
  <c r="M110" i="38"/>
  <c r="L110" i="38"/>
  <c r="K110" i="38"/>
  <c r="J110" i="38"/>
  <c r="I110" i="38"/>
  <c r="H110" i="38"/>
  <c r="G110" i="38"/>
  <c r="F110" i="38"/>
  <c r="T112" i="50"/>
  <c r="S111" i="50"/>
  <c r="R111" i="50"/>
  <c r="Q111" i="50"/>
  <c r="P111" i="50"/>
  <c r="O111" i="50"/>
  <c r="N111" i="50"/>
  <c r="M111" i="50"/>
  <c r="L111" i="50"/>
  <c r="K111" i="50"/>
  <c r="J111" i="50"/>
  <c r="I111" i="50"/>
  <c r="H111" i="50"/>
  <c r="G111" i="50"/>
  <c r="F111" i="50"/>
  <c r="T111" i="51"/>
  <c r="S111" i="51"/>
  <c r="R112" i="51"/>
  <c r="Q111" i="51"/>
  <c r="P111" i="51"/>
  <c r="O111" i="51"/>
  <c r="N111" i="51"/>
  <c r="M111" i="51"/>
  <c r="L112" i="51"/>
  <c r="K111" i="51"/>
  <c r="J111" i="51"/>
  <c r="I111" i="51"/>
  <c r="H111" i="51"/>
  <c r="G111" i="51"/>
  <c r="F111" i="51"/>
  <c r="T111" i="52"/>
  <c r="S111" i="52"/>
  <c r="R112" i="52"/>
  <c r="Q111" i="52"/>
  <c r="P112" i="52"/>
  <c r="O111" i="52"/>
  <c r="N111" i="52"/>
  <c r="M111" i="52"/>
  <c r="L111" i="52"/>
  <c r="K111" i="52"/>
  <c r="J112" i="52"/>
  <c r="I111" i="52"/>
  <c r="H111" i="52"/>
  <c r="G111" i="52"/>
  <c r="F111" i="52"/>
  <c r="T111" i="53"/>
  <c r="S111" i="53"/>
  <c r="R111" i="53"/>
  <c r="Q111" i="53"/>
  <c r="P112" i="53"/>
  <c r="O111" i="53"/>
  <c r="N112" i="53"/>
  <c r="M111" i="53"/>
  <c r="L111" i="53"/>
  <c r="K111" i="53"/>
  <c r="J111" i="53"/>
  <c r="I111" i="53"/>
  <c r="H112" i="53"/>
  <c r="G111" i="53"/>
  <c r="F111" i="53"/>
  <c r="T111" i="54"/>
  <c r="S111" i="54"/>
  <c r="R111" i="54"/>
  <c r="Q111" i="54"/>
  <c r="P111" i="54"/>
  <c r="O111" i="54"/>
  <c r="N112" i="54"/>
  <c r="M111" i="54"/>
  <c r="L112" i="54"/>
  <c r="K111" i="54"/>
  <c r="J111" i="54"/>
  <c r="I111" i="54"/>
  <c r="H111" i="54"/>
  <c r="G111" i="54"/>
  <c r="F112" i="54"/>
  <c r="T112" i="56"/>
  <c r="S111" i="56"/>
  <c r="R111" i="56"/>
  <c r="Q111" i="56"/>
  <c r="P111" i="56"/>
  <c r="O111" i="56"/>
  <c r="N111" i="56"/>
  <c r="M111" i="56"/>
  <c r="L111" i="56"/>
  <c r="K111" i="56"/>
  <c r="J112" i="56"/>
  <c r="I111" i="56"/>
  <c r="H111" i="56"/>
  <c r="G111" i="56"/>
  <c r="F111" i="56"/>
  <c r="T111" i="55"/>
  <c r="S111" i="55"/>
  <c r="R112" i="55"/>
  <c r="Q111" i="55"/>
  <c r="P111" i="55"/>
  <c r="O111" i="55"/>
  <c r="N111" i="55"/>
  <c r="M111" i="55"/>
  <c r="L111" i="55"/>
  <c r="K111" i="55"/>
  <c r="J111" i="55"/>
  <c r="I111" i="55"/>
  <c r="H112" i="55"/>
  <c r="G111" i="55"/>
  <c r="F111" i="55"/>
  <c r="T111" i="57"/>
  <c r="S111" i="57"/>
  <c r="R111" i="57"/>
  <c r="Q112" i="57"/>
  <c r="P112" i="57"/>
  <c r="O111" i="57"/>
  <c r="N111" i="57"/>
  <c r="M111" i="57"/>
  <c r="L111" i="57"/>
  <c r="K111" i="57"/>
  <c r="J111" i="57"/>
  <c r="I111" i="57"/>
  <c r="H112" i="57"/>
  <c r="G111" i="57"/>
  <c r="F112" i="57"/>
  <c r="U108" i="50"/>
  <c r="U107" i="50"/>
  <c r="U106" i="50"/>
  <c r="U105" i="50"/>
  <c r="U104" i="50"/>
  <c r="U103" i="50"/>
  <c r="U102" i="50"/>
  <c r="U101" i="50"/>
  <c r="U100" i="50"/>
  <c r="U99" i="50"/>
  <c r="U98" i="50"/>
  <c r="U97" i="50"/>
  <c r="U96" i="50"/>
  <c r="U95" i="50"/>
  <c r="U94" i="50"/>
  <c r="U93" i="50"/>
  <c r="U92" i="50"/>
  <c r="U91" i="50"/>
  <c r="U90" i="50"/>
  <c r="U89" i="50"/>
  <c r="U88" i="50"/>
  <c r="U87" i="50"/>
  <c r="U86" i="50"/>
  <c r="U85" i="50"/>
  <c r="U84" i="50"/>
  <c r="U83" i="50"/>
  <c r="U82" i="50"/>
  <c r="U81" i="50"/>
  <c r="U80" i="50"/>
  <c r="U79" i="50"/>
  <c r="U78" i="50"/>
  <c r="U77" i="50"/>
  <c r="U76" i="50"/>
  <c r="U75" i="50"/>
  <c r="U74" i="50"/>
  <c r="U73" i="50"/>
  <c r="U72" i="50"/>
  <c r="U71" i="50"/>
  <c r="U70" i="50"/>
  <c r="U69" i="50"/>
  <c r="U68" i="50"/>
  <c r="U67" i="50"/>
  <c r="U66" i="50"/>
  <c r="U65" i="50"/>
  <c r="U64" i="50"/>
  <c r="U63" i="50"/>
  <c r="U62" i="50"/>
  <c r="U61" i="50"/>
  <c r="U60" i="50"/>
  <c r="U59" i="50"/>
  <c r="U58" i="50"/>
  <c r="U57" i="50"/>
  <c r="U56" i="50"/>
  <c r="U55" i="50"/>
  <c r="U54" i="50"/>
  <c r="U53" i="50"/>
  <c r="U52" i="50"/>
  <c r="U51" i="50"/>
  <c r="U50" i="50"/>
  <c r="U49" i="50"/>
  <c r="U48" i="50"/>
  <c r="U47" i="50"/>
  <c r="U46" i="50"/>
  <c r="U45" i="50"/>
  <c r="U44" i="50"/>
  <c r="U43" i="50"/>
  <c r="U42" i="50"/>
  <c r="U41" i="50"/>
  <c r="U40" i="50"/>
  <c r="U39" i="50"/>
  <c r="U38" i="50"/>
  <c r="U37" i="50"/>
  <c r="U36" i="50"/>
  <c r="U35" i="50"/>
  <c r="U34" i="50"/>
  <c r="U33" i="50"/>
  <c r="U32" i="50"/>
  <c r="U31" i="50"/>
  <c r="U30" i="50"/>
  <c r="U29" i="50"/>
  <c r="U28" i="50"/>
  <c r="U27" i="50"/>
  <c r="U26" i="50"/>
  <c r="U25" i="50"/>
  <c r="U24" i="50"/>
  <c r="U23" i="50"/>
  <c r="U22" i="50"/>
  <c r="U21" i="50"/>
  <c r="U20" i="50"/>
  <c r="U19" i="50"/>
  <c r="U18" i="50"/>
  <c r="U17" i="50"/>
  <c r="U16" i="50"/>
  <c r="U15" i="50"/>
  <c r="U14" i="50"/>
  <c r="U13" i="50"/>
  <c r="U12" i="50"/>
  <c r="U11" i="50"/>
  <c r="U10" i="50"/>
  <c r="U108" i="51"/>
  <c r="U107" i="51"/>
  <c r="U106" i="51"/>
  <c r="U105" i="51"/>
  <c r="U104" i="51"/>
  <c r="U103" i="51"/>
  <c r="U102" i="51"/>
  <c r="U101" i="51"/>
  <c r="U100" i="51"/>
  <c r="U99" i="51"/>
  <c r="U98" i="51"/>
  <c r="U97" i="51"/>
  <c r="U96" i="51"/>
  <c r="U95" i="51"/>
  <c r="U94" i="51"/>
  <c r="U93" i="51"/>
  <c r="U92" i="51"/>
  <c r="U91" i="51"/>
  <c r="U90" i="51"/>
  <c r="U89" i="51"/>
  <c r="U88" i="51"/>
  <c r="U87" i="51"/>
  <c r="U86" i="51"/>
  <c r="U85" i="51"/>
  <c r="U84" i="51"/>
  <c r="U83" i="51"/>
  <c r="U82" i="51"/>
  <c r="U81" i="51"/>
  <c r="U80" i="51"/>
  <c r="U79" i="51"/>
  <c r="U78" i="51"/>
  <c r="U77" i="51"/>
  <c r="U76" i="51"/>
  <c r="U75" i="51"/>
  <c r="U74" i="51"/>
  <c r="U73" i="51"/>
  <c r="U72" i="51"/>
  <c r="U71" i="51"/>
  <c r="U70" i="51"/>
  <c r="U69" i="51"/>
  <c r="U68" i="51"/>
  <c r="U67" i="51"/>
  <c r="U66" i="51"/>
  <c r="U65" i="51"/>
  <c r="U64" i="51"/>
  <c r="U63" i="51"/>
  <c r="U62" i="51"/>
  <c r="U61" i="51"/>
  <c r="U60" i="51"/>
  <c r="U59" i="51"/>
  <c r="U58" i="51"/>
  <c r="U57" i="51"/>
  <c r="U56" i="51"/>
  <c r="U55" i="51"/>
  <c r="U54" i="51"/>
  <c r="U53" i="51"/>
  <c r="U52" i="51"/>
  <c r="U51" i="51"/>
  <c r="U50" i="51"/>
  <c r="U49" i="51"/>
  <c r="U48" i="51"/>
  <c r="U47" i="51"/>
  <c r="U46" i="51"/>
  <c r="U45" i="51"/>
  <c r="U44" i="51"/>
  <c r="U43" i="51"/>
  <c r="U42" i="51"/>
  <c r="U41" i="51"/>
  <c r="U40" i="51"/>
  <c r="U39" i="51"/>
  <c r="U38" i="51"/>
  <c r="U37" i="51"/>
  <c r="U36" i="51"/>
  <c r="U35" i="51"/>
  <c r="U34" i="51"/>
  <c r="U33" i="51"/>
  <c r="U32" i="51"/>
  <c r="U31" i="51"/>
  <c r="U30" i="51"/>
  <c r="U29" i="51"/>
  <c r="U28" i="51"/>
  <c r="U27" i="51"/>
  <c r="U26" i="51"/>
  <c r="U25" i="51"/>
  <c r="U24" i="51"/>
  <c r="U23" i="51"/>
  <c r="U22" i="51"/>
  <c r="U21" i="51"/>
  <c r="U20" i="51"/>
  <c r="U19" i="51"/>
  <c r="U18" i="51"/>
  <c r="U17" i="51"/>
  <c r="U16" i="51"/>
  <c r="U15" i="51"/>
  <c r="U14" i="51"/>
  <c r="U13" i="51"/>
  <c r="U12" i="51"/>
  <c r="U11" i="51"/>
  <c r="U10" i="51"/>
  <c r="U108" i="52"/>
  <c r="U107" i="52"/>
  <c r="U106" i="52"/>
  <c r="U105" i="52"/>
  <c r="U104" i="52"/>
  <c r="U103" i="52"/>
  <c r="U102" i="52"/>
  <c r="U101" i="52"/>
  <c r="U100" i="52"/>
  <c r="U99" i="52"/>
  <c r="U98" i="52"/>
  <c r="U97" i="52"/>
  <c r="U96" i="52"/>
  <c r="U95" i="52"/>
  <c r="U94" i="52"/>
  <c r="U93" i="52"/>
  <c r="U92" i="52"/>
  <c r="U91" i="52"/>
  <c r="U90" i="52"/>
  <c r="U89" i="52"/>
  <c r="U88" i="52"/>
  <c r="U87" i="52"/>
  <c r="U86" i="52"/>
  <c r="U85" i="52"/>
  <c r="U84" i="52"/>
  <c r="U83" i="52"/>
  <c r="U82" i="52"/>
  <c r="U81" i="52"/>
  <c r="U80" i="52"/>
  <c r="U79" i="52"/>
  <c r="U78" i="52"/>
  <c r="U77" i="52"/>
  <c r="U76" i="52"/>
  <c r="U75" i="52"/>
  <c r="U74" i="52"/>
  <c r="U73" i="52"/>
  <c r="U72" i="52"/>
  <c r="U71" i="52"/>
  <c r="U70" i="52"/>
  <c r="U69" i="52"/>
  <c r="U68" i="52"/>
  <c r="U67" i="52"/>
  <c r="U66" i="52"/>
  <c r="U65" i="52"/>
  <c r="U64" i="52"/>
  <c r="U63" i="52"/>
  <c r="U62" i="52"/>
  <c r="U61" i="52"/>
  <c r="U60" i="52"/>
  <c r="U59" i="52"/>
  <c r="U58" i="52"/>
  <c r="U57" i="52"/>
  <c r="U56" i="52"/>
  <c r="U55" i="52"/>
  <c r="U54" i="52"/>
  <c r="U53" i="52"/>
  <c r="U52" i="52"/>
  <c r="U51" i="52"/>
  <c r="U50" i="52"/>
  <c r="U49" i="52"/>
  <c r="U48" i="52"/>
  <c r="U47" i="52"/>
  <c r="U46" i="52"/>
  <c r="U45" i="52"/>
  <c r="U44" i="52"/>
  <c r="U43" i="52"/>
  <c r="U42" i="52"/>
  <c r="U41" i="52"/>
  <c r="U40" i="52"/>
  <c r="U39" i="52"/>
  <c r="U38" i="52"/>
  <c r="U37" i="52"/>
  <c r="U36" i="52"/>
  <c r="U35" i="52"/>
  <c r="U34" i="52"/>
  <c r="U33" i="52"/>
  <c r="U32" i="52"/>
  <c r="U31" i="52"/>
  <c r="U30" i="52"/>
  <c r="U29" i="52"/>
  <c r="U28" i="52"/>
  <c r="U27" i="52"/>
  <c r="U26" i="52"/>
  <c r="U25" i="52"/>
  <c r="U24" i="52"/>
  <c r="U23" i="52"/>
  <c r="U22" i="52"/>
  <c r="U21" i="52"/>
  <c r="U20" i="52"/>
  <c r="U19" i="52"/>
  <c r="U18" i="52"/>
  <c r="U17" i="52"/>
  <c r="U16" i="52"/>
  <c r="U15" i="52"/>
  <c r="U14" i="52"/>
  <c r="U13" i="52"/>
  <c r="U12" i="52"/>
  <c r="U11" i="52"/>
  <c r="U10" i="52"/>
  <c r="U108" i="53"/>
  <c r="U107" i="53"/>
  <c r="U106" i="53"/>
  <c r="U105" i="53"/>
  <c r="U104" i="53"/>
  <c r="U103" i="53"/>
  <c r="U102" i="53"/>
  <c r="U101" i="53"/>
  <c r="U100" i="53"/>
  <c r="U99" i="53"/>
  <c r="U98" i="53"/>
  <c r="U97" i="53"/>
  <c r="U96" i="53"/>
  <c r="U95" i="53"/>
  <c r="U94" i="53"/>
  <c r="U93" i="53"/>
  <c r="U92" i="53"/>
  <c r="U91" i="53"/>
  <c r="U90" i="53"/>
  <c r="U89" i="53"/>
  <c r="U88" i="53"/>
  <c r="U87" i="53"/>
  <c r="U86" i="53"/>
  <c r="U85" i="53"/>
  <c r="U84" i="53"/>
  <c r="U83" i="53"/>
  <c r="U82" i="53"/>
  <c r="U81" i="53"/>
  <c r="U80" i="53"/>
  <c r="U79" i="53"/>
  <c r="U78" i="53"/>
  <c r="U77" i="53"/>
  <c r="U76" i="53"/>
  <c r="U75" i="53"/>
  <c r="U74" i="53"/>
  <c r="U73" i="53"/>
  <c r="U72" i="53"/>
  <c r="U71" i="53"/>
  <c r="U70" i="53"/>
  <c r="U69" i="53"/>
  <c r="U68" i="53"/>
  <c r="U67" i="53"/>
  <c r="U66" i="53"/>
  <c r="U65" i="53"/>
  <c r="U64" i="53"/>
  <c r="U63" i="53"/>
  <c r="U62" i="53"/>
  <c r="U61" i="53"/>
  <c r="U60" i="53"/>
  <c r="U59" i="53"/>
  <c r="U58" i="53"/>
  <c r="U57" i="53"/>
  <c r="U56" i="53"/>
  <c r="U55" i="53"/>
  <c r="U54" i="53"/>
  <c r="U53" i="53"/>
  <c r="U52" i="53"/>
  <c r="U51" i="53"/>
  <c r="U50" i="53"/>
  <c r="U49" i="53"/>
  <c r="U48" i="53"/>
  <c r="U47" i="53"/>
  <c r="U46" i="53"/>
  <c r="U45" i="53"/>
  <c r="U44" i="53"/>
  <c r="U43" i="53"/>
  <c r="U42" i="53"/>
  <c r="U41" i="53"/>
  <c r="U40" i="53"/>
  <c r="U39" i="53"/>
  <c r="U38" i="53"/>
  <c r="U37" i="53"/>
  <c r="U36" i="53"/>
  <c r="U35" i="53"/>
  <c r="U34" i="53"/>
  <c r="U33" i="53"/>
  <c r="U32" i="53"/>
  <c r="U31" i="53"/>
  <c r="U30" i="53"/>
  <c r="U29" i="53"/>
  <c r="U28" i="53"/>
  <c r="U27" i="53"/>
  <c r="U26" i="53"/>
  <c r="U25" i="53"/>
  <c r="U24" i="53"/>
  <c r="U23" i="53"/>
  <c r="U22" i="53"/>
  <c r="U21" i="53"/>
  <c r="U20" i="53"/>
  <c r="U19" i="53"/>
  <c r="U18" i="53"/>
  <c r="U17" i="53"/>
  <c r="U16" i="53"/>
  <c r="U15" i="53"/>
  <c r="U14" i="53"/>
  <c r="U13" i="53"/>
  <c r="U12" i="53"/>
  <c r="U11" i="53"/>
  <c r="U10" i="53"/>
  <c r="U108" i="54"/>
  <c r="U107" i="54"/>
  <c r="U106" i="54"/>
  <c r="U105" i="54"/>
  <c r="U104" i="54"/>
  <c r="U103" i="54"/>
  <c r="U102" i="54"/>
  <c r="U101" i="54"/>
  <c r="U100" i="54"/>
  <c r="U99" i="54"/>
  <c r="U98" i="54"/>
  <c r="U97" i="54"/>
  <c r="U96" i="54"/>
  <c r="U95" i="54"/>
  <c r="U94" i="54"/>
  <c r="U93" i="54"/>
  <c r="U92" i="54"/>
  <c r="U91" i="54"/>
  <c r="U90" i="54"/>
  <c r="U89" i="54"/>
  <c r="U88" i="54"/>
  <c r="U87" i="54"/>
  <c r="U86" i="54"/>
  <c r="U85" i="54"/>
  <c r="U84" i="54"/>
  <c r="U83" i="54"/>
  <c r="U82" i="54"/>
  <c r="U81" i="54"/>
  <c r="U80" i="54"/>
  <c r="U79" i="54"/>
  <c r="U78" i="54"/>
  <c r="U77" i="54"/>
  <c r="U76" i="54"/>
  <c r="U75" i="54"/>
  <c r="U74" i="54"/>
  <c r="U73" i="54"/>
  <c r="U72" i="54"/>
  <c r="U71" i="54"/>
  <c r="U70" i="54"/>
  <c r="U69" i="54"/>
  <c r="U68" i="54"/>
  <c r="U67" i="54"/>
  <c r="U66" i="54"/>
  <c r="U65" i="54"/>
  <c r="U64" i="54"/>
  <c r="U63" i="54"/>
  <c r="U62" i="54"/>
  <c r="U61" i="54"/>
  <c r="U60" i="54"/>
  <c r="U59" i="54"/>
  <c r="U58" i="54"/>
  <c r="U57" i="54"/>
  <c r="U56" i="54"/>
  <c r="U55" i="54"/>
  <c r="U54" i="54"/>
  <c r="U53" i="54"/>
  <c r="U52" i="54"/>
  <c r="U51" i="54"/>
  <c r="U50" i="54"/>
  <c r="U49" i="54"/>
  <c r="U48" i="54"/>
  <c r="U47" i="54"/>
  <c r="U46" i="54"/>
  <c r="U45" i="54"/>
  <c r="U44" i="54"/>
  <c r="U43" i="54"/>
  <c r="U42" i="54"/>
  <c r="U41" i="54"/>
  <c r="U40" i="54"/>
  <c r="U39" i="54"/>
  <c r="U38" i="54"/>
  <c r="U37" i="54"/>
  <c r="U36" i="54"/>
  <c r="U35" i="54"/>
  <c r="U34" i="54"/>
  <c r="U33" i="54"/>
  <c r="U32" i="54"/>
  <c r="U31" i="54"/>
  <c r="U30" i="54"/>
  <c r="U29" i="54"/>
  <c r="U28" i="54"/>
  <c r="U27" i="54"/>
  <c r="U26" i="54"/>
  <c r="U25" i="54"/>
  <c r="U24" i="54"/>
  <c r="U23" i="54"/>
  <c r="U22" i="54"/>
  <c r="U21" i="54"/>
  <c r="U20" i="54"/>
  <c r="U19" i="54"/>
  <c r="U18" i="54"/>
  <c r="U17" i="54"/>
  <c r="U16" i="54"/>
  <c r="U15" i="54"/>
  <c r="U14" i="54"/>
  <c r="U13" i="54"/>
  <c r="U12" i="54"/>
  <c r="U11" i="54"/>
  <c r="U10" i="54"/>
  <c r="U108" i="56"/>
  <c r="U107" i="56"/>
  <c r="U106" i="56"/>
  <c r="U105" i="56"/>
  <c r="U104" i="56"/>
  <c r="U103" i="56"/>
  <c r="U102" i="56"/>
  <c r="U101" i="56"/>
  <c r="U100" i="56"/>
  <c r="U99" i="56"/>
  <c r="U98" i="56"/>
  <c r="U97" i="56"/>
  <c r="U96" i="56"/>
  <c r="U95" i="56"/>
  <c r="U94" i="56"/>
  <c r="U93" i="56"/>
  <c r="U92" i="56"/>
  <c r="U91" i="56"/>
  <c r="U90" i="56"/>
  <c r="U89" i="56"/>
  <c r="U88" i="56"/>
  <c r="U87" i="56"/>
  <c r="U86" i="56"/>
  <c r="U85" i="56"/>
  <c r="U84" i="56"/>
  <c r="U83" i="56"/>
  <c r="U82" i="56"/>
  <c r="U81" i="56"/>
  <c r="U80" i="56"/>
  <c r="U79" i="56"/>
  <c r="U78" i="56"/>
  <c r="U77" i="56"/>
  <c r="U76" i="56"/>
  <c r="U75" i="56"/>
  <c r="U74" i="56"/>
  <c r="U73" i="56"/>
  <c r="U72" i="56"/>
  <c r="U71" i="56"/>
  <c r="U70" i="56"/>
  <c r="U69" i="56"/>
  <c r="U68" i="56"/>
  <c r="U67" i="56"/>
  <c r="U66" i="56"/>
  <c r="U65" i="56"/>
  <c r="U64" i="56"/>
  <c r="U63" i="56"/>
  <c r="U62" i="56"/>
  <c r="U61" i="56"/>
  <c r="U60" i="56"/>
  <c r="U59" i="56"/>
  <c r="U58" i="56"/>
  <c r="U57" i="56"/>
  <c r="U56" i="56"/>
  <c r="U55" i="56"/>
  <c r="U54" i="56"/>
  <c r="U53" i="56"/>
  <c r="U52" i="56"/>
  <c r="U51" i="56"/>
  <c r="U50" i="56"/>
  <c r="U49" i="56"/>
  <c r="U48" i="56"/>
  <c r="U47" i="56"/>
  <c r="U46" i="56"/>
  <c r="U45" i="56"/>
  <c r="U44" i="56"/>
  <c r="U43" i="56"/>
  <c r="U42" i="56"/>
  <c r="U41" i="56"/>
  <c r="U40" i="56"/>
  <c r="U39" i="56"/>
  <c r="U38" i="56"/>
  <c r="U37" i="56"/>
  <c r="U36" i="56"/>
  <c r="U35" i="56"/>
  <c r="U34" i="56"/>
  <c r="U33" i="56"/>
  <c r="U32" i="56"/>
  <c r="U31" i="56"/>
  <c r="U30" i="56"/>
  <c r="U29" i="56"/>
  <c r="U28" i="56"/>
  <c r="U27" i="56"/>
  <c r="U26" i="56"/>
  <c r="U25" i="56"/>
  <c r="U24" i="56"/>
  <c r="U23" i="56"/>
  <c r="U22" i="56"/>
  <c r="U21" i="56"/>
  <c r="U20" i="56"/>
  <c r="U19" i="56"/>
  <c r="U18" i="56"/>
  <c r="U17" i="56"/>
  <c r="U16" i="56"/>
  <c r="U15" i="56"/>
  <c r="U14" i="56"/>
  <c r="U13" i="56"/>
  <c r="U12" i="56"/>
  <c r="U11" i="56"/>
  <c r="U10" i="56"/>
  <c r="U108" i="55"/>
  <c r="U107" i="55"/>
  <c r="U106" i="55"/>
  <c r="U105" i="55"/>
  <c r="U104" i="55"/>
  <c r="U103" i="55"/>
  <c r="U102" i="55"/>
  <c r="U101" i="55"/>
  <c r="U100" i="55"/>
  <c r="U99" i="55"/>
  <c r="U98" i="55"/>
  <c r="U97" i="55"/>
  <c r="U96" i="55"/>
  <c r="U95" i="55"/>
  <c r="U94" i="55"/>
  <c r="U93" i="55"/>
  <c r="U92" i="55"/>
  <c r="U91" i="55"/>
  <c r="U90" i="55"/>
  <c r="U89" i="55"/>
  <c r="U88" i="55"/>
  <c r="U87" i="55"/>
  <c r="U86" i="55"/>
  <c r="U85" i="55"/>
  <c r="U84" i="55"/>
  <c r="U83" i="55"/>
  <c r="U82" i="55"/>
  <c r="U81" i="55"/>
  <c r="U80" i="55"/>
  <c r="U79" i="55"/>
  <c r="U78" i="55"/>
  <c r="U77" i="55"/>
  <c r="U76" i="55"/>
  <c r="U75" i="55"/>
  <c r="U74" i="55"/>
  <c r="U73" i="55"/>
  <c r="U72" i="55"/>
  <c r="U71" i="55"/>
  <c r="U70" i="55"/>
  <c r="U69" i="55"/>
  <c r="U68" i="55"/>
  <c r="U67" i="55"/>
  <c r="U66" i="55"/>
  <c r="U65" i="55"/>
  <c r="U64" i="55"/>
  <c r="U63" i="55"/>
  <c r="U62" i="55"/>
  <c r="U61" i="55"/>
  <c r="U60" i="55"/>
  <c r="U59" i="55"/>
  <c r="U58" i="55"/>
  <c r="U57" i="55"/>
  <c r="U56" i="55"/>
  <c r="U55" i="55"/>
  <c r="U54" i="55"/>
  <c r="U53" i="55"/>
  <c r="U52" i="55"/>
  <c r="U51" i="55"/>
  <c r="U50" i="55"/>
  <c r="U49" i="55"/>
  <c r="U48" i="55"/>
  <c r="U47" i="55"/>
  <c r="U46" i="55"/>
  <c r="U45" i="55"/>
  <c r="U44" i="55"/>
  <c r="U43" i="55"/>
  <c r="U42" i="55"/>
  <c r="U41" i="55"/>
  <c r="U40" i="55"/>
  <c r="U39" i="55"/>
  <c r="U38" i="55"/>
  <c r="U37" i="55"/>
  <c r="U36" i="55"/>
  <c r="U35" i="55"/>
  <c r="U34" i="55"/>
  <c r="U33" i="55"/>
  <c r="U32" i="55"/>
  <c r="U31" i="55"/>
  <c r="U30" i="55"/>
  <c r="U29" i="55"/>
  <c r="U28" i="55"/>
  <c r="U27" i="55"/>
  <c r="U26" i="55"/>
  <c r="U25" i="55"/>
  <c r="U24" i="55"/>
  <c r="U23" i="55"/>
  <c r="U22" i="55"/>
  <c r="U21" i="55"/>
  <c r="U20" i="55"/>
  <c r="U19" i="55"/>
  <c r="U18" i="55"/>
  <c r="U17" i="55"/>
  <c r="U16" i="55"/>
  <c r="U15" i="55"/>
  <c r="U14" i="55"/>
  <c r="U13" i="55"/>
  <c r="U12" i="55"/>
  <c r="U11" i="55"/>
  <c r="U10" i="55"/>
  <c r="U108" i="57"/>
  <c r="U107" i="57"/>
  <c r="U106" i="57"/>
  <c r="U105" i="57"/>
  <c r="U104" i="57"/>
  <c r="U103" i="57"/>
  <c r="U102" i="57"/>
  <c r="U101" i="57"/>
  <c r="U100" i="57"/>
  <c r="U99" i="57"/>
  <c r="U98" i="57"/>
  <c r="U97" i="57"/>
  <c r="U96" i="57"/>
  <c r="U95" i="57"/>
  <c r="U94" i="57"/>
  <c r="U93" i="57"/>
  <c r="U92" i="57"/>
  <c r="U91" i="57"/>
  <c r="U90" i="57"/>
  <c r="U89" i="57"/>
  <c r="U88" i="57"/>
  <c r="U87" i="57"/>
  <c r="U86" i="57"/>
  <c r="U85" i="57"/>
  <c r="U84" i="57"/>
  <c r="U83" i="57"/>
  <c r="U82" i="57"/>
  <c r="U81" i="57"/>
  <c r="U80" i="57"/>
  <c r="U79" i="57"/>
  <c r="U78" i="57"/>
  <c r="U77" i="57"/>
  <c r="U76" i="57"/>
  <c r="U75" i="57"/>
  <c r="U74" i="57"/>
  <c r="U73" i="57"/>
  <c r="U72" i="57"/>
  <c r="U71" i="57"/>
  <c r="U70" i="57"/>
  <c r="U69" i="57"/>
  <c r="U68" i="57"/>
  <c r="U67" i="57"/>
  <c r="U66" i="57"/>
  <c r="U65" i="57"/>
  <c r="U64" i="57"/>
  <c r="U63" i="57"/>
  <c r="U62" i="57"/>
  <c r="U61" i="57"/>
  <c r="U60" i="57"/>
  <c r="U59" i="57"/>
  <c r="U58" i="57"/>
  <c r="U57" i="57"/>
  <c r="U56" i="57"/>
  <c r="U55" i="57"/>
  <c r="U54" i="57"/>
  <c r="U53" i="57"/>
  <c r="U52" i="57"/>
  <c r="U51" i="57"/>
  <c r="U50" i="57"/>
  <c r="U49" i="57"/>
  <c r="U48" i="57"/>
  <c r="U47" i="57"/>
  <c r="U46" i="57"/>
  <c r="U45" i="57"/>
  <c r="U44" i="57"/>
  <c r="U43" i="57"/>
  <c r="U42" i="57"/>
  <c r="U41" i="57"/>
  <c r="U40" i="57"/>
  <c r="U39" i="57"/>
  <c r="U38" i="57"/>
  <c r="U37" i="57"/>
  <c r="U36" i="57"/>
  <c r="U35" i="57"/>
  <c r="U34" i="57"/>
  <c r="U33" i="57"/>
  <c r="U32" i="57"/>
  <c r="U31" i="57"/>
  <c r="U30" i="57"/>
  <c r="U29" i="57"/>
  <c r="U28" i="57"/>
  <c r="U27" i="57"/>
  <c r="U26" i="57"/>
  <c r="U25" i="57"/>
  <c r="U24" i="57"/>
  <c r="U23" i="57"/>
  <c r="U22" i="57"/>
  <c r="U21" i="57"/>
  <c r="U20" i="57"/>
  <c r="U19" i="57"/>
  <c r="U18" i="57"/>
  <c r="U17" i="57"/>
  <c r="U16" i="57"/>
  <c r="U15" i="57"/>
  <c r="U14" i="57"/>
  <c r="U13" i="57"/>
  <c r="U12" i="57"/>
  <c r="U11" i="57"/>
  <c r="U10" i="57"/>
  <c r="U109" i="38"/>
  <c r="U108" i="38"/>
  <c r="U107" i="38"/>
  <c r="U106" i="38"/>
  <c r="U105" i="38"/>
  <c r="U104" i="38"/>
  <c r="U103" i="38"/>
  <c r="U102" i="38"/>
  <c r="U101" i="38"/>
  <c r="U100" i="38"/>
  <c r="U99" i="38"/>
  <c r="U98" i="38"/>
  <c r="U97" i="38"/>
  <c r="U96" i="38"/>
  <c r="U95" i="38"/>
  <c r="U94" i="38"/>
  <c r="U93" i="38"/>
  <c r="U92" i="38"/>
  <c r="U91" i="38"/>
  <c r="U90" i="38"/>
  <c r="U89" i="38"/>
  <c r="U88" i="38"/>
  <c r="U87" i="38"/>
  <c r="U86" i="38"/>
  <c r="U85" i="38"/>
  <c r="U84" i="38"/>
  <c r="U83" i="38"/>
  <c r="U82" i="38"/>
  <c r="U81" i="38"/>
  <c r="U80" i="38"/>
  <c r="U79" i="38"/>
  <c r="U78" i="38"/>
  <c r="U77" i="38"/>
  <c r="U76" i="38"/>
  <c r="U75" i="38"/>
  <c r="U74" i="38"/>
  <c r="U73" i="38"/>
  <c r="U72" i="38"/>
  <c r="U71" i="38"/>
  <c r="U70" i="38"/>
  <c r="U69" i="38"/>
  <c r="U68" i="38"/>
  <c r="U67" i="38"/>
  <c r="U66" i="38"/>
  <c r="U65" i="38"/>
  <c r="U64" i="38"/>
  <c r="U63" i="38"/>
  <c r="U62" i="38"/>
  <c r="U61" i="38"/>
  <c r="U60" i="38"/>
  <c r="U59" i="38"/>
  <c r="U58" i="38"/>
  <c r="U57" i="38"/>
  <c r="U56" i="38"/>
  <c r="U55" i="38"/>
  <c r="U54" i="38"/>
  <c r="U53" i="38"/>
  <c r="U52" i="38"/>
  <c r="U51" i="38"/>
  <c r="U50" i="38"/>
  <c r="U49" i="38"/>
  <c r="U48" i="38"/>
  <c r="U47" i="38"/>
  <c r="U46" i="38"/>
  <c r="U45" i="38"/>
  <c r="U44" i="38"/>
  <c r="U43" i="38"/>
  <c r="U42" i="38"/>
  <c r="U41" i="38"/>
  <c r="U40" i="38"/>
  <c r="U39" i="38"/>
  <c r="U38" i="38"/>
  <c r="U37" i="38"/>
  <c r="U36" i="38"/>
  <c r="U35" i="38"/>
  <c r="U34" i="38"/>
  <c r="U33" i="38"/>
  <c r="U32" i="38"/>
  <c r="U31" i="38"/>
  <c r="U30" i="38"/>
  <c r="U29" i="38"/>
  <c r="U28" i="38"/>
  <c r="U27" i="38"/>
  <c r="U26" i="38"/>
  <c r="U25" i="38"/>
  <c r="U24" i="38"/>
  <c r="U23" i="38"/>
  <c r="U22" i="38"/>
  <c r="U21" i="38"/>
  <c r="U20" i="38"/>
  <c r="U19" i="38"/>
  <c r="U18" i="38"/>
  <c r="U17" i="38"/>
  <c r="U16" i="38"/>
  <c r="U15" i="38"/>
  <c r="U14" i="38"/>
  <c r="U13" i="38"/>
  <c r="U12" i="38"/>
  <c r="U11" i="38"/>
  <c r="U10" i="38"/>
  <c r="F118" i="57" l="1"/>
  <c r="F113" i="67" s="1"/>
  <c r="F110" i="67"/>
  <c r="F118" i="55"/>
  <c r="F113" i="66" s="1"/>
  <c r="F110" i="66"/>
  <c r="F118" i="56"/>
  <c r="F113" i="65" s="1"/>
  <c r="F110" i="65"/>
  <c r="F118" i="54"/>
  <c r="F113" i="64" s="1"/>
  <c r="F110" i="64"/>
  <c r="F118" i="53"/>
  <c r="F113" i="63" s="1"/>
  <c r="F110" i="63"/>
  <c r="F118" i="52"/>
  <c r="F113" i="62" s="1"/>
  <c r="F110" i="62"/>
  <c r="F118" i="51"/>
  <c r="F113" i="61" s="1"/>
  <c r="F110" i="61"/>
  <c r="F118" i="50"/>
  <c r="F113" i="60" s="1"/>
  <c r="F110" i="60"/>
  <c r="F111" i="59"/>
  <c r="F118" i="38"/>
  <c r="F110" i="59"/>
  <c r="F114" i="38"/>
  <c r="F113" i="38"/>
  <c r="N110" i="54"/>
  <c r="L110" i="51"/>
  <c r="F111" i="54"/>
  <c r="L111" i="51"/>
  <c r="N111" i="54"/>
  <c r="M112" i="51"/>
  <c r="O112" i="54"/>
  <c r="H110" i="53"/>
  <c r="P110" i="53"/>
  <c r="H110" i="57"/>
  <c r="H111" i="53"/>
  <c r="P110" i="57"/>
  <c r="P111" i="53"/>
  <c r="H111" i="57"/>
  <c r="I112" i="53"/>
  <c r="U110" i="38"/>
  <c r="P111" i="57"/>
  <c r="Q112" i="53"/>
  <c r="S112" i="55"/>
  <c r="J110" i="52"/>
  <c r="T110" i="56"/>
  <c r="R110" i="52"/>
  <c r="T111" i="56"/>
  <c r="J111" i="52"/>
  <c r="M112" i="56"/>
  <c r="R111" i="52"/>
  <c r="F110" i="54"/>
  <c r="K112" i="52"/>
  <c r="F110" i="57"/>
  <c r="F111" i="57"/>
  <c r="G112" i="57"/>
  <c r="H110" i="55"/>
  <c r="H111" i="55"/>
  <c r="I112" i="55"/>
  <c r="J110" i="56"/>
  <c r="J111" i="56"/>
  <c r="K112" i="56"/>
  <c r="L110" i="54"/>
  <c r="L111" i="54"/>
  <c r="M112" i="54"/>
  <c r="N110" i="53"/>
  <c r="N111" i="53"/>
  <c r="O112" i="53"/>
  <c r="P110" i="52"/>
  <c r="P111" i="52"/>
  <c r="Q112" i="52"/>
  <c r="R110" i="51"/>
  <c r="R111" i="51"/>
  <c r="S112" i="51"/>
  <c r="T110" i="50"/>
  <c r="T111" i="50"/>
  <c r="F113" i="50" s="1"/>
  <c r="R111" i="55"/>
  <c r="G110" i="57"/>
  <c r="I110" i="55"/>
  <c r="J112" i="55"/>
  <c r="K110" i="56"/>
  <c r="L112" i="56"/>
  <c r="M110" i="54"/>
  <c r="O110" i="53"/>
  <c r="Q110" i="52"/>
  <c r="S110" i="51"/>
  <c r="T112" i="51"/>
  <c r="F112" i="50"/>
  <c r="I112" i="57"/>
  <c r="J110" i="55"/>
  <c r="K112" i="55"/>
  <c r="L110" i="56"/>
  <c r="S112" i="52"/>
  <c r="T110" i="51"/>
  <c r="F110" i="50"/>
  <c r="G112" i="50"/>
  <c r="I110" i="57"/>
  <c r="J112" i="57"/>
  <c r="K110" i="55"/>
  <c r="L112" i="55"/>
  <c r="M110" i="56"/>
  <c r="N112" i="56"/>
  <c r="O110" i="54"/>
  <c r="P112" i="54"/>
  <c r="Q110" i="53"/>
  <c r="R112" i="53"/>
  <c r="S110" i="52"/>
  <c r="T112" i="52"/>
  <c r="F112" i="51"/>
  <c r="G110" i="50"/>
  <c r="H112" i="50"/>
  <c r="R110" i="55"/>
  <c r="J110" i="57"/>
  <c r="K112" i="57"/>
  <c r="L110" i="55"/>
  <c r="M112" i="55"/>
  <c r="N110" i="56"/>
  <c r="O112" i="56"/>
  <c r="P110" i="54"/>
  <c r="Q112" i="54"/>
  <c r="R110" i="53"/>
  <c r="S112" i="53"/>
  <c r="T110" i="52"/>
  <c r="F110" i="51"/>
  <c r="G112" i="51"/>
  <c r="H110" i="50"/>
  <c r="I112" i="50"/>
  <c r="K110" i="57"/>
  <c r="L112" i="57"/>
  <c r="M110" i="55"/>
  <c r="N112" i="55"/>
  <c r="O110" i="56"/>
  <c r="P112" i="56"/>
  <c r="Q110" i="54"/>
  <c r="R112" i="54"/>
  <c r="S110" i="53"/>
  <c r="T112" i="53"/>
  <c r="F112" i="52"/>
  <c r="G110" i="51"/>
  <c r="H112" i="51"/>
  <c r="I110" i="50"/>
  <c r="J112" i="50"/>
  <c r="L110" i="57"/>
  <c r="M112" i="57"/>
  <c r="N110" i="55"/>
  <c r="O112" i="55"/>
  <c r="P110" i="56"/>
  <c r="Q112" i="56"/>
  <c r="R110" i="54"/>
  <c r="S112" i="54"/>
  <c r="T110" i="53"/>
  <c r="F110" i="52"/>
  <c r="G112" i="52"/>
  <c r="H110" i="51"/>
  <c r="I112" i="51"/>
  <c r="J110" i="50"/>
  <c r="K112" i="50"/>
  <c r="M110" i="57"/>
  <c r="N112" i="57"/>
  <c r="O110" i="55"/>
  <c r="P112" i="55"/>
  <c r="Q110" i="56"/>
  <c r="R112" i="56"/>
  <c r="S110" i="54"/>
  <c r="T112" i="54"/>
  <c r="F112" i="53"/>
  <c r="G110" i="52"/>
  <c r="H112" i="52"/>
  <c r="I110" i="51"/>
  <c r="J112" i="51"/>
  <c r="K110" i="50"/>
  <c r="L112" i="50"/>
  <c r="N110" i="57"/>
  <c r="O112" i="57"/>
  <c r="P110" i="55"/>
  <c r="Q112" i="55"/>
  <c r="R110" i="56"/>
  <c r="S112" i="56"/>
  <c r="T110" i="54"/>
  <c r="F110" i="53"/>
  <c r="G112" i="53"/>
  <c r="H110" i="52"/>
  <c r="I112" i="52"/>
  <c r="J110" i="51"/>
  <c r="K112" i="51"/>
  <c r="L110" i="50"/>
  <c r="M112" i="50"/>
  <c r="O110" i="57"/>
  <c r="Q110" i="55"/>
  <c r="S110" i="56"/>
  <c r="G110" i="53"/>
  <c r="I110" i="52"/>
  <c r="K110" i="51"/>
  <c r="M110" i="50"/>
  <c r="N112" i="50"/>
  <c r="N110" i="50"/>
  <c r="O112" i="50"/>
  <c r="Q110" i="57"/>
  <c r="Q111" i="57"/>
  <c r="R112" i="57"/>
  <c r="S110" i="55"/>
  <c r="T112" i="55"/>
  <c r="F112" i="56"/>
  <c r="G110" i="54"/>
  <c r="H112" i="54"/>
  <c r="I110" i="53"/>
  <c r="J112" i="53"/>
  <c r="K110" i="52"/>
  <c r="L112" i="52"/>
  <c r="M110" i="51"/>
  <c r="N112" i="51"/>
  <c r="O110" i="50"/>
  <c r="P112" i="50"/>
  <c r="R110" i="57"/>
  <c r="S112" i="57"/>
  <c r="T110" i="55"/>
  <c r="F110" i="56"/>
  <c r="G112" i="56"/>
  <c r="H110" i="54"/>
  <c r="I112" i="54"/>
  <c r="J110" i="53"/>
  <c r="K112" i="53"/>
  <c r="L110" i="52"/>
  <c r="M112" i="52"/>
  <c r="N110" i="51"/>
  <c r="O112" i="51"/>
  <c r="P110" i="50"/>
  <c r="Q112" i="50"/>
  <c r="S110" i="57"/>
  <c r="T112" i="57"/>
  <c r="F112" i="55"/>
  <c r="G110" i="56"/>
  <c r="H112" i="56"/>
  <c r="I110" i="54"/>
  <c r="J112" i="54"/>
  <c r="K110" i="53"/>
  <c r="L112" i="53"/>
  <c r="M110" i="52"/>
  <c r="N112" i="52"/>
  <c r="O110" i="51"/>
  <c r="P112" i="51"/>
  <c r="Q110" i="50"/>
  <c r="R112" i="50"/>
  <c r="T110" i="57"/>
  <c r="F110" i="55"/>
  <c r="G112" i="55"/>
  <c r="H110" i="56"/>
  <c r="I112" i="56"/>
  <c r="J110" i="54"/>
  <c r="K112" i="54"/>
  <c r="L110" i="53"/>
  <c r="M112" i="53"/>
  <c r="N110" i="52"/>
  <c r="O112" i="52"/>
  <c r="P110" i="51"/>
  <c r="Q112" i="51"/>
  <c r="R110" i="50"/>
  <c r="S112" i="50"/>
  <c r="G110" i="55"/>
  <c r="I110" i="56"/>
  <c r="K110" i="54"/>
  <c r="M110" i="53"/>
  <c r="O110" i="52"/>
  <c r="Q110" i="51"/>
  <c r="S110" i="50"/>
  <c r="U109" i="52"/>
  <c r="U109" i="54"/>
  <c r="U109" i="56"/>
  <c r="U109" i="50"/>
  <c r="U109" i="55"/>
  <c r="U109" i="51"/>
  <c r="U109" i="57"/>
  <c r="U109" i="53"/>
  <c r="F113" i="59" l="1"/>
  <c r="F113" i="53"/>
  <c r="F113" i="52"/>
  <c r="F113" i="55"/>
  <c r="F113" i="51"/>
  <c r="F114" i="57"/>
  <c r="F114" i="54"/>
  <c r="U110" i="54"/>
  <c r="F113" i="56"/>
  <c r="F114" i="56"/>
  <c r="F114" i="52"/>
  <c r="F113" i="54"/>
  <c r="F114" i="55"/>
  <c r="F114" i="50"/>
  <c r="F114" i="53"/>
  <c r="F113" i="57"/>
  <c r="F114" i="51"/>
  <c r="U110" i="50"/>
  <c r="U110" i="51"/>
  <c r="U110" i="56"/>
  <c r="U110" i="52"/>
  <c r="U110" i="55"/>
  <c r="U110" i="57"/>
  <c r="U110" i="53"/>
</calcChain>
</file>

<file path=xl/sharedStrings.xml><?xml version="1.0" encoding="utf-8"?>
<sst xmlns="http://schemas.openxmlformats.org/spreadsheetml/2006/main" count="800" uniqueCount="82">
  <si>
    <t>Б/К</t>
  </si>
  <si>
    <t>№
п/п</t>
  </si>
  <si>
    <t>Прізвище, ім’я, по батькові</t>
  </si>
  <si>
    <t>Середній бал</t>
  </si>
  <si>
    <t>Середній бал успішності з дисципліни</t>
  </si>
  <si>
    <t>Абсолютна успішність</t>
  </si>
  <si>
    <t>Якісна успішність</t>
  </si>
  <si>
    <t>Абсолютна успішність по групі</t>
  </si>
  <si>
    <t>Якісна успішність по групі</t>
  </si>
  <si>
    <t>Кількість бюджетників</t>
  </si>
  <si>
    <t>Кількість контрактників</t>
  </si>
  <si>
    <t>Класний керівник</t>
  </si>
  <si>
    <t>Кількість соціального контингенту</t>
  </si>
  <si>
    <t>Вийшли на стипендію</t>
  </si>
  <si>
    <t>Завідувач відділення ПЗСО</t>
  </si>
  <si>
    <t>Маргарита БРІТІКОВА</t>
  </si>
  <si>
    <t>ЗВЕДЕНА ВІДОМІСТЬ</t>
  </si>
  <si>
    <t>Підсумкові оцінки дисциплін</t>
  </si>
  <si>
    <t>S</t>
  </si>
  <si>
    <t>ВІДОКРЕМЛЕНИЙ СТРУКТУРНИЙ ПІДРОЗДІЛ «ФАХОВИЙ КОЛЕДЖ НАФТОГАЗОВИХ ТЕХНОЛОГІЙ,
ІНЖЕНЕРІЇ ТА ІНФРАСТРУКТУРИ СЕРВІСУ
ОДЕСЬКОГО НАЦІОНАЛЬНОГО ТЕХНОЛОГІЧНОГО УНІВЕРСИТЕТУ»</t>
  </si>
  <si>
    <t>Астрономія
XXXXX</t>
  </si>
  <si>
    <t>Біологія
XXXXX</t>
  </si>
  <si>
    <t>Всесвітня історія
XXXXX</t>
  </si>
  <si>
    <t>Географія
XXXXX</t>
  </si>
  <si>
    <t>Зарубіжна література
XXXXX</t>
  </si>
  <si>
    <t>Захист України
XXXXX</t>
  </si>
  <si>
    <t>Іноземна мова
XXXXX</t>
  </si>
  <si>
    <t>Інформатика
XXXXX</t>
  </si>
  <si>
    <t>Історія України
XXXXX</t>
  </si>
  <si>
    <t>Математика
XXXXX</t>
  </si>
  <si>
    <t>Українська література
XXXXX</t>
  </si>
  <si>
    <t>Українська мова
XXXXX</t>
  </si>
  <si>
    <t>Фізика
XXXXX</t>
  </si>
  <si>
    <t>Фізична культура
XXXXX</t>
  </si>
  <si>
    <t>Хімія
XXXXX</t>
  </si>
  <si>
    <t>Успішності студентів спеціальності XXX «XXXXX»</t>
  </si>
  <si>
    <t>Група XXXX курс X</t>
  </si>
  <si>
    <t>За X семестр XXXX-XXXX н.р.</t>
  </si>
  <si>
    <t>РЕЙТИНГОВА ВІДОМІСТЬ</t>
  </si>
  <si>
    <t>Рейтинговий бал</t>
  </si>
  <si>
    <t>Успішності студентів спеціальності D5 «Маркетинг»</t>
  </si>
  <si>
    <t>За ІІ семестр 2025-2026 н.р.</t>
  </si>
  <si>
    <t>Група 26-1 курс І</t>
  </si>
  <si>
    <t>Астрономія
Наговська Т.С.</t>
  </si>
  <si>
    <t>Біологія
Богданенко О.В.</t>
  </si>
  <si>
    <t>Всесвітня історія
Мельничук С.А.</t>
  </si>
  <si>
    <t>Географія
Наговська Т.С.</t>
  </si>
  <si>
    <t>Зарубіжна література
Сербулова Ю.А.</t>
  </si>
  <si>
    <t>Захист України
Лазар В.І.</t>
  </si>
  <si>
    <t>Іноземна мова
Сербулова Ю.А.</t>
  </si>
  <si>
    <t>Інформатика
Бєльдюгіна С.С.</t>
  </si>
  <si>
    <t>Історія України
Левчук Т.Г.</t>
  </si>
  <si>
    <t>Математика
Бондаренко О.С.</t>
  </si>
  <si>
    <t>Українська література
Антропова Л.І.</t>
  </si>
  <si>
    <t>Українська мова
Антропова Л.І.</t>
  </si>
  <si>
    <t>Фізика
Калюта Н.М.</t>
  </si>
  <si>
    <t>Фізична культура
Возіян О.Г.</t>
  </si>
  <si>
    <t>Хімія
Сахно Н.О.</t>
  </si>
  <si>
    <t>Б</t>
  </si>
  <si>
    <t>Бондаренко Андрій Миколайович</t>
  </si>
  <si>
    <t>н/а</t>
  </si>
  <si>
    <t>Гриценко Світлана Анатоліївна</t>
  </si>
  <si>
    <t>К</t>
  </si>
  <si>
    <t>Карєва Анастасія Сергіївна</t>
  </si>
  <si>
    <t>Ковальчук Наталія Петрівна</t>
  </si>
  <si>
    <t>Кравченко Денис Юрійович</t>
  </si>
  <si>
    <t>Лєрманова Олена Євгенівна</t>
  </si>
  <si>
    <t>Лисенко Олена Володимирівна</t>
  </si>
  <si>
    <t>Мельниченко Софія Ігорівна</t>
  </si>
  <si>
    <t>Мороз Віктор Васильович</t>
  </si>
  <si>
    <t>Поліщук Артем Валерійович</t>
  </si>
  <si>
    <t>Присяжнюк Аміна Михайлівна</t>
  </si>
  <si>
    <t>Савельєв Олександр Вячеславович</t>
  </si>
  <si>
    <t>Савченко Марія Олегівна</t>
  </si>
  <si>
    <t>Самойлова Яна Вячеславівна</t>
  </si>
  <si>
    <t>Стегарь Евеліна Сергіївна</t>
  </si>
  <si>
    <t>Ткаченко Ірина Сергіївна</t>
  </si>
  <si>
    <t>Цвєтков Андрій Геннадійович</t>
  </si>
  <si>
    <t>Шевченко Олександр Іванович</t>
  </si>
  <si>
    <t>Ірина ДОПІРА</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</si>
  <si>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зведені відомості</t>
    </r>
    <r>
      <rPr>
        <b/>
        <sz val="12"/>
        <color rgb="FF000000"/>
        <rFont val="Times New Roman"/>
        <family val="1"/>
        <charset val="204"/>
      </rPr>
      <t xml:space="preserve"> усіх спеціальностей в межах однієї групи
Назви листів повинні бути "Зведена ХХХ", де ХХХ - шифр спеціальності (075 або D5 та інші)
Порядок предметів повинен бути однаковим на всіх листах (окрім листа "Приклад")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</si>
  <si>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t>ХХХ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</si>
</sst>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3" x14ac:knownFonts="1">
    <font>
      <sz val="11"/>
      <color rgb="FF000000"/>
      <name val="Calibri"/>
    </font>
    <font>
      <sz val="11"/>
      <color rgb="FF000000"/>
      <name val="Calibri"/>
      <family val="2"/>
      <charset val="204"/>
    </font>
    <font>
      <sz val="11"/>
      <color theme="1"/>
      <name val="Calibri"/>
      <family val="2"/>
      <scheme val="minor"/>
    </font>
    <font>
      <sz val="12"/>
      <name val="Times New Roman"/>
      <family val="1"/>
      <charset val="204"/>
    </font>
    <font>
      <b/>
      <sz val="12"/>
      <name val="Times New Roman"/>
      <family val="1"/>
      <charset val="204"/>
    </font>
    <font>
      <sz val="14"/>
      <name val="Times New Roman"/>
      <family val="1"/>
      <charset val="204"/>
    </font>
    <font>
      <b/>
      <sz val="14"/>
      <name val="Times New Roman"/>
      <family val="1"/>
      <charset val="204"/>
    </font>
    <font>
      <sz val="11"/>
      <color theme="1"/>
      <name val="Calibri"/>
      <family val="2"/>
      <charset val="204"/>
      <scheme val="minor"/>
    </font>
    <font>
      <b/>
      <sz val="11"/>
      <color rgb="FFFF0000"/>
      <name val="Times New Roman"/>
      <family val="1"/>
      <charset val="204"/>
    </font>
    <font>
      <sz val="12"/>
      <color theme="1"/>
      <name val="Times New Roman"/>
      <family val="1"/>
      <charset val="204"/>
    </font>
    <font>
      <b/>
      <sz val="12"/>
      <color rgb="FF000000"/>
      <name val="Times New Roman"/>
      <family val="1"/>
      <charset val="204"/>
    </font>
    <font>
      <b/>
      <sz val="12"/>
      <color rgb="FFFF0000"/>
      <name val="Times New Roman"/>
      <family val="1"/>
      <charset val="204"/>
    </font>
    <font>
      <b/>
      <u/>
      <sz val="12"/>
      <color rgb="FF000000"/>
      <name val="Times New Roman"/>
      <family val="1"/>
      <charset val="204"/>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rgb="FFFFFFFF"/>
        <bgColor indexed="64"/>
      </patternFill>
    </fill>
    <fill>
      <patternFill patternType="solid">
        <fgColor rgb="FFBFBFBF"/>
        <bgColor indexed="64"/>
      </patternFill>
    </fill>
  </fills>
  <borders count="14">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mediumDashed">
        <color auto="1"/>
      </bottom>
      <diagonal/>
    </border>
    <border>
      <left/>
      <right style="mediumDashed">
        <color auto="1"/>
      </right>
      <top/>
      <bottom/>
      <diagonal/>
    </border>
    <border>
      <left style="mediumDashed">
        <color auto="1"/>
      </left>
      <right/>
      <top/>
      <bottom/>
      <diagonal/>
    </border>
    <border>
      <left/>
      <right/>
      <top style="mediumDashed">
        <color auto="1"/>
      </top>
      <bottom/>
      <diagonal/>
    </border>
    <border>
      <left/>
      <right/>
      <top/>
      <bottom style="thin">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right style="mediumDashed">
        <color auto="1"/>
      </right>
      <top/>
      <bottom style="mediumDashed">
        <color auto="1"/>
      </bottom>
      <diagonal/>
    </border>
    <border>
      <left style="mediumDashed">
        <color auto="1"/>
      </left>
      <right/>
      <top/>
      <bottom style="mediumDashed">
        <color auto="1"/>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8">
    <xf numFmtId="0" fontId="0" fillId="0" borderId="0"/>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2" fillId="0" borderId="1"/>
    <xf numFmtId="0" fontId="1" fillId="0" borderId="1"/>
    <xf numFmtId="0" fontId="2"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7" fillId="0" borderId="1"/>
    <xf numFmtId="0" fontId="7" fillId="0" borderId="1"/>
    <xf numFmtId="0" fontId="7" fillId="0" borderId="1"/>
    <xf numFmtId="0" fontId="1" fillId="0" borderId="1"/>
    <xf numFmtId="0" fontId="2" fillId="0" borderId="1"/>
  </cellStyleXfs>
  <cellXfs count="83">
    <xf numFmtId="0" fontId="0" fillId="0" borderId="0" xfId="0"/>
    <xf numFmtId="0" fontId="3" fillId="4" borderId="1" xfId="5" applyFont="1" applyFill="1" applyAlignment="1">
      <alignment horizontal="center" vertical="center"/>
    </xf>
    <xf numFmtId="0" fontId="5" fillId="4" borderId="1" xfId="5" applyFont="1" applyFill="1" applyAlignment="1">
      <alignment horizontal="center" vertical="center"/>
    </xf>
    <xf numFmtId="0" fontId="6" fillId="4" borderId="1" xfId="5" applyFont="1" applyFill="1" applyAlignment="1">
      <alignment horizontal="center" vertical="center"/>
    </xf>
    <xf numFmtId="0" fontId="3" fillId="5" borderId="2" xfId="5" applyFont="1" applyFill="1" applyBorder="1" applyAlignment="1" applyProtection="1">
      <alignment horizontal="center" vertical="center"/>
      <protection locked="0"/>
    </xf>
    <xf numFmtId="0" fontId="3" fillId="5" borderId="2" xfId="5" applyFont="1" applyFill="1" applyBorder="1" applyAlignment="1" applyProtection="1">
      <alignment horizontal="center" vertical="center"/>
      <protection hidden="1"/>
    </xf>
    <xf numFmtId="0" fontId="4" fillId="5" borderId="2" xfId="5" applyFont="1" applyFill="1" applyBorder="1" applyAlignment="1" applyProtection="1">
      <alignment horizontal="center" vertical="center" textRotation="90" wrapText="1"/>
      <protection hidden="1"/>
    </xf>
    <xf numFmtId="0" fontId="3" fillId="5" borderId="1" xfId="5" applyFont="1" applyFill="1" applyAlignment="1" applyProtection="1">
      <alignment horizontal="center" vertical="center"/>
      <protection hidden="1"/>
    </xf>
    <xf numFmtId="0" fontId="3" fillId="5" borderId="2" xfId="5" applyFont="1" applyFill="1" applyBorder="1" applyAlignment="1" applyProtection="1">
      <alignment horizontal="left" vertical="center" wrapText="1"/>
      <protection hidden="1"/>
    </xf>
    <xf numFmtId="164" fontId="3" fillId="2" borderId="2" xfId="5" applyNumberFormat="1" applyFont="1" applyFill="1" applyBorder="1" applyAlignment="1" applyProtection="1">
      <alignment horizontal="center" vertical="center"/>
      <protection hidden="1"/>
    </xf>
    <xf numFmtId="2" fontId="3" fillId="2" borderId="2" xfId="5" applyNumberFormat="1" applyFont="1" applyFill="1" applyBorder="1" applyAlignment="1" applyProtection="1">
      <alignment horizontal="center" vertical="center"/>
      <protection hidden="1"/>
    </xf>
    <xf numFmtId="0" fontId="5" fillId="5" borderId="1" xfId="5" applyFont="1" applyFill="1" applyAlignment="1" applyProtection="1">
      <alignment horizontal="left" vertical="center"/>
      <protection hidden="1"/>
    </xf>
    <xf numFmtId="0" fontId="3" fillId="4" borderId="1" xfId="5" applyFont="1" applyFill="1" applyAlignment="1" applyProtection="1">
      <alignment horizontal="center" vertical="center"/>
      <protection locked="0" hidden="1"/>
    </xf>
    <xf numFmtId="0" fontId="5" fillId="5" borderId="5" xfId="5" applyFont="1" applyFill="1" applyBorder="1" applyAlignment="1" applyProtection="1">
      <alignment vertical="center"/>
      <protection locked="0" hidden="1"/>
    </xf>
    <xf numFmtId="0" fontId="3" fillId="0" borderId="2" xfId="5" applyFont="1" applyBorder="1" applyAlignment="1" applyProtection="1">
      <alignment horizontal="center" textRotation="90" wrapText="1"/>
      <protection locked="0"/>
    </xf>
    <xf numFmtId="0" fontId="3" fillId="5" borderId="3" xfId="5" applyFont="1" applyFill="1" applyBorder="1" applyAlignment="1" applyProtection="1">
      <alignment vertical="center"/>
      <protection hidden="1"/>
    </xf>
    <xf numFmtId="0" fontId="3" fillId="5" borderId="10" xfId="5" applyFont="1" applyFill="1" applyBorder="1" applyAlignment="1" applyProtection="1">
      <alignment vertical="center"/>
      <protection hidden="1"/>
    </xf>
    <xf numFmtId="0" fontId="3" fillId="4" borderId="1" xfId="5" applyFont="1" applyFill="1" applyAlignment="1" applyProtection="1">
      <alignment vertical="center"/>
      <protection hidden="1"/>
    </xf>
    <xf numFmtId="0" fontId="3" fillId="5" borderId="8" xfId="5" applyFont="1" applyFill="1" applyBorder="1" applyAlignment="1" applyProtection="1">
      <alignment vertical="center"/>
      <protection hidden="1"/>
    </xf>
    <xf numFmtId="0" fontId="3" fillId="5" borderId="6" xfId="5" applyFont="1" applyFill="1" applyBorder="1" applyAlignment="1" applyProtection="1">
      <alignment vertical="center"/>
      <protection hidden="1"/>
    </xf>
    <xf numFmtId="0" fontId="3" fillId="5" borderId="9" xfId="5" applyFont="1" applyFill="1" applyBorder="1" applyAlignment="1" applyProtection="1">
      <alignment vertical="center"/>
      <protection hidden="1"/>
    </xf>
    <xf numFmtId="0" fontId="3" fillId="5" borderId="4" xfId="5" applyFont="1" applyFill="1" applyBorder="1" applyAlignment="1" applyProtection="1">
      <alignment vertical="center"/>
      <protection hidden="1"/>
    </xf>
    <xf numFmtId="0" fontId="5" fillId="5" borderId="11" xfId="5" applyFont="1" applyFill="1" applyBorder="1" applyAlignment="1" applyProtection="1">
      <alignment vertical="center"/>
      <protection locked="0" hidden="1"/>
    </xf>
    <xf numFmtId="0" fontId="3" fillId="5" borderId="4" xfId="5" applyFont="1" applyFill="1" applyBorder="1" applyAlignment="1" applyProtection="1">
      <alignment vertical="center"/>
      <protection locked="0" hidden="1"/>
    </xf>
    <xf numFmtId="0" fontId="5" fillId="5" borderId="1" xfId="5" applyFont="1" applyFill="1" applyAlignment="1" applyProtection="1">
      <alignment horizontal="left" vertical="center"/>
      <protection locked="0"/>
    </xf>
    <xf numFmtId="0" fontId="3" fillId="6" borderId="2" xfId="5" applyFont="1" applyFill="1" applyBorder="1" applyAlignment="1" applyProtection="1">
      <alignment horizontal="center" textRotation="90" wrapText="1"/>
      <protection locked="0"/>
    </xf>
    <xf numFmtId="0" fontId="4" fillId="6" borderId="2" xfId="5" applyFont="1" applyFill="1" applyBorder="1" applyAlignment="1" applyProtection="1">
      <alignment horizontal="center" vertical="center" textRotation="90" wrapText="1"/>
      <protection hidden="1"/>
    </xf>
    <xf numFmtId="0" fontId="3" fillId="6" borderId="1" xfId="5" applyFont="1" applyFill="1" applyAlignment="1" applyProtection="1">
      <alignment horizontal="center" vertical="center"/>
      <protection hidden="1"/>
    </xf>
    <xf numFmtId="0" fontId="3" fillId="6" borderId="2" xfId="5" applyFont="1" applyFill="1" applyBorder="1" applyAlignment="1" applyProtection="1">
      <alignment horizontal="left" vertical="center" wrapText="1"/>
      <protection hidden="1"/>
    </xf>
    <xf numFmtId="0" fontId="5" fillId="6" borderId="1" xfId="5" applyFont="1" applyFill="1" applyAlignment="1" applyProtection="1">
      <alignment horizontal="left" vertical="center"/>
      <protection hidden="1"/>
    </xf>
    <xf numFmtId="0" fontId="5" fillId="6" borderId="1" xfId="5" applyFont="1" applyFill="1" applyAlignment="1" applyProtection="1">
      <alignment horizontal="left" vertical="center"/>
      <protection locked="0"/>
    </xf>
    <xf numFmtId="0" fontId="3" fillId="6" borderId="8" xfId="5" applyFont="1" applyFill="1" applyBorder="1" applyAlignment="1" applyProtection="1">
      <alignment vertical="center"/>
      <protection hidden="1"/>
    </xf>
    <xf numFmtId="0" fontId="3" fillId="6" borderId="6" xfId="5" applyFont="1" applyFill="1" applyBorder="1" applyAlignment="1" applyProtection="1">
      <alignment vertical="center"/>
      <protection hidden="1"/>
    </xf>
    <xf numFmtId="0" fontId="3" fillId="6" borderId="9" xfId="5" applyFont="1" applyFill="1" applyBorder="1" applyAlignment="1" applyProtection="1">
      <alignment vertical="center"/>
      <protection hidden="1"/>
    </xf>
    <xf numFmtId="0" fontId="5" fillId="6" borderId="5" xfId="5" applyFont="1" applyFill="1" applyBorder="1" applyAlignment="1" applyProtection="1">
      <alignment vertical="center"/>
      <protection locked="0" hidden="1"/>
    </xf>
    <xf numFmtId="0" fontId="3" fillId="6" borderId="4" xfId="5" applyFont="1" applyFill="1" applyBorder="1" applyAlignment="1" applyProtection="1">
      <alignment vertical="center"/>
      <protection hidden="1"/>
    </xf>
    <xf numFmtId="0" fontId="3" fillId="6" borderId="4" xfId="5" applyFont="1" applyFill="1" applyBorder="1" applyAlignment="1" applyProtection="1">
      <alignment vertical="center"/>
      <protection locked="0" hidden="1"/>
    </xf>
    <xf numFmtId="0" fontId="5" fillId="6" borderId="11" xfId="5" applyFont="1" applyFill="1" applyBorder="1" applyAlignment="1" applyProtection="1">
      <alignment vertical="center"/>
      <protection locked="0" hidden="1"/>
    </xf>
    <xf numFmtId="0" fontId="3" fillId="6" borderId="3" xfId="5" applyFont="1" applyFill="1" applyBorder="1" applyAlignment="1" applyProtection="1">
      <alignment vertical="center"/>
      <protection hidden="1"/>
    </xf>
    <xf numFmtId="0" fontId="3" fillId="6" borderId="10" xfId="5" applyFont="1" applyFill="1" applyBorder="1" applyAlignment="1" applyProtection="1">
      <alignment vertical="center"/>
      <protection hidden="1"/>
    </xf>
    <xf numFmtId="0" fontId="8" fillId="7" borderId="1" xfId="5" applyFont="1" applyFill="1" applyAlignment="1" applyProtection="1">
      <alignment horizontal="center" vertical="center"/>
      <protection hidden="1"/>
    </xf>
    <xf numFmtId="0" fontId="3" fillId="7" borderId="1" xfId="5" applyFont="1" applyFill="1" applyAlignment="1" applyProtection="1">
      <alignment vertical="center"/>
      <protection hidden="1"/>
    </xf>
    <xf numFmtId="0" fontId="3" fillId="7" borderId="1" xfId="5" applyFont="1" applyFill="1" applyAlignment="1" applyProtection="1">
      <alignment vertical="center"/>
      <protection locked="0" hidden="1"/>
    </xf>
    <xf numFmtId="0" fontId="3" fillId="7" borderId="4" xfId="5" applyFont="1" applyFill="1" applyBorder="1" applyAlignment="1" applyProtection="1">
      <alignment vertical="center"/>
      <protection locked="0" hidden="1"/>
    </xf>
    <xf numFmtId="0" fontId="3" fillId="7" borderId="1" xfId="5" applyFont="1" applyFill="1" applyAlignment="1">
      <alignment horizontal="center" vertical="center"/>
    </xf>
    <xf numFmtId="2" fontId="9" fillId="2" borderId="2" xfId="5" applyNumberFormat="1" applyFont="1" applyFill="1" applyBorder="1" applyAlignment="1">
      <alignment horizontal="center" vertical="center"/>
    </xf>
    <xf numFmtId="164" fontId="3" fillId="3" borderId="2" xfId="5" applyNumberFormat="1" applyFont="1" applyFill="1" applyBorder="1" applyAlignment="1" applyProtection="1">
      <alignment horizontal="center" vertical="center"/>
      <protection hidden="1"/>
    </xf>
    <xf numFmtId="0" fontId="3" fillId="6" borderId="2" xfId="5" applyFont="1" applyFill="1" applyBorder="1" applyAlignment="1">
      <alignment horizontal="center" vertical="center" wrapText="1"/>
    </xf>
    <xf numFmtId="0" fontId="3" fillId="6" borderId="2" xfId="5" applyFont="1" applyFill="1" applyBorder="1" applyAlignment="1">
      <alignment horizontal="left" vertical="center" wrapText="1"/>
    </xf>
    <xf numFmtId="2" fontId="3" fillId="6" borderId="2" xfId="5" applyNumberFormat="1" applyFont="1" applyFill="1" applyBorder="1" applyAlignment="1">
      <alignment horizontal="center" vertical="center"/>
    </xf>
    <xf numFmtId="0" fontId="3" fillId="5" borderId="2" xfId="5" applyFont="1" applyFill="1" applyBorder="1" applyAlignment="1">
      <alignment horizontal="center" vertical="center" wrapText="1"/>
    </xf>
    <xf numFmtId="0" fontId="3" fillId="5" borderId="2" xfId="5" applyFont="1" applyFill="1" applyBorder="1" applyAlignment="1">
      <alignment horizontal="left" vertical="center" wrapText="1"/>
    </xf>
    <xf numFmtId="0" fontId="3" fillId="5" borderId="2" xfId="5" applyFont="1" applyFill="1" applyBorder="1" applyAlignment="1">
      <alignment horizontal="center" vertical="center"/>
    </xf>
    <xf numFmtId="0" fontId="3" fillId="5" borderId="2" xfId="5" applyFont="1" applyFill="1" applyBorder="1" applyAlignment="1" applyProtection="1">
      <alignment horizontal="center" textRotation="90" wrapText="1"/>
      <protection locked="0"/>
    </xf>
    <xf numFmtId="2" fontId="3" fillId="5" borderId="2" xfId="5" applyNumberFormat="1" applyFont="1" applyFill="1" applyBorder="1" applyAlignment="1">
      <alignment horizontal="center" vertical="center"/>
    </xf>
    <xf numFmtId="0" fontId="8" fillId="4" borderId="1" xfId="5" applyFont="1" applyFill="1" applyAlignment="1" applyProtection="1">
      <alignment horizontal="center" vertical="center"/>
      <protection hidden="1"/>
    </xf>
    <xf numFmtId="0" fontId="3" fillId="4" borderId="4" xfId="5" applyFont="1" applyFill="1" applyBorder="1" applyAlignment="1" applyProtection="1">
      <alignment vertical="center"/>
      <protection locked="0" hidden="1"/>
    </xf>
    <xf numFmtId="0" fontId="3" fillId="4" borderId="1" xfId="5" applyFont="1" applyFill="1" applyAlignment="1" applyProtection="1">
      <alignment vertical="center"/>
      <protection locked="0" hidden="1"/>
    </xf>
    <xf numFmtId="0" fontId="3" fillId="5" borderId="12" xfId="5" applyFont="1" applyFill="1" applyBorder="1" applyAlignment="1" applyProtection="1">
      <alignment horizontal="left" vertical="center" wrapText="1"/>
      <protection hidden="1"/>
    </xf>
    <xf numFmtId="164" fontId="3" fillId="2" borderId="12" xfId="5" applyNumberFormat="1" applyFont="1" applyFill="1" applyBorder="1" applyAlignment="1" applyProtection="1">
      <alignment horizontal="center" vertical="center"/>
      <protection hidden="1"/>
    </xf>
    <xf numFmtId="164" fontId="3" fillId="3" borderId="13" xfId="5" applyNumberFormat="1" applyFont="1" applyFill="1" applyBorder="1" applyAlignment="1" applyProtection="1">
      <alignment horizontal="center" vertical="center"/>
      <protection hidden="1"/>
    </xf>
    <xf numFmtId="0" fontId="10" fillId="7" borderId="1" xfId="5" applyFont="1" applyFill="1" applyAlignment="1" applyProtection="1">
      <alignment vertical="top" wrapText="1"/>
      <protection hidden="1"/>
    </xf>
    <xf numFmtId="0" fontId="5" fillId="5" borderId="1" xfId="5" applyFont="1" applyFill="1" applyAlignment="1" applyProtection="1">
      <alignment vertical="top"/>
      <protection locked="0"/>
    </xf>
    <xf numFmtId="0" fontId="5" fillId="5" borderId="1" xfId="5" applyFont="1" applyFill="1" applyAlignment="1" applyProtection="1">
      <alignment vertical="top"/>
      <protection hidden="1"/>
    </xf>
    <xf numFmtId="0" fontId="5" fillId="5" borderId="1" xfId="5" applyFont="1" applyFill="1" applyAlignment="1" applyProtection="1">
      <alignment horizontal="left"/>
      <protection hidden="1"/>
    </xf>
    <xf numFmtId="0" fontId="5" fillId="5" borderId="1" xfId="5" applyFont="1" applyFill="1" applyAlignment="1" applyProtection="1">
      <alignment horizontal="left"/>
      <protection locked="0"/>
    </xf>
    <xf numFmtId="0" fontId="10" fillId="7" borderId="3" xfId="5" applyFont="1" applyFill="1" applyBorder="1" applyAlignment="1" applyProtection="1">
      <alignment horizontal="left" vertical="top" wrapText="1"/>
      <protection hidden="1"/>
    </xf>
    <xf numFmtId="0" fontId="5" fillId="5" borderId="1" xfId="5" applyFont="1" applyFill="1" applyAlignment="1" applyProtection="1">
      <alignment horizontal="center" wrapText="1"/>
      <protection hidden="1"/>
    </xf>
    <xf numFmtId="0" fontId="6" fillId="5" borderId="1" xfId="5" applyFont="1" applyFill="1" applyAlignment="1" applyProtection="1">
      <alignment horizontal="center" vertical="center"/>
      <protection hidden="1"/>
    </xf>
    <xf numFmtId="0" fontId="5" fillId="5" borderId="1" xfId="5" applyFont="1" applyFill="1" applyAlignment="1" applyProtection="1">
      <alignment horizontal="center" vertical="center"/>
      <protection locked="0"/>
    </xf>
    <xf numFmtId="0" fontId="5" fillId="5" borderId="7" xfId="5" applyFont="1" applyFill="1" applyBorder="1" applyAlignment="1" applyProtection="1">
      <alignment horizontal="center" vertical="center"/>
      <protection locked="0"/>
    </xf>
    <xf numFmtId="0" fontId="3" fillId="5" borderId="2" xfId="5" quotePrefix="1"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wrapText="1"/>
      <protection hidden="1"/>
    </xf>
    <xf numFmtId="0" fontId="5" fillId="6" borderId="1" xfId="5" applyFont="1" applyFill="1" applyAlignment="1" applyProtection="1">
      <alignment horizontal="center" wrapText="1"/>
      <protection hidden="1"/>
    </xf>
    <xf numFmtId="0" fontId="6" fillId="6" borderId="1" xfId="5" applyFont="1" applyFill="1" applyAlignment="1" applyProtection="1">
      <alignment horizontal="center" vertical="center"/>
      <protection hidden="1"/>
    </xf>
    <xf numFmtId="0" fontId="5" fillId="6" borderId="1" xfId="5" applyFont="1" applyFill="1" applyAlignment="1" applyProtection="1">
      <alignment horizontal="center" vertical="center"/>
      <protection locked="0"/>
    </xf>
    <xf numFmtId="0" fontId="5" fillId="6" borderId="7" xfId="5" applyFont="1" applyFill="1" applyBorder="1" applyAlignment="1" applyProtection="1">
      <alignment horizontal="center" vertical="center"/>
      <protection locked="0"/>
    </xf>
    <xf numFmtId="0" fontId="5" fillId="5" borderId="1" xfId="5" applyFont="1" applyFill="1" applyAlignment="1" applyProtection="1">
      <alignment horizontal="left" vertical="center"/>
      <protection hidden="1"/>
    </xf>
    <xf numFmtId="0" fontId="5" fillId="5" borderId="1" xfId="5" applyFont="1" applyFill="1" applyAlignment="1" applyProtection="1">
      <alignment horizontal="left" vertical="center"/>
      <protection locked="0"/>
    </xf>
    <xf numFmtId="0" fontId="3" fillId="6" borderId="2" xfId="5" quotePrefix="1" applyFont="1" applyFill="1" applyBorder="1" applyAlignment="1" applyProtection="1">
      <alignment horizontal="center" vertical="center"/>
      <protection hidden="1"/>
    </xf>
    <xf numFmtId="0" fontId="3" fillId="6" borderId="2" xfId="5" applyFont="1" applyFill="1" applyBorder="1" applyAlignment="1" applyProtection="1">
      <alignment horizontal="center" vertical="center"/>
      <protection hidden="1"/>
    </xf>
    <xf numFmtId="0" fontId="3" fillId="6" borderId="2" xfId="5" applyFont="1" applyFill="1" applyBorder="1" applyAlignment="1" applyProtection="1">
      <alignment horizontal="center" vertical="center" wrapText="1"/>
      <protection hidden="1"/>
    </xf>
  </cellXfs>
  <cellStyles count="28">
    <cellStyle name="Обычный" xfId="0" builtinId="0"/>
    <cellStyle name="Обычный 10" xfId="3" xr:uid="{00000000-0005-0000-0000-000001000000}"/>
    <cellStyle name="Обычный 10 2" xfId="4" xr:uid="{00000000-0005-0000-0000-000002000000}"/>
    <cellStyle name="Обычный 11" xfId="1" xr:uid="{00000000-0005-0000-0000-000003000000}"/>
    <cellStyle name="Обычный 11 2" xfId="5" xr:uid="{00000000-0005-0000-0000-000004000000}"/>
    <cellStyle name="Обычный 12" xfId="22" xr:uid="{00000000-0005-0000-0000-000005000000}"/>
    <cellStyle name="Обычный 13" xfId="23" xr:uid="{00000000-0005-0000-0000-000006000000}"/>
    <cellStyle name="Обычный 14" xfId="24" xr:uid="{00000000-0005-0000-0000-000007000000}"/>
    <cellStyle name="Обычный 15" xfId="25" xr:uid="{00000000-0005-0000-0000-000008000000}"/>
    <cellStyle name="Обычный 2" xfId="2" xr:uid="{00000000-0005-0000-0000-000009000000}"/>
    <cellStyle name="Обычный 2 2" xfId="6" xr:uid="{00000000-0005-0000-0000-00000A000000}"/>
    <cellStyle name="Обычный 2 3" xfId="7" xr:uid="{00000000-0005-0000-0000-00000B000000}"/>
    <cellStyle name="Обычный 2 3 2" xfId="8" xr:uid="{00000000-0005-0000-0000-00000C000000}"/>
    <cellStyle name="Обычный 2 4" xfId="9" xr:uid="{00000000-0005-0000-0000-00000D000000}"/>
    <cellStyle name="Обычный 2 4 2" xfId="10" xr:uid="{00000000-0005-0000-0000-00000E000000}"/>
    <cellStyle name="Обычный 2 5" xfId="26" xr:uid="{00000000-0005-0000-0000-00000F000000}"/>
    <cellStyle name="Обычный 2 6" xfId="27" xr:uid="{00000000-0005-0000-0000-000010000000}"/>
    <cellStyle name="Обычный 3" xfId="11" xr:uid="{00000000-0005-0000-0000-000011000000}"/>
    <cellStyle name="Обычный 3 2" xfId="12" xr:uid="{00000000-0005-0000-0000-000012000000}"/>
    <cellStyle name="Обычный 4" xfId="13" xr:uid="{00000000-0005-0000-0000-000013000000}"/>
    <cellStyle name="Обычный 4 2" xfId="14" xr:uid="{00000000-0005-0000-0000-000014000000}"/>
    <cellStyle name="Обычный 5" xfId="15" xr:uid="{00000000-0005-0000-0000-000015000000}"/>
    <cellStyle name="Обычный 6" xfId="16" xr:uid="{00000000-0005-0000-0000-000016000000}"/>
    <cellStyle name="Обычный 7" xfId="17" xr:uid="{00000000-0005-0000-0000-000017000000}"/>
    <cellStyle name="Обычный 8" xfId="18" xr:uid="{00000000-0005-0000-0000-000018000000}"/>
    <cellStyle name="Обычный 8 2" xfId="19" xr:uid="{00000000-0005-0000-0000-000019000000}"/>
    <cellStyle name="Обычный 9" xfId="20" xr:uid="{00000000-0005-0000-0000-00001A000000}"/>
    <cellStyle name="Обычный 9 2" xfId="21" xr:uid="{00000000-0005-0000-0000-00001B000000}"/>
  </cellStyles>
  <dxfs count="0"/>
  <tableStyles count="1" defaultTableStyle="TableStyleMedium9" defaultPivotStyle="PivotStyleLight16">
    <tableStyle name="Стиль сводной таблицы 1" table="0" count="0" xr9:uid="{00000000-0011-0000-FFFF-FFFF00000000}"/>
  </tableStyles>
  <colors>
    <mruColors>
      <color rgb="FFFEFFFF"/>
      <color rgb="FFFFFF00"/>
      <color rgb="FFFFFFFF"/>
      <color rgb="FFBFBFBF"/>
      <color rgb="FFFF0000"/>
      <color rgb="FF000000"/>
      <color rgb="FFD9D9D9"/>
      <color rgb="FF7030A0"/>
      <color rgb="FF0070C0"/>
      <color rgb="FFE26B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Тема">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1F172-EA79-4F9E-8554-DB568E129A86}">
  <sheetPr>
    <tabColor rgb="FF7030A0"/>
    <pageSetUpPr fitToPage="1"/>
  </sheetPr>
  <dimension ref="A1:BH38"/>
  <sheetViews>
    <sheetView tabSelected="1"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9.94999999999999" customHeight="1" thickBot="1" x14ac:dyDescent="0.3">
      <c r="A1" s="55" t="s">
        <v>18</v>
      </c>
      <c r="B1" s="66" t="s">
        <v>80</v>
      </c>
      <c r="C1" s="66"/>
      <c r="D1" s="66"/>
      <c r="E1" s="66"/>
      <c r="F1" s="66"/>
      <c r="G1" s="66"/>
      <c r="H1" s="66"/>
      <c r="I1" s="66"/>
      <c r="J1" s="66"/>
      <c r="K1" s="66"/>
      <c r="L1" s="66"/>
      <c r="M1" s="66"/>
      <c r="N1" s="66"/>
      <c r="O1" s="66"/>
      <c r="P1" s="66"/>
      <c r="Q1" s="66"/>
      <c r="R1" s="66"/>
      <c r="S1" s="66"/>
      <c r="T1" s="66"/>
      <c r="U1" s="66"/>
      <c r="V1" s="66"/>
      <c r="W1" s="61"/>
    </row>
    <row r="2" spans="1:23" ht="12" customHeight="1" x14ac:dyDescent="0.25">
      <c r="A2" s="56"/>
      <c r="B2" s="18"/>
      <c r="C2" s="19"/>
      <c r="D2" s="19"/>
      <c r="E2" s="19"/>
      <c r="F2" s="19"/>
      <c r="G2" s="19"/>
      <c r="H2" s="19"/>
      <c r="I2" s="19"/>
      <c r="J2" s="19"/>
      <c r="K2" s="19"/>
      <c r="L2" s="19"/>
      <c r="M2" s="19"/>
      <c r="N2" s="19"/>
      <c r="O2" s="19"/>
      <c r="P2" s="19"/>
      <c r="Q2" s="19"/>
      <c r="R2" s="19"/>
      <c r="S2" s="19"/>
      <c r="T2" s="19"/>
      <c r="U2" s="19"/>
      <c r="V2" s="20"/>
      <c r="W2" s="57"/>
    </row>
    <row r="3" spans="1:23" s="2" customFormat="1" ht="54.95" customHeight="1" x14ac:dyDescent="0.3">
      <c r="A3" s="56"/>
      <c r="B3" s="13"/>
      <c r="C3" s="67" t="s">
        <v>19</v>
      </c>
      <c r="D3" s="67"/>
      <c r="E3" s="67"/>
      <c r="F3" s="67"/>
      <c r="G3" s="67"/>
      <c r="H3" s="67"/>
      <c r="I3" s="67"/>
      <c r="J3" s="67"/>
      <c r="K3" s="67"/>
      <c r="L3" s="67"/>
      <c r="M3" s="67"/>
      <c r="N3" s="67"/>
      <c r="O3" s="67"/>
      <c r="P3" s="67"/>
      <c r="Q3" s="67"/>
      <c r="R3" s="67"/>
      <c r="S3" s="67"/>
      <c r="T3" s="67"/>
      <c r="U3" s="67"/>
      <c r="V3" s="21"/>
      <c r="W3" s="57"/>
    </row>
    <row r="4" spans="1:23" s="3" customFormat="1" ht="15" customHeight="1" x14ac:dyDescent="0.25">
      <c r="A4" s="56"/>
      <c r="B4" s="13"/>
      <c r="C4" s="68" t="s">
        <v>16</v>
      </c>
      <c r="D4" s="68"/>
      <c r="E4" s="68"/>
      <c r="F4" s="68"/>
      <c r="G4" s="68"/>
      <c r="H4" s="68"/>
      <c r="I4" s="68"/>
      <c r="J4" s="68"/>
      <c r="K4" s="68"/>
      <c r="L4" s="68"/>
      <c r="M4" s="68"/>
      <c r="N4" s="68"/>
      <c r="O4" s="68"/>
      <c r="P4" s="68"/>
      <c r="Q4" s="68"/>
      <c r="R4" s="68"/>
      <c r="S4" s="68"/>
      <c r="T4" s="68"/>
      <c r="U4" s="68"/>
      <c r="V4" s="21"/>
      <c r="W4" s="57"/>
    </row>
    <row r="5" spans="1:23" s="2" customFormat="1" ht="15" customHeight="1" x14ac:dyDescent="0.25">
      <c r="A5" s="56"/>
      <c r="B5" s="13"/>
      <c r="C5" s="69" t="s">
        <v>40</v>
      </c>
      <c r="D5" s="69"/>
      <c r="E5" s="69"/>
      <c r="F5" s="69"/>
      <c r="G5" s="69"/>
      <c r="H5" s="69"/>
      <c r="I5" s="69"/>
      <c r="J5" s="69"/>
      <c r="K5" s="69"/>
      <c r="L5" s="69"/>
      <c r="M5" s="69"/>
      <c r="N5" s="69"/>
      <c r="O5" s="69"/>
      <c r="P5" s="69"/>
      <c r="Q5" s="69"/>
      <c r="R5" s="69"/>
      <c r="S5" s="69"/>
      <c r="T5" s="69"/>
      <c r="U5" s="69"/>
      <c r="V5" s="21"/>
      <c r="W5" s="57"/>
    </row>
    <row r="6" spans="1:23" s="2" customFormat="1" ht="15" customHeight="1" x14ac:dyDescent="0.25">
      <c r="A6" s="56"/>
      <c r="B6" s="13"/>
      <c r="C6" s="69" t="s">
        <v>41</v>
      </c>
      <c r="D6" s="69"/>
      <c r="E6" s="69"/>
      <c r="F6" s="69"/>
      <c r="G6" s="69"/>
      <c r="H6" s="69"/>
      <c r="I6" s="69"/>
      <c r="J6" s="69"/>
      <c r="K6" s="69"/>
      <c r="L6" s="69"/>
      <c r="M6" s="69"/>
      <c r="N6" s="69"/>
      <c r="O6" s="69"/>
      <c r="P6" s="69"/>
      <c r="Q6" s="69"/>
      <c r="R6" s="69"/>
      <c r="S6" s="69"/>
      <c r="T6" s="69"/>
      <c r="U6" s="69"/>
      <c r="V6" s="21"/>
      <c r="W6" s="57"/>
    </row>
    <row r="7" spans="1:23" s="2" customFormat="1" ht="15" customHeight="1" x14ac:dyDescent="0.25">
      <c r="A7" s="56"/>
      <c r="B7" s="13"/>
      <c r="C7" s="70" t="s">
        <v>42</v>
      </c>
      <c r="D7" s="70"/>
      <c r="E7" s="70"/>
      <c r="F7" s="70"/>
      <c r="G7" s="70"/>
      <c r="H7" s="70"/>
      <c r="I7" s="70"/>
      <c r="J7" s="70"/>
      <c r="K7" s="70"/>
      <c r="L7" s="70"/>
      <c r="M7" s="70"/>
      <c r="N7" s="70"/>
      <c r="O7" s="70"/>
      <c r="P7" s="70"/>
      <c r="Q7" s="70"/>
      <c r="R7" s="70"/>
      <c r="S7" s="70"/>
      <c r="T7" s="70"/>
      <c r="U7" s="70"/>
      <c r="V7" s="21"/>
      <c r="W7" s="57"/>
    </row>
    <row r="8" spans="1:23" ht="15" customHeight="1" x14ac:dyDescent="0.25">
      <c r="A8" s="56"/>
      <c r="B8" s="13"/>
      <c r="C8" s="71" t="s">
        <v>0</v>
      </c>
      <c r="D8" s="73" t="s">
        <v>1</v>
      </c>
      <c r="E8" s="73" t="s">
        <v>2</v>
      </c>
      <c r="F8" s="72" t="s">
        <v>17</v>
      </c>
      <c r="G8" s="72"/>
      <c r="H8" s="72"/>
      <c r="I8" s="72"/>
      <c r="J8" s="72"/>
      <c r="K8" s="72"/>
      <c r="L8" s="72"/>
      <c r="M8" s="72"/>
      <c r="N8" s="72"/>
      <c r="O8" s="72"/>
      <c r="P8" s="72"/>
      <c r="Q8" s="72"/>
      <c r="R8" s="72"/>
      <c r="S8" s="72"/>
      <c r="T8" s="72"/>
      <c r="U8" s="72"/>
      <c r="V8" s="21"/>
      <c r="W8" s="57"/>
    </row>
    <row r="9" spans="1:23" ht="125.1" customHeight="1" x14ac:dyDescent="0.25">
      <c r="A9" s="56"/>
      <c r="B9" s="13"/>
      <c r="C9" s="72"/>
      <c r="D9" s="72"/>
      <c r="E9" s="72"/>
      <c r="F9" s="14" t="s">
        <v>43</v>
      </c>
      <c r="G9" s="14" t="s">
        <v>44</v>
      </c>
      <c r="H9" s="14" t="s">
        <v>45</v>
      </c>
      <c r="I9" s="14" t="s">
        <v>46</v>
      </c>
      <c r="J9" s="14" t="s">
        <v>47</v>
      </c>
      <c r="K9" s="14" t="s">
        <v>48</v>
      </c>
      <c r="L9" s="14" t="s">
        <v>49</v>
      </c>
      <c r="M9" s="14" t="s">
        <v>50</v>
      </c>
      <c r="N9" s="14" t="s">
        <v>51</v>
      </c>
      <c r="O9" s="14" t="s">
        <v>52</v>
      </c>
      <c r="P9" s="14" t="s">
        <v>53</v>
      </c>
      <c r="Q9" s="14" t="s">
        <v>54</v>
      </c>
      <c r="R9" s="14" t="s">
        <v>55</v>
      </c>
      <c r="S9" s="14" t="s">
        <v>56</v>
      </c>
      <c r="T9" s="14" t="s">
        <v>57</v>
      </c>
      <c r="U9" s="6" t="s">
        <v>3</v>
      </c>
      <c r="V9" s="21"/>
      <c r="W9" s="57"/>
    </row>
    <row r="10" spans="1:23" s="12" customFormat="1" ht="15" customHeight="1" x14ac:dyDescent="0.25">
      <c r="A10" s="56"/>
      <c r="B10" s="13"/>
      <c r="C10" s="50" t="s">
        <v>58</v>
      </c>
      <c r="D10" s="50">
        <v>1</v>
      </c>
      <c r="E10" s="51" t="s">
        <v>59</v>
      </c>
      <c r="F10" s="52">
        <v>6</v>
      </c>
      <c r="G10" s="52">
        <v>4</v>
      </c>
      <c r="H10" s="52">
        <v>5</v>
      </c>
      <c r="I10" s="52">
        <v>9</v>
      </c>
      <c r="J10" s="52">
        <v>4</v>
      </c>
      <c r="K10" s="52">
        <v>5</v>
      </c>
      <c r="L10" s="52">
        <v>7</v>
      </c>
      <c r="M10" s="52">
        <v>8</v>
      </c>
      <c r="N10" s="52" t="s">
        <v>60</v>
      </c>
      <c r="O10" s="52">
        <v>10</v>
      </c>
      <c r="P10" s="52">
        <v>8</v>
      </c>
      <c r="Q10" s="52">
        <v>7</v>
      </c>
      <c r="R10" s="52">
        <v>8</v>
      </c>
      <c r="S10" s="52">
        <v>9</v>
      </c>
      <c r="T10" s="52">
        <v>5</v>
      </c>
      <c r="U10" s="45" t="str">
        <f ca="1">IF(COUNTIF(OFFSET($E10,0,1):OFFSET(U10,0,-1),"=*")&gt;0,IF($C10="К","-"," - "),IF(COUNTIF(OFFSET($E10,0,1):OFFSET(U10,0,-1),"&lt;4")&gt;0,IF(C10="К","-"," - "),(IFERROR(AVERAGE(OFFSET($E10,0,1):OFFSET(U10,0,-1)),"Очікую"))))</f>
        <v xml:space="preserve"> - </v>
      </c>
      <c r="V10" s="23"/>
      <c r="W10" s="57"/>
    </row>
    <row r="11" spans="1:23" s="12" customFormat="1" ht="15" customHeight="1" x14ac:dyDescent="0.25">
      <c r="A11" s="56"/>
      <c r="B11" s="13"/>
      <c r="C11" s="50" t="s">
        <v>58</v>
      </c>
      <c r="D11" s="50">
        <v>2</v>
      </c>
      <c r="E11" s="51" t="s">
        <v>61</v>
      </c>
      <c r="F11" s="52">
        <v>7</v>
      </c>
      <c r="G11" s="52">
        <v>8</v>
      </c>
      <c r="H11" s="52">
        <v>5</v>
      </c>
      <c r="I11" s="52">
        <v>7</v>
      </c>
      <c r="J11" s="52">
        <v>9</v>
      </c>
      <c r="K11" s="52">
        <v>6</v>
      </c>
      <c r="L11" s="52">
        <v>9</v>
      </c>
      <c r="M11" s="52">
        <v>11</v>
      </c>
      <c r="N11" s="52" t="s">
        <v>60</v>
      </c>
      <c r="O11" s="52">
        <v>8</v>
      </c>
      <c r="P11" s="52">
        <v>7</v>
      </c>
      <c r="Q11" s="52">
        <v>7</v>
      </c>
      <c r="R11" s="52">
        <v>11</v>
      </c>
      <c r="S11" s="52">
        <v>4</v>
      </c>
      <c r="T11" s="52">
        <v>5</v>
      </c>
      <c r="U11" s="45" t="str">
        <f ca="1">IF(COUNTIF(OFFSET($E11,0,1):OFFSET(U11,0,-1),"=*")&gt;0,IF($C11="К","-"," - "),IF(COUNTIF(OFFSET($E11,0,1):OFFSET(U11,0,-1),"&lt;4")&gt;0,IF(C11="К","-"," - "),(IFERROR(AVERAGE(OFFSET($E11,0,1):OFFSET(U11,0,-1)),"Очікую"))))</f>
        <v xml:space="preserve"> - </v>
      </c>
      <c r="V11" s="23"/>
      <c r="W11" s="57"/>
    </row>
    <row r="12" spans="1:23" s="12" customFormat="1" ht="15" customHeight="1" x14ac:dyDescent="0.25">
      <c r="A12" s="56"/>
      <c r="B12" s="13"/>
      <c r="C12" s="50" t="s">
        <v>62</v>
      </c>
      <c r="D12" s="50">
        <v>3</v>
      </c>
      <c r="E12" s="51" t="s">
        <v>63</v>
      </c>
      <c r="F12" s="52">
        <v>4</v>
      </c>
      <c r="G12" s="52">
        <v>11</v>
      </c>
      <c r="H12" s="52">
        <v>5</v>
      </c>
      <c r="I12" s="52">
        <v>4</v>
      </c>
      <c r="J12" s="52" t="s">
        <v>60</v>
      </c>
      <c r="K12" s="52">
        <v>4</v>
      </c>
      <c r="L12" s="52">
        <v>10</v>
      </c>
      <c r="M12" s="52">
        <v>11</v>
      </c>
      <c r="N12" s="52">
        <v>6</v>
      </c>
      <c r="O12" s="52">
        <v>8</v>
      </c>
      <c r="P12" s="52">
        <v>9</v>
      </c>
      <c r="Q12" s="52">
        <v>10</v>
      </c>
      <c r="R12" s="52">
        <v>10</v>
      </c>
      <c r="S12" s="52" t="s">
        <v>60</v>
      </c>
      <c r="T12" s="52">
        <v>9</v>
      </c>
      <c r="U12" s="45" t="str">
        <f ca="1">IF(COUNTIF(OFFSET($E12,0,1):OFFSET(U12,0,-1),"=*")&gt;0,IF($C12="К","-"," - "),IF(COUNTIF(OFFSET($E12,0,1):OFFSET(U12,0,-1),"&lt;4")&gt;0,IF(C12="К","-"," - "),(IFERROR(AVERAGE(OFFSET($E12,0,1):OFFSET(U12,0,-1)),"Очікую"))))</f>
        <v>-</v>
      </c>
      <c r="V12" s="23"/>
      <c r="W12" s="57"/>
    </row>
    <row r="13" spans="1:23" s="12" customFormat="1" ht="15" customHeight="1" x14ac:dyDescent="0.25">
      <c r="A13" s="56"/>
      <c r="B13" s="13"/>
      <c r="C13" s="50" t="s">
        <v>62</v>
      </c>
      <c r="D13" s="50">
        <v>4</v>
      </c>
      <c r="E13" s="51" t="s">
        <v>64</v>
      </c>
      <c r="F13" s="52">
        <v>8</v>
      </c>
      <c r="G13" s="52">
        <v>5</v>
      </c>
      <c r="H13" s="52">
        <v>6</v>
      </c>
      <c r="I13" s="52">
        <v>6</v>
      </c>
      <c r="J13" s="52">
        <v>10</v>
      </c>
      <c r="K13" s="52">
        <v>7</v>
      </c>
      <c r="L13" s="52">
        <v>9</v>
      </c>
      <c r="M13" s="52">
        <v>5</v>
      </c>
      <c r="N13" s="52">
        <v>8</v>
      </c>
      <c r="O13" s="52">
        <v>10</v>
      </c>
      <c r="P13" s="52">
        <v>5</v>
      </c>
      <c r="Q13" s="52">
        <v>8</v>
      </c>
      <c r="R13" s="52">
        <v>6</v>
      </c>
      <c r="S13" s="52">
        <v>11</v>
      </c>
      <c r="T13" s="52">
        <v>11</v>
      </c>
      <c r="U13" s="45">
        <f ca="1">IF(COUNTIF(OFFSET($E13,0,1):OFFSET(U13,0,-1),"=*")&gt;0,IF($C13="К","-"," - "),IF(COUNTIF(OFFSET($E13,0,1):OFFSET(U13,0,-1),"&lt;4")&gt;0,IF(C13="К","-"," - "),(IFERROR(AVERAGE(OFFSET($E13,0,1):OFFSET(U13,0,-1)),"Очікую"))))</f>
        <v>7.666666666666667</v>
      </c>
      <c r="V13" s="23"/>
      <c r="W13" s="57"/>
    </row>
    <row r="14" spans="1:23" s="12" customFormat="1" ht="15" customHeight="1" x14ac:dyDescent="0.25">
      <c r="A14" s="56"/>
      <c r="B14" s="13"/>
      <c r="C14" s="50" t="s">
        <v>58</v>
      </c>
      <c r="D14" s="50">
        <v>5</v>
      </c>
      <c r="E14" s="51" t="s">
        <v>65</v>
      </c>
      <c r="F14" s="52">
        <v>9</v>
      </c>
      <c r="G14" s="52">
        <v>6</v>
      </c>
      <c r="H14" s="52">
        <v>7</v>
      </c>
      <c r="I14" s="52">
        <v>4</v>
      </c>
      <c r="J14" s="52">
        <v>6</v>
      </c>
      <c r="K14" s="52">
        <v>7</v>
      </c>
      <c r="L14" s="52" t="s">
        <v>60</v>
      </c>
      <c r="M14" s="52">
        <v>6</v>
      </c>
      <c r="N14" s="52">
        <v>11</v>
      </c>
      <c r="O14" s="52">
        <v>10</v>
      </c>
      <c r="P14" s="52" t="s">
        <v>60</v>
      </c>
      <c r="Q14" s="52">
        <v>5</v>
      </c>
      <c r="R14" s="52">
        <v>10</v>
      </c>
      <c r="S14" s="52">
        <v>10</v>
      </c>
      <c r="T14" s="52">
        <v>5</v>
      </c>
      <c r="U14" s="45" t="str">
        <f ca="1">IF(COUNTIF(OFFSET($E14,0,1):OFFSET(U14,0,-1),"=*")&gt;0,IF($C14="К","-"," - "),IF(COUNTIF(OFFSET($E14,0,1):OFFSET(U14,0,-1),"&lt;4")&gt;0,IF(C14="К","-"," - "),(IFERROR(AVERAGE(OFFSET($E14,0,1):OFFSET(U14,0,-1)),"Очікую"))))</f>
        <v xml:space="preserve"> - </v>
      </c>
      <c r="V14" s="23"/>
      <c r="W14" s="57"/>
    </row>
    <row r="15" spans="1:23" s="12" customFormat="1" ht="15" customHeight="1" x14ac:dyDescent="0.25">
      <c r="A15" s="56"/>
      <c r="B15" s="13"/>
      <c r="C15" s="50" t="s">
        <v>62</v>
      </c>
      <c r="D15" s="50">
        <v>6</v>
      </c>
      <c r="E15" s="51" t="s">
        <v>66</v>
      </c>
      <c r="F15" s="52">
        <v>4</v>
      </c>
      <c r="G15" s="52">
        <v>8</v>
      </c>
      <c r="H15" s="52">
        <v>4</v>
      </c>
      <c r="I15" s="52">
        <v>5</v>
      </c>
      <c r="J15" s="52">
        <v>11</v>
      </c>
      <c r="K15" s="52">
        <v>6</v>
      </c>
      <c r="L15" s="52">
        <v>8</v>
      </c>
      <c r="M15" s="52">
        <v>8</v>
      </c>
      <c r="N15" s="52">
        <v>10</v>
      </c>
      <c r="O15" s="52">
        <v>7</v>
      </c>
      <c r="P15" s="52" t="s">
        <v>60</v>
      </c>
      <c r="Q15" s="52">
        <v>5</v>
      </c>
      <c r="R15" s="52" t="s">
        <v>60</v>
      </c>
      <c r="S15" s="52">
        <v>11</v>
      </c>
      <c r="T15" s="52" t="s">
        <v>60</v>
      </c>
      <c r="U15" s="45" t="str">
        <f ca="1">IF(COUNTIF(OFFSET($E15,0,1):OFFSET(U15,0,-1),"=*")&gt;0,IF($C15="К","-"," - "),IF(COUNTIF(OFFSET($E15,0,1):OFFSET(U15,0,-1),"&lt;4")&gt;0,IF(C15="К","-"," - "),(IFERROR(AVERAGE(OFFSET($E15,0,1):OFFSET(U15,0,-1)),"Очікую"))))</f>
        <v>-</v>
      </c>
      <c r="V15" s="23"/>
      <c r="W15" s="57"/>
    </row>
    <row r="16" spans="1:23" s="12" customFormat="1" ht="15" customHeight="1" x14ac:dyDescent="0.25">
      <c r="A16" s="56"/>
      <c r="B16" s="13"/>
      <c r="C16" s="50" t="s">
        <v>58</v>
      </c>
      <c r="D16" s="50">
        <v>7</v>
      </c>
      <c r="E16" s="51" t="s">
        <v>67</v>
      </c>
      <c r="F16" s="52">
        <v>8</v>
      </c>
      <c r="G16" s="52">
        <v>8</v>
      </c>
      <c r="H16" s="52">
        <v>8</v>
      </c>
      <c r="I16" s="52" t="s">
        <v>60</v>
      </c>
      <c r="J16" s="52">
        <v>10</v>
      </c>
      <c r="K16" s="52">
        <v>8</v>
      </c>
      <c r="L16" s="52">
        <v>8</v>
      </c>
      <c r="M16" s="52">
        <v>4</v>
      </c>
      <c r="N16" s="52">
        <v>8</v>
      </c>
      <c r="O16" s="52">
        <v>8</v>
      </c>
      <c r="P16" s="52" t="s">
        <v>60</v>
      </c>
      <c r="Q16" s="52" t="s">
        <v>60</v>
      </c>
      <c r="R16" s="52">
        <v>5</v>
      </c>
      <c r="S16" s="52">
        <v>10</v>
      </c>
      <c r="T16" s="52">
        <v>10</v>
      </c>
      <c r="U16" s="45" t="str">
        <f ca="1">IF(COUNTIF(OFFSET($E16,0,1):OFFSET(U16,0,-1),"=*")&gt;0,IF($C16="К","-"," - "),IF(COUNTIF(OFFSET($E16,0,1):OFFSET(U16,0,-1),"&lt;4")&gt;0,IF(C16="К","-"," - "),(IFERROR(AVERAGE(OFFSET($E16,0,1):OFFSET(U16,0,-1)),"Очікую"))))</f>
        <v xml:space="preserve"> - </v>
      </c>
      <c r="V16" s="23"/>
      <c r="W16" s="57"/>
    </row>
    <row r="17" spans="1:23" s="12" customFormat="1" ht="15" customHeight="1" x14ac:dyDescent="0.25">
      <c r="A17" s="56"/>
      <c r="B17" s="13"/>
      <c r="C17" s="50" t="s">
        <v>62</v>
      </c>
      <c r="D17" s="50">
        <v>8</v>
      </c>
      <c r="E17" s="51" t="s">
        <v>68</v>
      </c>
      <c r="F17" s="52">
        <v>10</v>
      </c>
      <c r="G17" s="52">
        <v>8</v>
      </c>
      <c r="H17" s="52">
        <v>7</v>
      </c>
      <c r="I17" s="52">
        <v>8</v>
      </c>
      <c r="J17" s="52">
        <v>11</v>
      </c>
      <c r="K17" s="52">
        <v>9</v>
      </c>
      <c r="L17" s="52">
        <v>10</v>
      </c>
      <c r="M17" s="52">
        <v>10</v>
      </c>
      <c r="N17" s="52">
        <v>9</v>
      </c>
      <c r="O17" s="52">
        <v>6</v>
      </c>
      <c r="P17" s="52">
        <v>5</v>
      </c>
      <c r="Q17" s="52">
        <v>7</v>
      </c>
      <c r="R17" s="52">
        <v>8</v>
      </c>
      <c r="S17" s="52">
        <v>10</v>
      </c>
      <c r="T17" s="52">
        <v>4</v>
      </c>
      <c r="U17" s="45">
        <f ca="1">IF(COUNTIF(OFFSET($E17,0,1):OFFSET(U17,0,-1),"=*")&gt;0,IF($C17="К","-"," - "),IF(COUNTIF(OFFSET($E17,0,1):OFFSET(U17,0,-1),"&lt;4")&gt;0,IF(C17="К","-"," - "),(IFERROR(AVERAGE(OFFSET($E17,0,1):OFFSET(U17,0,-1)),"Очікую"))))</f>
        <v>8.1333333333333329</v>
      </c>
      <c r="V17" s="23"/>
      <c r="W17" s="57"/>
    </row>
    <row r="18" spans="1:23" s="12" customFormat="1" ht="15" customHeight="1" x14ac:dyDescent="0.25">
      <c r="A18" s="56"/>
      <c r="B18" s="13"/>
      <c r="C18" s="50" t="s">
        <v>62</v>
      </c>
      <c r="D18" s="50">
        <v>9</v>
      </c>
      <c r="E18" s="51" t="s">
        <v>69</v>
      </c>
      <c r="F18" s="52">
        <v>4</v>
      </c>
      <c r="G18" s="52">
        <v>9</v>
      </c>
      <c r="H18" s="52">
        <v>4</v>
      </c>
      <c r="I18" s="52" t="s">
        <v>60</v>
      </c>
      <c r="J18" s="52">
        <v>9</v>
      </c>
      <c r="K18" s="52">
        <v>6</v>
      </c>
      <c r="L18" s="52" t="s">
        <v>60</v>
      </c>
      <c r="M18" s="52">
        <v>11</v>
      </c>
      <c r="N18" s="52">
        <v>11</v>
      </c>
      <c r="O18" s="52">
        <v>10</v>
      </c>
      <c r="P18" s="52">
        <v>8</v>
      </c>
      <c r="Q18" s="52">
        <v>11</v>
      </c>
      <c r="R18" s="52">
        <v>9</v>
      </c>
      <c r="S18" s="52">
        <v>7</v>
      </c>
      <c r="T18" s="52">
        <v>11</v>
      </c>
      <c r="U18" s="45" t="str">
        <f ca="1">IF(COUNTIF(OFFSET($E18,0,1):OFFSET(U18,0,-1),"=*")&gt;0,IF($C18="К","-"," - "),IF(COUNTIF(OFFSET($E18,0,1):OFFSET(U18,0,-1),"&lt;4")&gt;0,IF(C18="К","-"," - "),(IFERROR(AVERAGE(OFFSET($E18,0,1):OFFSET(U18,0,-1)),"Очікую"))))</f>
        <v>-</v>
      </c>
      <c r="V18" s="23"/>
      <c r="W18" s="57"/>
    </row>
    <row r="19" spans="1:23" s="12" customFormat="1" ht="15" customHeight="1" x14ac:dyDescent="0.25">
      <c r="A19" s="56"/>
      <c r="B19" s="13"/>
      <c r="C19" s="50" t="s">
        <v>58</v>
      </c>
      <c r="D19" s="50">
        <v>10</v>
      </c>
      <c r="E19" s="51" t="s">
        <v>70</v>
      </c>
      <c r="F19" s="52">
        <v>4</v>
      </c>
      <c r="G19" s="52">
        <v>4</v>
      </c>
      <c r="H19" s="52">
        <v>7</v>
      </c>
      <c r="I19" s="52">
        <v>9</v>
      </c>
      <c r="J19" s="52">
        <v>9</v>
      </c>
      <c r="K19" s="52">
        <v>6</v>
      </c>
      <c r="L19" s="52">
        <v>8</v>
      </c>
      <c r="M19" s="52">
        <v>8</v>
      </c>
      <c r="N19" s="52">
        <v>10</v>
      </c>
      <c r="O19" s="52">
        <v>4</v>
      </c>
      <c r="P19" s="52">
        <v>11</v>
      </c>
      <c r="Q19" s="52">
        <v>7</v>
      </c>
      <c r="R19" s="52">
        <v>8</v>
      </c>
      <c r="S19" s="52">
        <v>10</v>
      </c>
      <c r="T19" s="52">
        <v>8</v>
      </c>
      <c r="U19" s="45">
        <f ca="1">IF(COUNTIF(OFFSET($E19,0,1):OFFSET(U19,0,-1),"=*")&gt;0,IF($C19="К","-"," - "),IF(COUNTIF(OFFSET($E19,0,1):OFFSET(U19,0,-1),"&lt;4")&gt;0,IF(C19="К","-"," - "),(IFERROR(AVERAGE(OFFSET($E19,0,1):OFFSET(U19,0,-1)),"Очікую"))))</f>
        <v>7.5333333333333332</v>
      </c>
      <c r="V19" s="23"/>
      <c r="W19" s="57"/>
    </row>
    <row r="20" spans="1:23" s="12" customFormat="1" ht="15" customHeight="1" x14ac:dyDescent="0.25">
      <c r="A20" s="56"/>
      <c r="B20" s="13"/>
      <c r="C20" s="50" t="s">
        <v>58</v>
      </c>
      <c r="D20" s="50">
        <v>11</v>
      </c>
      <c r="E20" s="51" t="s">
        <v>71</v>
      </c>
      <c r="F20" s="52">
        <v>8</v>
      </c>
      <c r="G20" s="52">
        <v>11</v>
      </c>
      <c r="H20" s="52">
        <v>4</v>
      </c>
      <c r="I20" s="52">
        <v>10</v>
      </c>
      <c r="J20" s="52">
        <v>5</v>
      </c>
      <c r="K20" s="52">
        <v>8</v>
      </c>
      <c r="L20" s="52">
        <v>11</v>
      </c>
      <c r="M20" s="52">
        <v>9</v>
      </c>
      <c r="N20" s="52">
        <v>5</v>
      </c>
      <c r="O20" s="52">
        <v>8</v>
      </c>
      <c r="P20" s="52">
        <v>4</v>
      </c>
      <c r="Q20" s="52">
        <v>7</v>
      </c>
      <c r="R20" s="52">
        <v>11</v>
      </c>
      <c r="S20" s="52">
        <v>8</v>
      </c>
      <c r="T20" s="52">
        <v>5</v>
      </c>
      <c r="U20" s="45">
        <f ca="1">IF(COUNTIF(OFFSET($E20,0,1):OFFSET(U20,0,-1),"=*")&gt;0,IF($C20="К","-"," - "),IF(COUNTIF(OFFSET($E20,0,1):OFFSET(U20,0,-1),"&lt;4")&gt;0,IF(C20="К","-"," - "),(IFERROR(AVERAGE(OFFSET($E20,0,1):OFFSET(U20,0,-1)),"Очікую"))))</f>
        <v>7.6</v>
      </c>
      <c r="V20" s="23"/>
      <c r="W20" s="57"/>
    </row>
    <row r="21" spans="1:23" s="12" customFormat="1" ht="15" customHeight="1" x14ac:dyDescent="0.25">
      <c r="A21" s="56"/>
      <c r="B21" s="13"/>
      <c r="C21" s="50" t="s">
        <v>62</v>
      </c>
      <c r="D21" s="50">
        <v>12</v>
      </c>
      <c r="E21" s="51" t="s">
        <v>72</v>
      </c>
      <c r="F21" s="52">
        <v>9</v>
      </c>
      <c r="G21" s="52">
        <v>8</v>
      </c>
      <c r="H21" s="52">
        <v>11</v>
      </c>
      <c r="I21" s="52">
        <v>5</v>
      </c>
      <c r="J21" s="52">
        <v>8</v>
      </c>
      <c r="K21" s="52">
        <v>5</v>
      </c>
      <c r="L21" s="52">
        <v>5</v>
      </c>
      <c r="M21" s="52">
        <v>8</v>
      </c>
      <c r="N21" s="52">
        <v>6</v>
      </c>
      <c r="O21" s="52">
        <v>11</v>
      </c>
      <c r="P21" s="52">
        <v>9</v>
      </c>
      <c r="Q21" s="52">
        <v>8</v>
      </c>
      <c r="R21" s="52">
        <v>8</v>
      </c>
      <c r="S21" s="52">
        <v>8</v>
      </c>
      <c r="T21" s="52">
        <v>8</v>
      </c>
      <c r="U21" s="45">
        <f ca="1">IF(COUNTIF(OFFSET($E21,0,1):OFFSET(U21,0,-1),"=*")&gt;0,IF($C21="К","-"," - "),IF(COUNTIF(OFFSET($E21,0,1):OFFSET(U21,0,-1),"&lt;4")&gt;0,IF(C21="К","-"," - "),(IFERROR(AVERAGE(OFFSET($E21,0,1):OFFSET(U21,0,-1)),"Очікую"))))</f>
        <v>7.8</v>
      </c>
      <c r="V21" s="23"/>
      <c r="W21" s="57"/>
    </row>
    <row r="22" spans="1:23" s="12" customFormat="1" ht="15" customHeight="1" x14ac:dyDescent="0.25">
      <c r="A22" s="56"/>
      <c r="B22" s="13"/>
      <c r="C22" s="50" t="s">
        <v>62</v>
      </c>
      <c r="D22" s="50">
        <v>13</v>
      </c>
      <c r="E22" s="51" t="s">
        <v>73</v>
      </c>
      <c r="F22" s="52">
        <v>11</v>
      </c>
      <c r="G22" s="52">
        <v>6</v>
      </c>
      <c r="H22" s="52" t="s">
        <v>60</v>
      </c>
      <c r="I22" s="52">
        <v>9</v>
      </c>
      <c r="J22" s="52">
        <v>9</v>
      </c>
      <c r="K22" s="52" t="s">
        <v>60</v>
      </c>
      <c r="L22" s="52">
        <v>8</v>
      </c>
      <c r="M22" s="52">
        <v>11</v>
      </c>
      <c r="N22" s="52">
        <v>5</v>
      </c>
      <c r="O22" s="52">
        <v>6</v>
      </c>
      <c r="P22" s="52">
        <v>4</v>
      </c>
      <c r="Q22" s="52">
        <v>11</v>
      </c>
      <c r="R22" s="52">
        <v>9</v>
      </c>
      <c r="S22" s="52">
        <v>6</v>
      </c>
      <c r="T22" s="52">
        <v>8</v>
      </c>
      <c r="U22" s="45" t="str">
        <f ca="1">IF(COUNTIF(OFFSET($E22,0,1):OFFSET(U22,0,-1),"=*")&gt;0,IF($C22="К","-"," - "),IF(COUNTIF(OFFSET($E22,0,1):OFFSET(U22,0,-1),"&lt;4")&gt;0,IF(C22="К","-"," - "),(IFERROR(AVERAGE(OFFSET($E22,0,1):OFFSET(U22,0,-1)),"Очікую"))))</f>
        <v>-</v>
      </c>
      <c r="V22" s="23"/>
      <c r="W22" s="57"/>
    </row>
    <row r="23" spans="1:23" s="12" customFormat="1" ht="15" customHeight="1" x14ac:dyDescent="0.25">
      <c r="A23" s="56"/>
      <c r="B23" s="13"/>
      <c r="C23" s="50" t="s">
        <v>58</v>
      </c>
      <c r="D23" s="50">
        <v>14</v>
      </c>
      <c r="E23" s="51" t="s">
        <v>74</v>
      </c>
      <c r="F23" s="52">
        <v>11</v>
      </c>
      <c r="G23" s="52">
        <v>8</v>
      </c>
      <c r="H23" s="52">
        <v>4</v>
      </c>
      <c r="I23" s="52">
        <v>9</v>
      </c>
      <c r="J23" s="52">
        <v>7</v>
      </c>
      <c r="K23" s="52">
        <v>5</v>
      </c>
      <c r="L23" s="52">
        <v>8</v>
      </c>
      <c r="M23" s="52">
        <v>5</v>
      </c>
      <c r="N23" s="52">
        <v>9</v>
      </c>
      <c r="O23" s="52">
        <v>4</v>
      </c>
      <c r="P23" s="52">
        <v>8</v>
      </c>
      <c r="Q23" s="52">
        <v>8</v>
      </c>
      <c r="R23" s="52">
        <v>6</v>
      </c>
      <c r="S23" s="52">
        <v>9</v>
      </c>
      <c r="T23" s="52">
        <v>9</v>
      </c>
      <c r="U23" s="45">
        <f ca="1">IF(COUNTIF(OFFSET($E23,0,1):OFFSET(U23,0,-1),"=*")&gt;0,IF($C23="К","-"," - "),IF(COUNTIF(OFFSET($E23,0,1):OFFSET(U23,0,-1),"&lt;4")&gt;0,IF(C23="К","-"," - "),(IFERROR(AVERAGE(OFFSET($E23,0,1):OFFSET(U23,0,-1)),"Очікую"))))</f>
        <v>7.333333333333333</v>
      </c>
      <c r="V23" s="23"/>
      <c r="W23" s="57"/>
    </row>
    <row r="24" spans="1:23" s="12" customFormat="1" ht="15" customHeight="1" x14ac:dyDescent="0.25">
      <c r="A24" s="56"/>
      <c r="B24" s="13"/>
      <c r="C24" s="50" t="s">
        <v>58</v>
      </c>
      <c r="D24" s="50">
        <v>15</v>
      </c>
      <c r="E24" s="51" t="s">
        <v>75</v>
      </c>
      <c r="F24" s="52">
        <v>11</v>
      </c>
      <c r="G24" s="52">
        <v>5</v>
      </c>
      <c r="H24" s="52">
        <v>6</v>
      </c>
      <c r="I24" s="52">
        <v>6</v>
      </c>
      <c r="J24" s="52" t="s">
        <v>60</v>
      </c>
      <c r="K24" s="52">
        <v>10</v>
      </c>
      <c r="L24" s="52">
        <v>9</v>
      </c>
      <c r="M24" s="52">
        <v>11</v>
      </c>
      <c r="N24" s="52">
        <v>11</v>
      </c>
      <c r="O24" s="52">
        <v>11</v>
      </c>
      <c r="P24" s="52">
        <v>10</v>
      </c>
      <c r="Q24" s="52">
        <v>11</v>
      </c>
      <c r="R24" s="52">
        <v>10</v>
      </c>
      <c r="S24" s="52">
        <v>11</v>
      </c>
      <c r="T24" s="52">
        <v>8</v>
      </c>
      <c r="U24" s="45" t="str">
        <f ca="1">IF(COUNTIF(OFFSET($E24,0,1):OFFSET(U24,0,-1),"=*")&gt;0,IF($C24="К","-"," - "),IF(COUNTIF(OFFSET($E24,0,1):OFFSET(U24,0,-1),"&lt;4")&gt;0,IF(C24="К","-"," - "),(IFERROR(AVERAGE(OFFSET($E24,0,1):OFFSET(U24,0,-1)),"Очікую"))))</f>
        <v xml:space="preserve"> - </v>
      </c>
      <c r="V24" s="23"/>
      <c r="W24" s="57"/>
    </row>
    <row r="25" spans="1:23" s="12" customFormat="1" ht="15" customHeight="1" x14ac:dyDescent="0.25">
      <c r="A25" s="56"/>
      <c r="B25" s="13"/>
      <c r="C25" s="50" t="s">
        <v>62</v>
      </c>
      <c r="D25" s="50">
        <v>16</v>
      </c>
      <c r="E25" s="51" t="s">
        <v>76</v>
      </c>
      <c r="F25" s="52">
        <v>5</v>
      </c>
      <c r="G25" s="52">
        <v>10</v>
      </c>
      <c r="H25" s="52">
        <v>10</v>
      </c>
      <c r="I25" s="52">
        <v>8</v>
      </c>
      <c r="J25" s="52">
        <v>9</v>
      </c>
      <c r="K25" s="52">
        <v>9</v>
      </c>
      <c r="L25" s="52">
        <v>9</v>
      </c>
      <c r="M25" s="52">
        <v>4</v>
      </c>
      <c r="N25" s="52">
        <v>9</v>
      </c>
      <c r="O25" s="52">
        <v>8</v>
      </c>
      <c r="P25" s="52">
        <v>10</v>
      </c>
      <c r="Q25" s="52">
        <v>8</v>
      </c>
      <c r="R25" s="52">
        <v>11</v>
      </c>
      <c r="S25" s="52">
        <v>8</v>
      </c>
      <c r="T25" s="52">
        <v>8</v>
      </c>
      <c r="U25" s="45">
        <f ca="1">IF(COUNTIF(OFFSET($E25,0,1):OFFSET(U25,0,-1),"=*")&gt;0,IF($C25="К","-"," - "),IF(COUNTIF(OFFSET($E25,0,1):OFFSET(U25,0,-1),"&lt;4")&gt;0,IF(C25="К","-"," - "),(IFERROR(AVERAGE(OFFSET($E25,0,1):OFFSET(U25,0,-1)),"Очікую"))))</f>
        <v>8.4</v>
      </c>
      <c r="V25" s="23"/>
      <c r="W25" s="57"/>
    </row>
    <row r="26" spans="1:23" s="12" customFormat="1" ht="15" customHeight="1" x14ac:dyDescent="0.25">
      <c r="A26" s="56"/>
      <c r="B26" s="13"/>
      <c r="C26" s="50" t="s">
        <v>58</v>
      </c>
      <c r="D26" s="50">
        <v>17</v>
      </c>
      <c r="E26" s="51" t="s">
        <v>77</v>
      </c>
      <c r="F26" s="52">
        <v>8</v>
      </c>
      <c r="G26" s="52">
        <v>7</v>
      </c>
      <c r="H26" s="52" t="s">
        <v>60</v>
      </c>
      <c r="I26" s="52">
        <v>4</v>
      </c>
      <c r="J26" s="52">
        <v>7</v>
      </c>
      <c r="K26" s="52">
        <v>8</v>
      </c>
      <c r="L26" s="52">
        <v>5</v>
      </c>
      <c r="M26" s="52">
        <v>10</v>
      </c>
      <c r="N26" s="52">
        <v>4</v>
      </c>
      <c r="O26" s="52">
        <v>8</v>
      </c>
      <c r="P26" s="52">
        <v>8</v>
      </c>
      <c r="Q26" s="52">
        <v>6</v>
      </c>
      <c r="R26" s="52">
        <v>4</v>
      </c>
      <c r="S26" s="52">
        <v>7</v>
      </c>
      <c r="T26" s="52">
        <v>10</v>
      </c>
      <c r="U26" s="45" t="str">
        <f ca="1">IF(COUNTIF(OFFSET($E26,0,1):OFFSET(U26,0,-1),"=*")&gt;0,IF($C26="К","-"," - "),IF(COUNTIF(OFFSET($E26,0,1):OFFSET(U26,0,-1),"&lt;4")&gt;0,IF(C26="К","-"," - "),(IFERROR(AVERAGE(OFFSET($E26,0,1):OFFSET(U26,0,-1)),"Очікую"))))</f>
        <v xml:space="preserve"> - </v>
      </c>
      <c r="V26" s="23"/>
      <c r="W26" s="57"/>
    </row>
    <row r="27" spans="1:23" s="12" customFormat="1" ht="15" customHeight="1" x14ac:dyDescent="0.25">
      <c r="A27" s="56"/>
      <c r="B27" s="13"/>
      <c r="C27" s="50" t="s">
        <v>58</v>
      </c>
      <c r="D27" s="50">
        <v>18</v>
      </c>
      <c r="E27" s="51" t="s">
        <v>78</v>
      </c>
      <c r="F27" s="52">
        <v>9</v>
      </c>
      <c r="G27" s="52">
        <v>9</v>
      </c>
      <c r="H27" s="52">
        <v>7</v>
      </c>
      <c r="I27" s="52">
        <v>11</v>
      </c>
      <c r="J27" s="52" t="s">
        <v>60</v>
      </c>
      <c r="K27" s="52">
        <v>10</v>
      </c>
      <c r="L27" s="52">
        <v>8</v>
      </c>
      <c r="M27" s="52">
        <v>8</v>
      </c>
      <c r="N27" s="52">
        <v>5</v>
      </c>
      <c r="O27" s="52">
        <v>7</v>
      </c>
      <c r="P27" s="52">
        <v>7</v>
      </c>
      <c r="Q27" s="52">
        <v>4</v>
      </c>
      <c r="R27" s="52">
        <v>8</v>
      </c>
      <c r="S27" s="52">
        <v>4</v>
      </c>
      <c r="T27" s="52">
        <v>8</v>
      </c>
      <c r="U27" s="45" t="str">
        <f ca="1">IF(COUNTIF(OFFSET($E27,0,1):OFFSET(U27,0,-1),"=*")&gt;0,IF($C27="К","-"," - "),IF(COUNTIF(OFFSET($E27,0,1):OFFSET(U27,0,-1),"&lt;4")&gt;0,IF(C27="К","-"," - "),(IFERROR(AVERAGE(OFFSET($E27,0,1):OFFSET(U27,0,-1)),"Очікую"))))</f>
        <v xml:space="preserve"> - </v>
      </c>
      <c r="V27" s="23"/>
      <c r="W27" s="57"/>
    </row>
    <row r="28" spans="1:23" ht="15" customHeight="1" x14ac:dyDescent="0.25">
      <c r="A28" s="56"/>
      <c r="B28" s="13"/>
      <c r="C28" s="7"/>
      <c r="D28" s="7"/>
      <c r="E28" s="58" t="s">
        <v>4</v>
      </c>
      <c r="F28" s="59">
        <f ca="1">IF(SUM(OFFSET(F$9,1,0):OFFSET(F28,-1,0))=0,IF(COUNTA(OFFSET(F$9,1,0):OFFSET(F28,-1,0))=0,"Очікую",0),SUM(OFFSET(F$9,1,0):OFFSET(F28,-1,0))/OFFSET($D28,-1,0))</f>
        <v>7.5555555555555554</v>
      </c>
      <c r="G28" s="59">
        <f ca="1">IF(SUM(OFFSET(G$9,1,0):OFFSET(G28,-1,0))=0,IF(COUNTA(OFFSET(G$9,1,0):OFFSET(G28,-1,0))=0,"Очікую",0),SUM(OFFSET(G$9,1,0):OFFSET(G28,-1,0))/OFFSET($D28,-1,0))</f>
        <v>7.5</v>
      </c>
      <c r="H28" s="59">
        <f ca="1">IF(SUM(OFFSET(H$9,1,0):OFFSET(H28,-1,0))=0,IF(COUNTA(OFFSET(H$9,1,0):OFFSET(H28,-1,0))=0,"Очікую",0),SUM(OFFSET(H$9,1,0):OFFSET(H28,-1,0))/OFFSET($D28,-1,0))</f>
        <v>5.5555555555555554</v>
      </c>
      <c r="I28" s="59">
        <f ca="1">IF(SUM(OFFSET(I$9,1,0):OFFSET(I28,-1,0))=0,IF(COUNTA(OFFSET(I$9,1,0):OFFSET(I28,-1,0))=0,"Очікую",0),SUM(OFFSET(I$9,1,0):OFFSET(I28,-1,0))/OFFSET($D28,-1,0))</f>
        <v>6.333333333333333</v>
      </c>
      <c r="J28" s="59">
        <f ca="1">IF(SUM(OFFSET(J$9,1,0):OFFSET(J28,-1,0))=0,IF(COUNTA(OFFSET(J$9,1,0):OFFSET(J28,-1,0))=0,"Очікую",0),SUM(OFFSET(J$9,1,0):OFFSET(J28,-1,0))/OFFSET($D28,-1,0))</f>
        <v>6.8888888888888893</v>
      </c>
      <c r="K28" s="59">
        <f ca="1">IF(SUM(OFFSET(K$9,1,0):OFFSET(K28,-1,0))=0,IF(COUNTA(OFFSET(K$9,1,0):OFFSET(K28,-1,0))=0,"Очікую",0),SUM(OFFSET(K$9,1,0):OFFSET(K28,-1,0))/OFFSET($D28,-1,0))</f>
        <v>6.6111111111111107</v>
      </c>
      <c r="L28" s="59">
        <f ca="1">IF(SUM(OFFSET(L$9,1,0):OFFSET(L28,-1,0))=0,IF(COUNTA(OFFSET(L$9,1,0):OFFSET(L28,-1,0))=0,"Очікую",0),SUM(OFFSET(L$9,1,0):OFFSET(L28,-1,0))/OFFSET($D28,-1,0))</f>
        <v>7.333333333333333</v>
      </c>
      <c r="M28" s="59">
        <f ca="1">IF(SUM(OFFSET(M$9,1,0):OFFSET(M28,-1,0))=0,IF(COUNTA(OFFSET(M$9,1,0):OFFSET(M28,-1,0))=0,"Очікую",0),SUM(OFFSET(M$9,1,0):OFFSET(M28,-1,0))/OFFSET($D28,-1,0))</f>
        <v>8.2222222222222214</v>
      </c>
      <c r="N28" s="59">
        <f ca="1">IF(SUM(OFFSET(N$9,1,0):OFFSET(N28,-1,0))=0,IF(COUNTA(OFFSET(N$9,1,0):OFFSET(N28,-1,0))=0,"Очікую",0),SUM(OFFSET(N$9,1,0):OFFSET(N28,-1,0))/OFFSET($D28,-1,0))</f>
        <v>7.0555555555555554</v>
      </c>
      <c r="O28" s="59">
        <f ca="1">IF(SUM(OFFSET(O$9,1,0):OFFSET(O28,-1,0))=0,IF(COUNTA(OFFSET(O$9,1,0):OFFSET(O28,-1,0))=0,"Очікую",0),SUM(OFFSET(O$9,1,0):OFFSET(O28,-1,0))/OFFSET($D28,-1,0))</f>
        <v>8</v>
      </c>
      <c r="P28" s="59">
        <f ca="1">IF(SUM(OFFSET(P$9,1,0):OFFSET(P28,-1,0))=0,IF(COUNTA(OFFSET(P$9,1,0):OFFSET(P28,-1,0))=0,"Очікую",0),SUM(OFFSET(P$9,1,0):OFFSET(P28,-1,0))/OFFSET($D28,-1,0))</f>
        <v>6.2777777777777777</v>
      </c>
      <c r="Q28" s="59">
        <f ca="1">IF(SUM(OFFSET(Q$9,1,0):OFFSET(Q28,-1,0))=0,IF(COUNTA(OFFSET(Q$9,1,0):OFFSET(Q28,-1,0))=0,"Очікую",0),SUM(OFFSET(Q$9,1,0):OFFSET(Q28,-1,0))/OFFSET($D28,-1,0))</f>
        <v>7.2222222222222223</v>
      </c>
      <c r="R28" s="59">
        <f ca="1">IF(SUM(OFFSET(R$9,1,0):OFFSET(R28,-1,0))=0,IF(COUNTA(OFFSET(R$9,1,0):OFFSET(R28,-1,0))=0,"Очікую",0),SUM(OFFSET(R$9,1,0):OFFSET(R28,-1,0))/OFFSET($D28,-1,0))</f>
        <v>7.8888888888888893</v>
      </c>
      <c r="S28" s="59">
        <f ca="1">IF(SUM(OFFSET(S$9,1,0):OFFSET(S28,-1,0))=0,IF(COUNTA(OFFSET(S$9,1,0):OFFSET(S28,-1,0))=0,"Очікую",0),SUM(OFFSET(S$9,1,0):OFFSET(S28,-1,0))/OFFSET($D28,-1,0))</f>
        <v>7.9444444444444446</v>
      </c>
      <c r="T28" s="59">
        <f ca="1">IF(SUM(OFFSET(T$9,1,0):OFFSET(T28,-1,0))=0,IF(COUNTA(OFFSET(T$9,1,0):OFFSET(T28,-1,0))=0,"Очікую",0),SUM(OFFSET(T$9,1,0):OFFSET(T28,-1,0))/OFFSET($D28,-1,0))</f>
        <v>7.333333333333333</v>
      </c>
      <c r="U28" s="10">
        <f ca="1">IFERROR(AVERAGE(OFFSET($E28,0,1):OFFSET(U28,0,-1)),"Очікую")</f>
        <v>7.1814814814814811</v>
      </c>
      <c r="V28" s="21"/>
      <c r="W28" s="57"/>
    </row>
    <row r="29" spans="1:23" ht="15" customHeight="1" x14ac:dyDescent="0.25">
      <c r="A29" s="56"/>
      <c r="B29" s="13"/>
      <c r="C29" s="7"/>
      <c r="D29" s="7"/>
      <c r="E29" s="8" t="s">
        <v>5</v>
      </c>
      <c r="F29" s="60">
        <f ca="1">IF(SUM(OFFSET(F$9,1,0):OFFSET(F28,-1,0))=0,IF(COUNTA(OFFSET(F$9,1,0):OFFSET(F28,-1,0))=0,"Очікую",0),IF(COUNTIF(OFFSET(F$9,1,0):OFFSET(F28,-1,0),"&gt;=4")=0,0,COUNTIF(OFFSET(F$9,1,0):OFFSET(F28,-1,0),"&gt;=4")/OFFSET($D28,-1,0)*100))</f>
        <v>100</v>
      </c>
      <c r="G29" s="60">
        <f ca="1">IF(SUM(OFFSET(G$9,1,0):OFFSET(G28,-1,0))=0,IF(COUNTA(OFFSET(G$9,1,0):OFFSET(G28,-1,0))=0,"Очікую",0),IF(COUNTIF(OFFSET(G$9,1,0):OFFSET(G28,-1,0),"&gt;=4")=0,0,COUNTIF(OFFSET(G$9,1,0):OFFSET(G28,-1,0),"&gt;=4")/OFFSET($D28,-1,0)*100))</f>
        <v>100</v>
      </c>
      <c r="H29" s="60">
        <f ca="1">IF(SUM(OFFSET(H$9,1,0):OFFSET(H28,-1,0))=0,IF(COUNTA(OFFSET(H$9,1,0):OFFSET(H28,-1,0))=0,"Очікую",0),IF(COUNTIF(OFFSET(H$9,1,0):OFFSET(H28,-1,0),"&gt;=4")=0,0,COUNTIF(OFFSET(H$9,1,0):OFFSET(H28,-1,0),"&gt;=4")/OFFSET($D28,-1,0)*100))</f>
        <v>88.888888888888886</v>
      </c>
      <c r="I29" s="60">
        <f ca="1">IF(SUM(OFFSET(I$9,1,0):OFFSET(I28,-1,0))=0,IF(COUNTA(OFFSET(I$9,1,0):OFFSET(I28,-1,0))=0,"Очікую",0),IF(COUNTIF(OFFSET(I$9,1,0):OFFSET(I28,-1,0),"&gt;=4")=0,0,COUNTIF(OFFSET(I$9,1,0):OFFSET(I28,-1,0),"&gt;=4")/OFFSET($D28,-1,0)*100))</f>
        <v>88.888888888888886</v>
      </c>
      <c r="J29" s="60">
        <f ca="1">IF(SUM(OFFSET(J$9,1,0):OFFSET(J28,-1,0))=0,IF(COUNTA(OFFSET(J$9,1,0):OFFSET(J28,-1,0))=0,"Очікую",0),IF(COUNTIF(OFFSET(J$9,1,0):OFFSET(J28,-1,0),"&gt;=4")=0,0,COUNTIF(OFFSET(J$9,1,0):OFFSET(J28,-1,0),"&gt;=4")/OFFSET($D28,-1,0)*100))</f>
        <v>83.333333333333343</v>
      </c>
      <c r="K29" s="60">
        <f ca="1">IF(SUM(OFFSET(K$9,1,0):OFFSET(K28,-1,0))=0,IF(COUNTA(OFFSET(K$9,1,0):OFFSET(K28,-1,0))=0,"Очікую",0),IF(COUNTIF(OFFSET(K$9,1,0):OFFSET(K28,-1,0),"&gt;=4")=0,0,COUNTIF(OFFSET(K$9,1,0):OFFSET(K28,-1,0),"&gt;=4")/OFFSET($D28,-1,0)*100))</f>
        <v>94.444444444444443</v>
      </c>
      <c r="L29" s="60">
        <f ca="1">IF(SUM(OFFSET(L$9,1,0):OFFSET(L28,-1,0))=0,IF(COUNTA(OFFSET(L$9,1,0):OFFSET(L28,-1,0))=0,"Очікую",0),IF(COUNTIF(OFFSET(L$9,1,0):OFFSET(L28,-1,0),"&gt;=4")=0,0,COUNTIF(OFFSET(L$9,1,0):OFFSET(L28,-1,0),"&gt;=4")/OFFSET($D28,-1,0)*100))</f>
        <v>88.888888888888886</v>
      </c>
      <c r="M29" s="60">
        <f ca="1">IF(SUM(OFFSET(M$9,1,0):OFFSET(M28,-1,0))=0,IF(COUNTA(OFFSET(M$9,1,0):OFFSET(M28,-1,0))=0,"Очікую",0),IF(COUNTIF(OFFSET(M$9,1,0):OFFSET(M28,-1,0),"&gt;=4")=0,0,COUNTIF(OFFSET(M$9,1,0):OFFSET(M28,-1,0),"&gt;=4")/OFFSET($D28,-1,0)*100))</f>
        <v>100</v>
      </c>
      <c r="N29" s="60">
        <f ca="1">IF(SUM(OFFSET(N$9,1,0):OFFSET(N28,-1,0))=0,IF(COUNTA(OFFSET(N$9,1,0):OFFSET(N28,-1,0))=0,"Очікую",0),IF(COUNTIF(OFFSET(N$9,1,0):OFFSET(N28,-1,0),"&gt;=4")=0,0,COUNTIF(OFFSET(N$9,1,0):OFFSET(N28,-1,0),"&gt;=4")/OFFSET($D28,-1,0)*100))</f>
        <v>88.888888888888886</v>
      </c>
      <c r="O29" s="60">
        <f ca="1">IF(SUM(OFFSET(O$9,1,0):OFFSET(O28,-1,0))=0,IF(COUNTA(OFFSET(O$9,1,0):OFFSET(O28,-1,0))=0,"Очікую",0),IF(COUNTIF(OFFSET(O$9,1,0):OFFSET(O28,-1,0),"&gt;=4")=0,0,COUNTIF(OFFSET(O$9,1,0):OFFSET(O28,-1,0),"&gt;=4")/OFFSET($D28,-1,0)*100))</f>
        <v>100</v>
      </c>
      <c r="P29" s="60">
        <f ca="1">IF(SUM(OFFSET(P$9,1,0):OFFSET(P28,-1,0))=0,IF(COUNTA(OFFSET(P$9,1,0):OFFSET(P28,-1,0))=0,"Очікую",0),IF(COUNTIF(OFFSET(P$9,1,0):OFFSET(P28,-1,0),"&gt;=4")=0,0,COUNTIF(OFFSET(P$9,1,0):OFFSET(P28,-1,0),"&gt;=4")/OFFSET($D28,-1,0)*100))</f>
        <v>83.333333333333343</v>
      </c>
      <c r="Q29" s="60">
        <f ca="1">IF(SUM(OFFSET(Q$9,1,0):OFFSET(Q28,-1,0))=0,IF(COUNTA(OFFSET(Q$9,1,0):OFFSET(Q28,-1,0))=0,"Очікую",0),IF(COUNTIF(OFFSET(Q$9,1,0):OFFSET(Q28,-1,0),"&gt;=4")=0,0,COUNTIF(OFFSET(Q$9,1,0):OFFSET(Q28,-1,0),"&gt;=4")/OFFSET($D28,-1,0)*100))</f>
        <v>94.444444444444443</v>
      </c>
      <c r="R29" s="60">
        <f ca="1">IF(SUM(OFFSET(R$9,1,0):OFFSET(R28,-1,0))=0,IF(COUNTA(OFFSET(R$9,1,0):OFFSET(R28,-1,0))=0,"Очікую",0),IF(COUNTIF(OFFSET(R$9,1,0):OFFSET(R28,-1,0),"&gt;=4")=0,0,COUNTIF(OFFSET(R$9,1,0):OFFSET(R28,-1,0),"&gt;=4")/OFFSET($D28,-1,0)*100))</f>
        <v>94.444444444444443</v>
      </c>
      <c r="S29" s="60">
        <f ca="1">IF(SUM(OFFSET(S$9,1,0):OFFSET(S28,-1,0))=0,IF(COUNTA(OFFSET(S$9,1,0):OFFSET(S28,-1,0))=0,"Очікую",0),IF(COUNTIF(OFFSET(S$9,1,0):OFFSET(S28,-1,0),"&gt;=4")=0,0,COUNTIF(OFFSET(S$9,1,0):OFFSET(S28,-1,0),"&gt;=4")/OFFSET($D28,-1,0)*100))</f>
        <v>94.444444444444443</v>
      </c>
      <c r="T29" s="60">
        <f ca="1">IF(SUM(OFFSET(T$9,1,0):OFFSET(T28,-1,0))=0,IF(COUNTA(OFFSET(T$9,1,0):OFFSET(T28,-1,0))=0,"Очікую",0),IF(COUNTIF(OFFSET(T$9,1,0):OFFSET(T28,-1,0),"&gt;=4")=0,0,COUNTIF(OFFSET(T$9,1,0):OFFSET(T28,-1,0),"&gt;=4")/OFFSET($D28,-1,0)*100))</f>
        <v>94.444444444444443</v>
      </c>
      <c r="U29" s="7"/>
      <c r="V29" s="21"/>
      <c r="W29" s="57"/>
    </row>
    <row r="30" spans="1:23" ht="15" customHeight="1" x14ac:dyDescent="0.25">
      <c r="A30" s="56"/>
      <c r="B30" s="13"/>
      <c r="C30" s="7"/>
      <c r="D30" s="7"/>
      <c r="E30" s="8" t="s">
        <v>6</v>
      </c>
      <c r="F30" s="60">
        <f ca="1">IF(SUM(OFFSET(F$9,1,0):OFFSET(F28,-1,0))=0,IF(COUNTA(OFFSET(F$9,1,0):OFFSET(F28,-1,0))=0,"Очікую",0),IF(COUNTIF(OFFSET(F$9,1,0):OFFSET(F28,-1,0),"&gt;=7")=0,0,COUNTIF(OFFSET(F$9,1,0):OFFSET(F28,-1,0),"&gt;=7")/OFFSET($D28,-1,0)*100))</f>
        <v>66.666666666666657</v>
      </c>
      <c r="G30" s="60">
        <f ca="1">IF(SUM(OFFSET(G$9,1,0):OFFSET(G28,-1,0))=0,IF(COUNTA(OFFSET(G$9,1,0):OFFSET(G28,-1,0))=0,"Очікую",0),IF(COUNTIF(OFFSET(G$9,1,0):OFFSET(G28,-1,0),"&gt;=7")=0,0,COUNTIF(OFFSET(G$9,1,0):OFFSET(G28,-1,0),"&gt;=7")/OFFSET($D28,-1,0)*100))</f>
        <v>66.666666666666657</v>
      </c>
      <c r="H30" s="60">
        <f ca="1">IF(SUM(OFFSET(H$9,1,0):OFFSET(H28,-1,0))=0,IF(COUNTA(OFFSET(H$9,1,0):OFFSET(H28,-1,0))=0,"Очікую",0),IF(COUNTIF(OFFSET(H$9,1,0):OFFSET(H28,-1,0),"&gt;=7")=0,0,COUNTIF(OFFSET(H$9,1,0):OFFSET(H28,-1,0),"&gt;=7")/OFFSET($D28,-1,0)*100))</f>
        <v>38.888888888888893</v>
      </c>
      <c r="I30" s="60">
        <f ca="1">IF(SUM(OFFSET(I$9,1,0):OFFSET(I28,-1,0))=0,IF(COUNTA(OFFSET(I$9,1,0):OFFSET(I28,-1,0))=0,"Очікую",0),IF(COUNTIF(OFFSET(I$9,1,0):OFFSET(I28,-1,0),"&gt;=7")=0,0,COUNTIF(OFFSET(I$9,1,0):OFFSET(I28,-1,0),"&gt;=7")/OFFSET($D28,-1,0)*100))</f>
        <v>50</v>
      </c>
      <c r="J30" s="60">
        <f ca="1">IF(SUM(OFFSET(J$9,1,0):OFFSET(J28,-1,0))=0,IF(COUNTA(OFFSET(J$9,1,0):OFFSET(J28,-1,0))=0,"Очікую",0),IF(COUNTIF(OFFSET(J$9,1,0):OFFSET(J28,-1,0),"&gt;=7")=0,0,COUNTIF(OFFSET(J$9,1,0):OFFSET(J28,-1,0),"&gt;=7")/OFFSET($D28,-1,0)*100))</f>
        <v>66.666666666666657</v>
      </c>
      <c r="K30" s="60">
        <f ca="1">IF(SUM(OFFSET(K$9,1,0):OFFSET(K28,-1,0))=0,IF(COUNTA(OFFSET(K$9,1,0):OFFSET(K28,-1,0))=0,"Очікую",0),IF(COUNTIF(OFFSET(K$9,1,0):OFFSET(K28,-1,0),"&gt;=7")=0,0,COUNTIF(OFFSET(K$9,1,0):OFFSET(K28,-1,0),"&gt;=7")/OFFSET($D28,-1,0)*100))</f>
        <v>50</v>
      </c>
      <c r="L30" s="60">
        <f ca="1">IF(SUM(OFFSET(L$9,1,0):OFFSET(L28,-1,0))=0,IF(COUNTA(OFFSET(L$9,1,0):OFFSET(L28,-1,0))=0,"Очікую",0),IF(COUNTIF(OFFSET(L$9,1,0):OFFSET(L28,-1,0),"&gt;=7")=0,0,COUNTIF(OFFSET(L$9,1,0):OFFSET(L28,-1,0),"&gt;=7")/OFFSET($D28,-1,0)*100))</f>
        <v>77.777777777777786</v>
      </c>
      <c r="M30" s="60">
        <f ca="1">IF(SUM(OFFSET(M$9,1,0):OFFSET(M28,-1,0))=0,IF(COUNTA(OFFSET(M$9,1,0):OFFSET(M28,-1,0))=0,"Очікую",0),IF(COUNTIF(OFFSET(M$9,1,0):OFFSET(M28,-1,0),"&gt;=7")=0,0,COUNTIF(OFFSET(M$9,1,0):OFFSET(M28,-1,0),"&gt;=7")/OFFSET($D28,-1,0)*100))</f>
        <v>72.222222222222214</v>
      </c>
      <c r="N30" s="60">
        <f ca="1">IF(SUM(OFFSET(N$9,1,0):OFFSET(N28,-1,0))=0,IF(COUNTA(OFFSET(N$9,1,0):OFFSET(N28,-1,0))=0,"Очікую",0),IF(COUNTIF(OFFSET(N$9,1,0):OFFSET(N28,-1,0),"&gt;=7")=0,0,COUNTIF(OFFSET(N$9,1,0):OFFSET(N28,-1,0),"&gt;=7")/OFFSET($D28,-1,0)*100))</f>
        <v>55.555555555555557</v>
      </c>
      <c r="O30" s="60">
        <f ca="1">IF(SUM(OFFSET(O$9,1,0):OFFSET(O28,-1,0))=0,IF(COUNTA(OFFSET(O$9,1,0):OFFSET(O28,-1,0))=0,"Очікую",0),IF(COUNTIF(OFFSET(O$9,1,0):OFFSET(O28,-1,0),"&gt;=7")=0,0,COUNTIF(OFFSET(O$9,1,0):OFFSET(O28,-1,0),"&gt;=7")/OFFSET($D28,-1,0)*100))</f>
        <v>77.777777777777786</v>
      </c>
      <c r="P30" s="60">
        <f ca="1">IF(SUM(OFFSET(P$9,1,0):OFFSET(P28,-1,0))=0,IF(COUNTA(OFFSET(P$9,1,0):OFFSET(P28,-1,0))=0,"Очікую",0),IF(COUNTIF(OFFSET(P$9,1,0):OFFSET(P28,-1,0),"&gt;=7")=0,0,COUNTIF(OFFSET(P$9,1,0):OFFSET(P28,-1,0),"&gt;=7")/OFFSET($D28,-1,0)*100))</f>
        <v>61.111111111111114</v>
      </c>
      <c r="Q30" s="60">
        <f ca="1">IF(SUM(OFFSET(Q$9,1,0):OFFSET(Q28,-1,0))=0,IF(COUNTA(OFFSET(Q$9,1,0):OFFSET(Q28,-1,0))=0,"Очікую",0),IF(COUNTIF(OFFSET(Q$9,1,0):OFFSET(Q28,-1,0),"&gt;=7")=0,0,COUNTIF(OFFSET(Q$9,1,0):OFFSET(Q28,-1,0),"&gt;=7")/OFFSET($D28,-1,0)*100))</f>
        <v>72.222222222222214</v>
      </c>
      <c r="R30" s="60">
        <f ca="1">IF(SUM(OFFSET(R$9,1,0):OFFSET(R28,-1,0))=0,IF(COUNTA(OFFSET(R$9,1,0):OFFSET(R28,-1,0))=0,"Очікую",0),IF(COUNTIF(OFFSET(R$9,1,0):OFFSET(R28,-1,0),"&gt;=7")=0,0,COUNTIF(OFFSET(R$9,1,0):OFFSET(R28,-1,0),"&gt;=7")/OFFSET($D28,-1,0)*100))</f>
        <v>72.222222222222214</v>
      </c>
      <c r="S30" s="60">
        <f ca="1">IF(SUM(OFFSET(S$9,1,0):OFFSET(S28,-1,0))=0,IF(COUNTA(OFFSET(S$9,1,0):OFFSET(S28,-1,0))=0,"Очікую",0),IF(COUNTIF(OFFSET(S$9,1,0):OFFSET(S28,-1,0),"&gt;=7")=0,0,COUNTIF(OFFSET(S$9,1,0):OFFSET(S28,-1,0),"&gt;=7")/OFFSET($D28,-1,0)*100))</f>
        <v>77.777777777777786</v>
      </c>
      <c r="T30" s="60">
        <f ca="1">IF(SUM(OFFSET(T$9,1,0):OFFSET(T28,-1,0))=0,IF(COUNTA(OFFSET(T$9,1,0):OFFSET(T28,-1,0))=0,"Очікую",0),IF(COUNTIF(OFFSET(T$9,1,0):OFFSET(T28,-1,0),"&gt;=7")=0,0,COUNTIF(OFFSET(T$9,1,0):OFFSET(T28,-1,0),"&gt;=7")/OFFSET($D28,-1,0)*100))</f>
        <v>66.666666666666657</v>
      </c>
      <c r="U30" s="7"/>
      <c r="V30" s="21"/>
      <c r="W30" s="57"/>
    </row>
    <row r="31" spans="1:23" ht="15" customHeight="1" x14ac:dyDescent="0.25">
      <c r="A31" s="56"/>
      <c r="B31" s="13"/>
      <c r="C31" s="7"/>
      <c r="D31" s="7"/>
      <c r="E31" s="8" t="s">
        <v>7</v>
      </c>
      <c r="F31" s="9">
        <f ca="1">IFERROR(AVERAGE(OFFSET(E29,0,1):OFFSET(U29,0,-1)),"Очікую")</f>
        <v>92.962962962962962</v>
      </c>
      <c r="G31" s="7"/>
      <c r="H31" s="7"/>
      <c r="I31" s="7"/>
      <c r="J31" s="7"/>
      <c r="K31" s="7"/>
      <c r="L31" s="7"/>
      <c r="M31" s="7"/>
      <c r="N31" s="7"/>
      <c r="O31" s="7"/>
      <c r="P31" s="7"/>
      <c r="Q31" s="7"/>
      <c r="R31" s="7"/>
      <c r="S31" s="7"/>
      <c r="T31" s="7"/>
      <c r="U31" s="7"/>
      <c r="V31" s="21"/>
      <c r="W31" s="57"/>
    </row>
    <row r="32" spans="1:23" ht="15" customHeight="1" x14ac:dyDescent="0.25">
      <c r="A32" s="56"/>
      <c r="B32" s="13"/>
      <c r="C32" s="7"/>
      <c r="D32" s="7"/>
      <c r="E32" s="8" t="s">
        <v>8</v>
      </c>
      <c r="F32" s="9">
        <f ca="1">IFERROR(AVERAGE(OFFSET(E30,0,1):OFFSET(U30,0,-1)),"Очікую")</f>
        <v>64.81481481481481</v>
      </c>
      <c r="G32" s="7"/>
      <c r="H32" s="7"/>
      <c r="I32" s="7"/>
      <c r="J32" s="7"/>
      <c r="K32" s="7"/>
      <c r="L32" s="7"/>
      <c r="M32" s="7"/>
      <c r="N32" s="7"/>
      <c r="O32" s="7"/>
      <c r="P32" s="7"/>
      <c r="Q32" s="7"/>
      <c r="R32" s="7"/>
      <c r="S32" s="7"/>
      <c r="T32" s="7"/>
      <c r="U32" s="7"/>
      <c r="V32" s="21"/>
      <c r="W32" s="57"/>
    </row>
    <row r="33" spans="1:23" ht="15" customHeight="1" x14ac:dyDescent="0.25">
      <c r="A33" s="56"/>
      <c r="B33" s="13"/>
      <c r="C33" s="7"/>
      <c r="D33" s="7"/>
      <c r="E33" s="8" t="s">
        <v>9</v>
      </c>
      <c r="F33" s="5">
        <f ca="1">IF(COUNTIF(OFFSET(C$9,1,0):OFFSET(C28,-1,0),"=Б")=0,IF(COUNTIF(OFFSET(C$9,1,0):OFFSET(C28,-1,0),"=К")=0,"Очікую",0),COUNTIF(OFFSET(C$9,1,0):OFFSET(C28,-1,0),"=Б"))</f>
        <v>10</v>
      </c>
      <c r="G33" s="7"/>
      <c r="H33" s="11"/>
      <c r="I33" s="7"/>
      <c r="J33" s="7"/>
      <c r="K33" s="7"/>
      <c r="L33" s="7"/>
      <c r="M33" s="7"/>
      <c r="N33" s="7"/>
      <c r="O33" s="7"/>
      <c r="P33" s="24"/>
      <c r="Q33" s="11"/>
      <c r="R33" s="7"/>
      <c r="S33" s="7"/>
      <c r="T33" s="7"/>
      <c r="U33" s="7"/>
      <c r="V33" s="21"/>
      <c r="W33" s="57"/>
    </row>
    <row r="34" spans="1:23" ht="15" customHeight="1" x14ac:dyDescent="0.3">
      <c r="A34" s="56"/>
      <c r="B34" s="13"/>
      <c r="C34" s="7"/>
      <c r="D34" s="7"/>
      <c r="E34" s="8" t="s">
        <v>10</v>
      </c>
      <c r="F34" s="5">
        <f ca="1">IF(COUNTIF(OFFSET(C$9,1,0):OFFSET(C28,-1,0),"=К")=0,IF(COUNTIF(OFFSET(C$9,1,0):OFFSET(C28,-1,0),"=Б")=0,"Очікую",0),COUNTIF(OFFSET(C$9,1,0):OFFSET(C28,-1,0),"=К"))</f>
        <v>8</v>
      </c>
      <c r="G34" s="7"/>
      <c r="H34" s="64" t="s">
        <v>11</v>
      </c>
      <c r="I34" s="64"/>
      <c r="J34" s="64"/>
      <c r="K34" s="64"/>
      <c r="L34" s="64"/>
      <c r="M34" s="7"/>
      <c r="N34" s="7"/>
      <c r="O34" s="7"/>
      <c r="P34" s="65" t="s">
        <v>79</v>
      </c>
      <c r="Q34" s="65"/>
      <c r="R34" s="65"/>
      <c r="S34" s="65"/>
      <c r="T34" s="65"/>
      <c r="U34" s="65"/>
      <c r="V34" s="21"/>
      <c r="W34" s="57"/>
    </row>
    <row r="35" spans="1:23" ht="15" customHeight="1" x14ac:dyDescent="0.25">
      <c r="A35" s="56"/>
      <c r="B35" s="13"/>
      <c r="C35" s="7"/>
      <c r="D35" s="7"/>
      <c r="E35" s="8" t="s">
        <v>12</v>
      </c>
      <c r="F35" s="4"/>
      <c r="G35" s="7"/>
      <c r="H35" s="11"/>
      <c r="I35" s="7"/>
      <c r="J35" s="7"/>
      <c r="K35" s="7"/>
      <c r="L35" s="7"/>
      <c r="M35" s="7"/>
      <c r="N35" s="7"/>
      <c r="O35" s="7"/>
      <c r="P35" s="11"/>
      <c r="Q35" s="11"/>
      <c r="R35" s="7"/>
      <c r="S35" s="7"/>
      <c r="T35" s="7"/>
      <c r="U35" s="7"/>
      <c r="V35" s="21"/>
      <c r="W35" s="57"/>
    </row>
    <row r="36" spans="1:23" ht="15" customHeight="1" x14ac:dyDescent="0.3">
      <c r="A36" s="56"/>
      <c r="B36" s="13"/>
      <c r="C36" s="7"/>
      <c r="D36" s="7"/>
      <c r="E36" s="8" t="s">
        <v>13</v>
      </c>
      <c r="F36" s="5">
        <f ca="1">IF(F33="Очікую","Очікую",IF(F33-COUNTIF(OFFSET(U$9,1,0):OFFSET(U28,-1,0)," - ")&lt;ROUNDDOWN(F33*0.4,0),F33-COUNTIF(OFFSET(U$9,1,0):OFFSET(U28,-1,0)," - "),ROUNDDOWN(F33*0.4,0)))</f>
        <v>3</v>
      </c>
      <c r="G36" s="7"/>
      <c r="H36" s="65" t="s">
        <v>14</v>
      </c>
      <c r="I36" s="65"/>
      <c r="J36" s="65"/>
      <c r="K36" s="65"/>
      <c r="L36" s="65"/>
      <c r="M36" s="7"/>
      <c r="N36" s="7"/>
      <c r="O36" s="7"/>
      <c r="P36" s="65" t="s">
        <v>15</v>
      </c>
      <c r="Q36" s="65"/>
      <c r="R36" s="65"/>
      <c r="S36" s="65"/>
      <c r="T36" s="65"/>
      <c r="U36" s="65"/>
      <c r="V36" s="21"/>
      <c r="W36" s="57"/>
    </row>
    <row r="37" spans="1:23" ht="12" customHeight="1" thickBot="1" x14ac:dyDescent="0.3">
      <c r="A37" s="56"/>
      <c r="B37" s="22"/>
      <c r="C37" s="15"/>
      <c r="D37" s="15"/>
      <c r="E37" s="15"/>
      <c r="F37" s="15"/>
      <c r="G37" s="15"/>
      <c r="H37" s="15"/>
      <c r="I37" s="15"/>
      <c r="J37" s="15"/>
      <c r="K37" s="15"/>
      <c r="L37" s="15"/>
      <c r="M37" s="15"/>
      <c r="N37" s="15"/>
      <c r="O37" s="15"/>
      <c r="P37" s="15"/>
      <c r="Q37" s="15"/>
      <c r="R37" s="15"/>
      <c r="S37" s="15"/>
      <c r="T37" s="15"/>
      <c r="U37" s="15"/>
      <c r="V37" s="16"/>
      <c r="W37" s="57"/>
    </row>
    <row r="38" spans="1:23" ht="12" customHeight="1" x14ac:dyDescent="0.25">
      <c r="A38" s="17"/>
      <c r="B38" s="17"/>
      <c r="C38" s="17"/>
      <c r="D38" s="17"/>
      <c r="E38" s="17"/>
      <c r="F38" s="17"/>
      <c r="G38" s="17"/>
      <c r="H38" s="17"/>
      <c r="I38" s="17"/>
      <c r="J38" s="17"/>
      <c r="K38" s="17"/>
      <c r="L38" s="17"/>
      <c r="M38" s="17"/>
      <c r="N38" s="17"/>
      <c r="O38" s="17"/>
      <c r="P38" s="17"/>
      <c r="Q38" s="17"/>
      <c r="R38" s="17"/>
      <c r="S38" s="17"/>
      <c r="T38" s="17"/>
      <c r="U38" s="17"/>
      <c r="V38" s="17"/>
      <c r="W38" s="57"/>
    </row>
  </sheetData>
  <sheetProtection insertRows="0" deleteRows="0"/>
  <mergeCells count="14">
    <mergeCell ref="H34:L34"/>
    <mergeCell ref="P34:U34"/>
    <mergeCell ref="H36:L36"/>
    <mergeCell ref="P36:U36"/>
    <mergeCell ref="B1:V1"/>
    <mergeCell ref="C3:U3"/>
    <mergeCell ref="C4:U4"/>
    <mergeCell ref="C5:U5"/>
    <mergeCell ref="C6:U6"/>
    <mergeCell ref="C7:U7"/>
    <mergeCell ref="C8:C9"/>
    <mergeCell ref="D8:D9"/>
    <mergeCell ref="E8:E9"/>
    <mergeCell ref="F8:U8"/>
  </mergeCells>
  <printOptions horizontalCentered="1"/>
  <pageMargins left="0.19685039370078741" right="0.19685039370078741" top="0.19685039370078741" bottom="0.19685039370078741" header="0" footer="0"/>
  <pageSetup paperSize="9" scale="7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900A-30F8-42E4-8FB7-E3ADF4CA16DB}">
  <sheetPr>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45" t="str">
        <f ca="1">IF(COUNTIF(OFFSET($E109,0,1):OFFSET(U109,0,-1),"=*")&gt;0,IF($C109="К","-"," - "),IF(COUNTIF(OFFSET($E109,0,1):OFFSET(U109,0,-1),"&lt;4")&gt;0,IF(C109="К","-"," - "),(IFERROR(AVERAGE(OFFSET($E109,0,1):OFFSET(U109,0,-1)),"Очікую"))))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mergeCells count="13">
    <mergeCell ref="H116:L116"/>
    <mergeCell ref="P116:U116"/>
    <mergeCell ref="H118:L118"/>
    <mergeCell ref="P118:U118"/>
    <mergeCell ref="C3:U3"/>
    <mergeCell ref="C4:U4"/>
    <mergeCell ref="C5:U5"/>
    <mergeCell ref="C6:U6"/>
    <mergeCell ref="C7:U7"/>
    <mergeCell ref="C8:C9"/>
    <mergeCell ref="D8:D9"/>
    <mergeCell ref="E8:E9"/>
    <mergeCell ref="F8:U8"/>
  </mergeCells>
  <printOptions horizontalCentered="1"/>
  <pageMargins left="0.19685039370078741" right="0.19685039370078741" top="0.19685039370078741" bottom="0.19685039370078741" header="0" footer="0"/>
  <pageSetup paperSize="9" scale="3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1">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45" t="str">
        <f ca="1">IF(COUNTIF(OFFSET($E109,0,1):OFFSET(U109,0,-1),"=*")&gt;0,IF($C109="К","-"," - "),IF(COUNTIF(OFFSET($E109,0,1):OFFSET(U109,0,-1),"&lt;4")&gt;0,IF(C109="К","-"," - "),(IFERROR(AVERAGE(OFFSET($E109,0,1):OFFSET(U109,0,-1)),"Очікую"))))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sortState xmlns:xlrd2="http://schemas.microsoft.com/office/spreadsheetml/2017/richdata2" ref="E10:E110">
    <sortCondition ref="E10"/>
  </sortState>
  <mergeCells count="13">
    <mergeCell ref="H116:L116"/>
    <mergeCell ref="P116:U116"/>
    <mergeCell ref="F8:U8"/>
    <mergeCell ref="P118:U118"/>
    <mergeCell ref="H118:L118"/>
    <mergeCell ref="C7:U7"/>
    <mergeCell ref="C6:U6"/>
    <mergeCell ref="C5:U5"/>
    <mergeCell ref="C3:U3"/>
    <mergeCell ref="C8:C9"/>
    <mergeCell ref="D8:D9"/>
    <mergeCell ref="E8:E9"/>
    <mergeCell ref="C4:U4"/>
  </mergeCells>
  <printOptions horizontalCentered="1"/>
  <pageMargins left="0.19685039370078741" right="0.19685039370078741" top="0.19685039370078741" bottom="0.19685039370078741" header="0" footer="0"/>
  <pageSetup paperSize="9" scale="3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10" t="str">
        <f ca="1">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mergeCells count="13">
    <mergeCell ref="P118:U118"/>
    <mergeCell ref="H118:L118"/>
    <mergeCell ref="H116:L116"/>
    <mergeCell ref="P116:U116"/>
    <mergeCell ref="C8:C9"/>
    <mergeCell ref="D8:D9"/>
    <mergeCell ref="E8:E9"/>
    <mergeCell ref="F8:U8"/>
    <mergeCell ref="C3:U3"/>
    <mergeCell ref="C4:U4"/>
    <mergeCell ref="C5:U5"/>
    <mergeCell ref="C6:U6"/>
    <mergeCell ref="C7:U7"/>
  </mergeCells>
  <printOptions horizontalCentered="1"/>
  <pageMargins left="0.19685039370078741" right="0.19685039370078741" top="0.19685039370078741" bottom="0.19685039370078741" header="0" footer="0"/>
  <pageSetup paperSize="9"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10" t="str">
        <f ca="1">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mergeCells count="13">
    <mergeCell ref="P118:U118"/>
    <mergeCell ref="H118:L118"/>
    <mergeCell ref="H116:L116"/>
    <mergeCell ref="P116:U116"/>
    <mergeCell ref="C8:C9"/>
    <mergeCell ref="D8:D9"/>
    <mergeCell ref="E8:E9"/>
    <mergeCell ref="F8:U8"/>
    <mergeCell ref="C3:U3"/>
    <mergeCell ref="C4:U4"/>
    <mergeCell ref="C5:U5"/>
    <mergeCell ref="C6:U6"/>
    <mergeCell ref="C7:U7"/>
  </mergeCells>
  <printOptions horizontalCentered="1"/>
  <pageMargins left="0.19685039370078741" right="0.19685039370078741" top="0.19685039370078741" bottom="0.19685039370078741" header="0" footer="0"/>
  <pageSetup paperSize="9" scale="3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10" t="str">
        <f ca="1">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mergeCells count="13">
    <mergeCell ref="P118:U118"/>
    <mergeCell ref="H118:L118"/>
    <mergeCell ref="H116:L116"/>
    <mergeCell ref="P116:U116"/>
    <mergeCell ref="C8:C9"/>
    <mergeCell ref="D8:D9"/>
    <mergeCell ref="E8:E9"/>
    <mergeCell ref="F8:U8"/>
    <mergeCell ref="C3:U3"/>
    <mergeCell ref="C4:U4"/>
    <mergeCell ref="C5:U5"/>
    <mergeCell ref="C6:U6"/>
    <mergeCell ref="C7:U7"/>
  </mergeCells>
  <printOptions horizontalCentered="1"/>
  <pageMargins left="0.19685039370078741" right="0.19685039370078741" top="0.19685039370078741" bottom="0.19685039370078741" header="0" footer="0"/>
  <pageSetup paperSize="9" scale="3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10" t="str">
        <f ca="1">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mergeCells count="13">
    <mergeCell ref="P118:U118"/>
    <mergeCell ref="H118:L118"/>
    <mergeCell ref="H116:L116"/>
    <mergeCell ref="P116:U116"/>
    <mergeCell ref="C8:C9"/>
    <mergeCell ref="D8:D9"/>
    <mergeCell ref="E8:E9"/>
    <mergeCell ref="F8:U8"/>
    <mergeCell ref="C3:U3"/>
    <mergeCell ref="C4:U4"/>
    <mergeCell ref="C5:U5"/>
    <mergeCell ref="C6:U6"/>
    <mergeCell ref="C7:U7"/>
  </mergeCells>
  <printOptions horizontalCentered="1"/>
  <pageMargins left="0.19685039370078741" right="0.19685039370078741" top="0.19685039370078741" bottom="0.19685039370078741" header="0" footer="0"/>
  <pageSetup paperSize="9" scale="3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10" t="str">
        <f ca="1">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mergeCells count="13">
    <mergeCell ref="P118:U118"/>
    <mergeCell ref="H118:L118"/>
    <mergeCell ref="H116:L116"/>
    <mergeCell ref="P116:U116"/>
    <mergeCell ref="C8:C9"/>
    <mergeCell ref="D8:D9"/>
    <mergeCell ref="E8:E9"/>
    <mergeCell ref="F8:U8"/>
    <mergeCell ref="C3:U3"/>
    <mergeCell ref="C4:U4"/>
    <mergeCell ref="C5:U5"/>
    <mergeCell ref="C6:U6"/>
    <mergeCell ref="C7:U7"/>
  </mergeCells>
  <printOptions horizontalCentered="1"/>
  <pageMargins left="0.19685039370078741" right="0.19685039370078741" top="0.19685039370078741" bottom="0.19685039370078741" header="0" footer="0"/>
  <pageSetup paperSize="9" scale="3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10" t="str">
        <f ca="1">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mergeCells count="13">
    <mergeCell ref="P118:U118"/>
    <mergeCell ref="H118:L118"/>
    <mergeCell ref="H116:L116"/>
    <mergeCell ref="P116:U116"/>
    <mergeCell ref="C8:C9"/>
    <mergeCell ref="D8:D9"/>
    <mergeCell ref="E8:E9"/>
    <mergeCell ref="F8:U8"/>
    <mergeCell ref="C3:U3"/>
    <mergeCell ref="C4:U4"/>
    <mergeCell ref="C5:U5"/>
    <mergeCell ref="C6:U6"/>
    <mergeCell ref="C7:U7"/>
  </mergeCells>
  <printOptions horizontalCentered="1"/>
  <pageMargins left="0.19685039370078741" right="0.19685039370078741" top="0.19685039370078741" bottom="0.19685039370078741" header="0" footer="0"/>
  <pageSetup paperSize="9" scale="3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10" t="str">
        <f ca="1">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mergeCells count="13">
    <mergeCell ref="P118:U118"/>
    <mergeCell ref="H118:L118"/>
    <mergeCell ref="H116:L116"/>
    <mergeCell ref="P116:U116"/>
    <mergeCell ref="C8:C9"/>
    <mergeCell ref="D8:D9"/>
    <mergeCell ref="E8:E9"/>
    <mergeCell ref="F8:U8"/>
    <mergeCell ref="C3:U3"/>
    <mergeCell ref="C4:U4"/>
    <mergeCell ref="C5:U5"/>
    <mergeCell ref="C6:U6"/>
    <mergeCell ref="C7:U7"/>
  </mergeCells>
  <printOptions horizontalCentered="1"/>
  <pageMargins left="0.19685039370078741" right="0.19685039370078741" top="0.19685039370078741" bottom="0.19685039370078741" header="0" footer="0"/>
  <pageSetup paperSize="9" scale="3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pageSetUpPr fitToPage="1"/>
  </sheetPr>
  <dimension ref="A1:BH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row>
    <row r="2" spans="1:23" ht="12" customHeight="1" x14ac:dyDescent="0.25">
      <c r="A2" s="43"/>
      <c r="B2" s="18"/>
      <c r="C2" s="19"/>
      <c r="D2" s="19"/>
      <c r="E2" s="19"/>
      <c r="F2" s="19"/>
      <c r="G2" s="19"/>
      <c r="H2" s="19"/>
      <c r="I2" s="19"/>
      <c r="J2" s="19"/>
      <c r="K2" s="19"/>
      <c r="L2" s="19"/>
      <c r="M2" s="19"/>
      <c r="N2" s="19"/>
      <c r="O2" s="19"/>
      <c r="P2" s="19"/>
      <c r="Q2" s="19"/>
      <c r="R2" s="19"/>
      <c r="S2" s="19"/>
      <c r="T2" s="19"/>
      <c r="U2" s="19"/>
      <c r="V2" s="20"/>
      <c r="W2" s="42"/>
    </row>
    <row r="3" spans="1:23" s="2" customFormat="1" ht="54.95" customHeight="1" x14ac:dyDescent="0.3">
      <c r="A3" s="43"/>
      <c r="B3" s="13"/>
      <c r="C3" s="67" t="s">
        <v>19</v>
      </c>
      <c r="D3" s="67"/>
      <c r="E3" s="67"/>
      <c r="F3" s="67"/>
      <c r="G3" s="67"/>
      <c r="H3" s="67"/>
      <c r="I3" s="67"/>
      <c r="J3" s="67"/>
      <c r="K3" s="67"/>
      <c r="L3" s="67"/>
      <c r="M3" s="67"/>
      <c r="N3" s="67"/>
      <c r="O3" s="67"/>
      <c r="P3" s="67"/>
      <c r="Q3" s="67"/>
      <c r="R3" s="67"/>
      <c r="S3" s="67"/>
      <c r="T3" s="67"/>
      <c r="U3" s="67"/>
      <c r="V3" s="21"/>
      <c r="W3" s="42"/>
    </row>
    <row r="4" spans="1:23" s="3" customFormat="1" ht="15" customHeight="1" x14ac:dyDescent="0.25">
      <c r="A4" s="43"/>
      <c r="B4" s="13"/>
      <c r="C4" s="68" t="s">
        <v>16</v>
      </c>
      <c r="D4" s="68"/>
      <c r="E4" s="68"/>
      <c r="F4" s="68"/>
      <c r="G4" s="68"/>
      <c r="H4" s="68"/>
      <c r="I4" s="68"/>
      <c r="J4" s="68"/>
      <c r="K4" s="68"/>
      <c r="L4" s="68"/>
      <c r="M4" s="68"/>
      <c r="N4" s="68"/>
      <c r="O4" s="68"/>
      <c r="P4" s="68"/>
      <c r="Q4" s="68"/>
      <c r="R4" s="68"/>
      <c r="S4" s="68"/>
      <c r="T4" s="68"/>
      <c r="U4" s="68"/>
      <c r="V4" s="21"/>
      <c r="W4" s="42"/>
    </row>
    <row r="5" spans="1:23" s="2" customFormat="1" ht="15" customHeight="1" x14ac:dyDescent="0.25">
      <c r="A5" s="43"/>
      <c r="B5" s="13"/>
      <c r="C5" s="69" t="s">
        <v>35</v>
      </c>
      <c r="D5" s="69"/>
      <c r="E5" s="69"/>
      <c r="F5" s="69"/>
      <c r="G5" s="69"/>
      <c r="H5" s="69"/>
      <c r="I5" s="69"/>
      <c r="J5" s="69"/>
      <c r="K5" s="69"/>
      <c r="L5" s="69"/>
      <c r="M5" s="69"/>
      <c r="N5" s="69"/>
      <c r="O5" s="69"/>
      <c r="P5" s="69"/>
      <c r="Q5" s="69"/>
      <c r="R5" s="69"/>
      <c r="S5" s="69"/>
      <c r="T5" s="69"/>
      <c r="U5" s="69"/>
      <c r="V5" s="21"/>
      <c r="W5" s="42"/>
    </row>
    <row r="6" spans="1:23" s="2" customFormat="1" ht="15" customHeight="1" x14ac:dyDescent="0.25">
      <c r="A6" s="43"/>
      <c r="B6" s="13"/>
      <c r="C6" s="69" t="s">
        <v>37</v>
      </c>
      <c r="D6" s="69"/>
      <c r="E6" s="69"/>
      <c r="F6" s="69"/>
      <c r="G6" s="69"/>
      <c r="H6" s="69"/>
      <c r="I6" s="69"/>
      <c r="J6" s="69"/>
      <c r="K6" s="69"/>
      <c r="L6" s="69"/>
      <c r="M6" s="69"/>
      <c r="N6" s="69"/>
      <c r="O6" s="69"/>
      <c r="P6" s="69"/>
      <c r="Q6" s="69"/>
      <c r="R6" s="69"/>
      <c r="S6" s="69"/>
      <c r="T6" s="69"/>
      <c r="U6" s="69"/>
      <c r="V6" s="21"/>
      <c r="W6" s="42"/>
    </row>
    <row r="7" spans="1:23" s="2" customFormat="1" ht="15" customHeight="1" x14ac:dyDescent="0.25">
      <c r="A7" s="43"/>
      <c r="B7" s="13"/>
      <c r="C7" s="70" t="s">
        <v>36</v>
      </c>
      <c r="D7" s="70"/>
      <c r="E7" s="70"/>
      <c r="F7" s="70"/>
      <c r="G7" s="70"/>
      <c r="H7" s="70"/>
      <c r="I7" s="70"/>
      <c r="J7" s="70"/>
      <c r="K7" s="70"/>
      <c r="L7" s="70"/>
      <c r="M7" s="70"/>
      <c r="N7" s="70"/>
      <c r="O7" s="70"/>
      <c r="P7" s="70"/>
      <c r="Q7" s="70"/>
      <c r="R7" s="70"/>
      <c r="S7" s="70"/>
      <c r="T7" s="70"/>
      <c r="U7" s="70"/>
      <c r="V7" s="21"/>
      <c r="W7" s="42"/>
    </row>
    <row r="8" spans="1:23" ht="15" customHeight="1" x14ac:dyDescent="0.25">
      <c r="A8" s="43"/>
      <c r="B8" s="13"/>
      <c r="C8" s="71" t="s">
        <v>0</v>
      </c>
      <c r="D8" s="73" t="s">
        <v>1</v>
      </c>
      <c r="E8" s="73" t="s">
        <v>2</v>
      </c>
      <c r="F8" s="72" t="s">
        <v>17</v>
      </c>
      <c r="G8" s="72"/>
      <c r="H8" s="72"/>
      <c r="I8" s="72"/>
      <c r="J8" s="72"/>
      <c r="K8" s="72"/>
      <c r="L8" s="72"/>
      <c r="M8" s="72"/>
      <c r="N8" s="72"/>
      <c r="O8" s="72"/>
      <c r="P8" s="72"/>
      <c r="Q8" s="72"/>
      <c r="R8" s="72"/>
      <c r="S8" s="72"/>
      <c r="T8" s="72"/>
      <c r="U8" s="72"/>
      <c r="V8" s="21"/>
      <c r="W8" s="42"/>
    </row>
    <row r="9" spans="1:23" ht="125.1" customHeight="1" x14ac:dyDescent="0.25">
      <c r="A9" s="43"/>
      <c r="B9" s="13"/>
      <c r="C9" s="72"/>
      <c r="D9" s="72"/>
      <c r="E9" s="72"/>
      <c r="F9" s="14" t="s">
        <v>20</v>
      </c>
      <c r="G9" s="14" t="s">
        <v>21</v>
      </c>
      <c r="H9" s="14" t="s">
        <v>22</v>
      </c>
      <c r="I9" s="14" t="s">
        <v>23</v>
      </c>
      <c r="J9" s="14" t="s">
        <v>24</v>
      </c>
      <c r="K9" s="14" t="s">
        <v>25</v>
      </c>
      <c r="L9" s="14" t="s">
        <v>26</v>
      </c>
      <c r="M9" s="14" t="s">
        <v>27</v>
      </c>
      <c r="N9" s="14" t="s">
        <v>28</v>
      </c>
      <c r="O9" s="14" t="s">
        <v>29</v>
      </c>
      <c r="P9" s="14" t="s">
        <v>30</v>
      </c>
      <c r="Q9" s="14" t="s">
        <v>31</v>
      </c>
      <c r="R9" s="14" t="s">
        <v>32</v>
      </c>
      <c r="S9" s="14" t="s">
        <v>33</v>
      </c>
      <c r="T9" s="14" t="s">
        <v>34</v>
      </c>
      <c r="U9" s="6" t="s">
        <v>3</v>
      </c>
      <c r="V9" s="21"/>
      <c r="W9" s="42"/>
    </row>
    <row r="10" spans="1:23" s="12" customFormat="1" ht="15" customHeight="1" x14ac:dyDescent="0.25">
      <c r="A10" s="43"/>
      <c r="B10" s="13"/>
      <c r="C10" s="50"/>
      <c r="D10" s="50">
        <v>1</v>
      </c>
      <c r="E10" s="51"/>
      <c r="F10" s="52"/>
      <c r="G10" s="52"/>
      <c r="H10" s="52"/>
      <c r="I10" s="52"/>
      <c r="J10" s="52"/>
      <c r="K10" s="52"/>
      <c r="L10" s="52"/>
      <c r="M10" s="52"/>
      <c r="N10" s="52"/>
      <c r="O10" s="52"/>
      <c r="P10" s="52"/>
      <c r="Q10" s="52"/>
      <c r="R10" s="52"/>
      <c r="S10" s="52"/>
      <c r="T10" s="52"/>
      <c r="U10" s="45" t="str">
        <f ca="1">IF(COUNTIF(OFFSET($E10,0,1):OFFSET(U10,0,-1),"=*")&gt;0,IF($C10="К","-"," - "),IF(COUNTIF(OFFSET($E10,0,1):OFFSET(U10,0,-1),"&lt;4")&gt;0,IF(C10="К","-"," - "),(IFERROR(AVERAGE(OFFSET($E10,0,1):OFFSET(U10,0,-1)),"Очікую"))))</f>
        <v>Очікую</v>
      </c>
      <c r="V10" s="23"/>
      <c r="W10" s="42"/>
    </row>
    <row r="11" spans="1:23" s="12" customFormat="1" ht="15" customHeight="1" x14ac:dyDescent="0.25">
      <c r="A11" s="43"/>
      <c r="B11" s="13"/>
      <c r="C11" s="50"/>
      <c r="D11" s="50">
        <v>2</v>
      </c>
      <c r="E11" s="51"/>
      <c r="F11" s="52"/>
      <c r="G11" s="52"/>
      <c r="H11" s="52"/>
      <c r="I11" s="52"/>
      <c r="J11" s="52"/>
      <c r="K11" s="52"/>
      <c r="L11" s="52"/>
      <c r="M11" s="52"/>
      <c r="N11" s="52"/>
      <c r="O11" s="52"/>
      <c r="P11" s="52"/>
      <c r="Q11" s="52"/>
      <c r="R11" s="52"/>
      <c r="S11" s="52"/>
      <c r="T11" s="52"/>
      <c r="U11" s="45" t="str">
        <f ca="1">IF(COUNTIF(OFFSET($E11,0,1):OFFSET(U11,0,-1),"=*")&gt;0,IF($C11="К","-"," - "),IF(COUNTIF(OFFSET($E11,0,1):OFFSET(U11,0,-1),"&lt;4")&gt;0,IF(C11="К","-"," - "),(IFERROR(AVERAGE(OFFSET($E11,0,1):OFFSET(U11,0,-1)),"Очікую"))))</f>
        <v>Очікую</v>
      </c>
      <c r="V11" s="23"/>
      <c r="W11" s="42"/>
    </row>
    <row r="12" spans="1:23" s="12" customFormat="1" ht="15" customHeight="1" x14ac:dyDescent="0.25">
      <c r="A12" s="43"/>
      <c r="B12" s="13"/>
      <c r="C12" s="50"/>
      <c r="D12" s="50">
        <v>3</v>
      </c>
      <c r="E12" s="51"/>
      <c r="F12" s="52"/>
      <c r="G12" s="52"/>
      <c r="H12" s="52"/>
      <c r="I12" s="52"/>
      <c r="J12" s="52"/>
      <c r="K12" s="52"/>
      <c r="L12" s="52"/>
      <c r="M12" s="52"/>
      <c r="N12" s="52"/>
      <c r="O12" s="52"/>
      <c r="P12" s="52"/>
      <c r="Q12" s="52"/>
      <c r="R12" s="52"/>
      <c r="S12" s="52"/>
      <c r="T12" s="52"/>
      <c r="U12" s="45" t="str">
        <f ca="1">IF(COUNTIF(OFFSET($E12,0,1):OFFSET(U12,0,-1),"=*")&gt;0,IF($C12="К","-"," - "),IF(COUNTIF(OFFSET($E12,0,1):OFFSET(U12,0,-1),"&lt;4")&gt;0,IF(C12="К","-"," - "),(IFERROR(AVERAGE(OFFSET($E12,0,1):OFFSET(U12,0,-1)),"Очікую"))))</f>
        <v>Очікую</v>
      </c>
      <c r="V12" s="23"/>
      <c r="W12" s="42"/>
    </row>
    <row r="13" spans="1:23" s="12" customFormat="1" ht="15" customHeight="1" x14ac:dyDescent="0.25">
      <c r="A13" s="43"/>
      <c r="B13" s="13"/>
      <c r="C13" s="50"/>
      <c r="D13" s="50">
        <v>4</v>
      </c>
      <c r="E13" s="51"/>
      <c r="F13" s="52"/>
      <c r="G13" s="52"/>
      <c r="H13" s="52"/>
      <c r="I13" s="52"/>
      <c r="J13" s="52"/>
      <c r="K13" s="52"/>
      <c r="L13" s="52"/>
      <c r="M13" s="52"/>
      <c r="N13" s="52"/>
      <c r="O13" s="52"/>
      <c r="P13" s="52"/>
      <c r="Q13" s="52"/>
      <c r="R13" s="52"/>
      <c r="S13" s="52"/>
      <c r="T13" s="52"/>
      <c r="U13" s="45" t="str">
        <f ca="1">IF(COUNTIF(OFFSET($E13,0,1):OFFSET(U13,0,-1),"=*")&gt;0,IF($C13="К","-"," - "),IF(COUNTIF(OFFSET($E13,0,1):OFFSET(U13,0,-1),"&lt;4")&gt;0,IF(C13="К","-"," - "),(IFERROR(AVERAGE(OFFSET($E13,0,1):OFFSET(U13,0,-1)),"Очікую"))))</f>
        <v>Очікую</v>
      </c>
      <c r="V13" s="23"/>
      <c r="W13" s="42"/>
    </row>
    <row r="14" spans="1:23" s="12" customFormat="1" ht="15" customHeight="1" x14ac:dyDescent="0.25">
      <c r="A14" s="43"/>
      <c r="B14" s="13"/>
      <c r="C14" s="50"/>
      <c r="D14" s="50">
        <v>5</v>
      </c>
      <c r="E14" s="51"/>
      <c r="F14" s="52"/>
      <c r="G14" s="52"/>
      <c r="H14" s="52"/>
      <c r="I14" s="52"/>
      <c r="J14" s="52"/>
      <c r="K14" s="52"/>
      <c r="L14" s="52"/>
      <c r="M14" s="52"/>
      <c r="N14" s="52"/>
      <c r="O14" s="52"/>
      <c r="P14" s="52"/>
      <c r="Q14" s="52"/>
      <c r="R14" s="52"/>
      <c r="S14" s="52"/>
      <c r="T14" s="52"/>
      <c r="U14" s="45" t="str">
        <f ca="1">IF(COUNTIF(OFFSET($E14,0,1):OFFSET(U14,0,-1),"=*")&gt;0,IF($C14="К","-"," - "),IF(COUNTIF(OFFSET($E14,0,1):OFFSET(U14,0,-1),"&lt;4")&gt;0,IF(C14="К","-"," - "),(IFERROR(AVERAGE(OFFSET($E14,0,1):OFFSET(U14,0,-1)),"Очікую"))))</f>
        <v>Очікую</v>
      </c>
      <c r="V14" s="23"/>
      <c r="W14" s="42"/>
    </row>
    <row r="15" spans="1:23" s="12" customFormat="1" ht="15" customHeight="1" x14ac:dyDescent="0.25">
      <c r="A15" s="43"/>
      <c r="B15" s="13"/>
      <c r="C15" s="50"/>
      <c r="D15" s="50">
        <v>6</v>
      </c>
      <c r="E15" s="51"/>
      <c r="F15" s="52"/>
      <c r="G15" s="52"/>
      <c r="H15" s="52"/>
      <c r="I15" s="52"/>
      <c r="J15" s="52"/>
      <c r="K15" s="52"/>
      <c r="L15" s="52"/>
      <c r="M15" s="52"/>
      <c r="N15" s="52"/>
      <c r="O15" s="52"/>
      <c r="P15" s="52"/>
      <c r="Q15" s="52"/>
      <c r="R15" s="52"/>
      <c r="S15" s="52"/>
      <c r="T15" s="52"/>
      <c r="U15" s="45" t="str">
        <f ca="1">IF(COUNTIF(OFFSET($E15,0,1):OFFSET(U15,0,-1),"=*")&gt;0,IF($C15="К","-"," - "),IF(COUNTIF(OFFSET($E15,0,1):OFFSET(U15,0,-1),"&lt;4")&gt;0,IF(C15="К","-"," - "),(IFERROR(AVERAGE(OFFSET($E15,0,1):OFFSET(U15,0,-1)),"Очікую"))))</f>
        <v>Очікую</v>
      </c>
      <c r="V15" s="23"/>
      <c r="W15" s="42"/>
    </row>
    <row r="16" spans="1:23" s="12" customFormat="1" ht="15" customHeight="1" x14ac:dyDescent="0.25">
      <c r="A16" s="43"/>
      <c r="B16" s="13"/>
      <c r="C16" s="50"/>
      <c r="D16" s="50">
        <v>7</v>
      </c>
      <c r="E16" s="51"/>
      <c r="F16" s="52"/>
      <c r="G16" s="52"/>
      <c r="H16" s="52"/>
      <c r="I16" s="52"/>
      <c r="J16" s="52"/>
      <c r="K16" s="52"/>
      <c r="L16" s="52"/>
      <c r="M16" s="52"/>
      <c r="N16" s="52"/>
      <c r="O16" s="52"/>
      <c r="P16" s="52"/>
      <c r="Q16" s="52"/>
      <c r="R16" s="52"/>
      <c r="S16" s="52"/>
      <c r="T16" s="52"/>
      <c r="U16" s="45" t="str">
        <f ca="1">IF(COUNTIF(OFFSET($E16,0,1):OFFSET(U16,0,-1),"=*")&gt;0,IF($C16="К","-"," - "),IF(COUNTIF(OFFSET($E16,0,1):OFFSET(U16,0,-1),"&lt;4")&gt;0,IF(C16="К","-"," - "),(IFERROR(AVERAGE(OFFSET($E16,0,1):OFFSET(U16,0,-1)),"Очікую"))))</f>
        <v>Очікую</v>
      </c>
      <c r="V16" s="23"/>
      <c r="W16" s="42"/>
    </row>
    <row r="17" spans="1:23" s="12" customFormat="1" ht="15" customHeight="1" x14ac:dyDescent="0.25">
      <c r="A17" s="43"/>
      <c r="B17" s="13"/>
      <c r="C17" s="50"/>
      <c r="D17" s="50">
        <v>8</v>
      </c>
      <c r="E17" s="51"/>
      <c r="F17" s="52"/>
      <c r="G17" s="52"/>
      <c r="H17" s="52"/>
      <c r="I17" s="52"/>
      <c r="J17" s="52"/>
      <c r="K17" s="52"/>
      <c r="L17" s="52"/>
      <c r="M17" s="52"/>
      <c r="N17" s="52"/>
      <c r="O17" s="52"/>
      <c r="P17" s="52"/>
      <c r="Q17" s="52"/>
      <c r="R17" s="52"/>
      <c r="S17" s="52"/>
      <c r="T17" s="52"/>
      <c r="U17" s="45" t="str">
        <f ca="1">IF(COUNTIF(OFFSET($E17,0,1):OFFSET(U17,0,-1),"=*")&gt;0,IF($C17="К","-"," - "),IF(COUNTIF(OFFSET($E17,0,1):OFFSET(U17,0,-1),"&lt;4")&gt;0,IF(C17="К","-"," - "),(IFERROR(AVERAGE(OFFSET($E17,0,1):OFFSET(U17,0,-1)),"Очікую"))))</f>
        <v>Очікую</v>
      </c>
      <c r="V17" s="23"/>
      <c r="W17" s="42"/>
    </row>
    <row r="18" spans="1:23" s="12" customFormat="1" ht="15" customHeight="1" x14ac:dyDescent="0.25">
      <c r="A18" s="43"/>
      <c r="B18" s="13"/>
      <c r="C18" s="50"/>
      <c r="D18" s="50">
        <v>9</v>
      </c>
      <c r="E18" s="51"/>
      <c r="F18" s="52"/>
      <c r="G18" s="52"/>
      <c r="H18" s="52"/>
      <c r="I18" s="52"/>
      <c r="J18" s="52"/>
      <c r="K18" s="52"/>
      <c r="L18" s="52"/>
      <c r="M18" s="52"/>
      <c r="N18" s="52"/>
      <c r="O18" s="52"/>
      <c r="P18" s="52"/>
      <c r="Q18" s="52"/>
      <c r="R18" s="52"/>
      <c r="S18" s="52"/>
      <c r="T18" s="52"/>
      <c r="U18" s="45" t="str">
        <f ca="1">IF(COUNTIF(OFFSET($E18,0,1):OFFSET(U18,0,-1),"=*")&gt;0,IF($C18="К","-"," - "),IF(COUNTIF(OFFSET($E18,0,1):OFFSET(U18,0,-1),"&lt;4")&gt;0,IF(C18="К","-"," - "),(IFERROR(AVERAGE(OFFSET($E18,0,1):OFFSET(U18,0,-1)),"Очікую"))))</f>
        <v>Очікую</v>
      </c>
      <c r="V18" s="23"/>
      <c r="W18" s="42"/>
    </row>
    <row r="19" spans="1:23" s="12" customFormat="1" ht="15" customHeight="1" x14ac:dyDescent="0.25">
      <c r="A19" s="43"/>
      <c r="B19" s="13"/>
      <c r="C19" s="50"/>
      <c r="D19" s="50">
        <v>10</v>
      </c>
      <c r="E19" s="51"/>
      <c r="F19" s="52"/>
      <c r="G19" s="52"/>
      <c r="H19" s="52"/>
      <c r="I19" s="52"/>
      <c r="J19" s="52"/>
      <c r="K19" s="52"/>
      <c r="L19" s="52"/>
      <c r="M19" s="52"/>
      <c r="N19" s="52"/>
      <c r="O19" s="52"/>
      <c r="P19" s="52"/>
      <c r="Q19" s="52"/>
      <c r="R19" s="52"/>
      <c r="S19" s="52"/>
      <c r="T19" s="52"/>
      <c r="U19" s="45" t="str">
        <f ca="1">IF(COUNTIF(OFFSET($E19,0,1):OFFSET(U19,0,-1),"=*")&gt;0,IF($C19="К","-"," - "),IF(COUNTIF(OFFSET($E19,0,1):OFFSET(U19,0,-1),"&lt;4")&gt;0,IF(C19="К","-"," - "),(IFERROR(AVERAGE(OFFSET($E19,0,1):OFFSET(U19,0,-1)),"Очікую"))))</f>
        <v>Очікую</v>
      </c>
      <c r="V19" s="23"/>
      <c r="W19" s="42"/>
    </row>
    <row r="20" spans="1:23" s="12" customFormat="1" ht="15" customHeight="1" x14ac:dyDescent="0.25">
      <c r="A20" s="43"/>
      <c r="B20" s="13"/>
      <c r="C20" s="50"/>
      <c r="D20" s="50">
        <v>11</v>
      </c>
      <c r="E20" s="51"/>
      <c r="F20" s="52"/>
      <c r="G20" s="52"/>
      <c r="H20" s="52"/>
      <c r="I20" s="52"/>
      <c r="J20" s="52"/>
      <c r="K20" s="52"/>
      <c r="L20" s="52"/>
      <c r="M20" s="52"/>
      <c r="N20" s="52"/>
      <c r="O20" s="52"/>
      <c r="P20" s="52"/>
      <c r="Q20" s="52"/>
      <c r="R20" s="52"/>
      <c r="S20" s="52"/>
      <c r="T20" s="52"/>
      <c r="U20" s="45" t="str">
        <f ca="1">IF(COUNTIF(OFFSET($E20,0,1):OFFSET(U20,0,-1),"=*")&gt;0,IF($C20="К","-"," - "),IF(COUNTIF(OFFSET($E20,0,1):OFFSET(U20,0,-1),"&lt;4")&gt;0,IF(C20="К","-"," - "),(IFERROR(AVERAGE(OFFSET($E20,0,1):OFFSET(U20,0,-1)),"Очікую"))))</f>
        <v>Очікую</v>
      </c>
      <c r="V20" s="23"/>
      <c r="W20" s="42"/>
    </row>
    <row r="21" spans="1:23" s="12" customFormat="1" ht="15" customHeight="1" x14ac:dyDescent="0.25">
      <c r="A21" s="43"/>
      <c r="B21" s="13"/>
      <c r="C21" s="50"/>
      <c r="D21" s="50">
        <v>12</v>
      </c>
      <c r="E21" s="51"/>
      <c r="F21" s="52"/>
      <c r="G21" s="52"/>
      <c r="H21" s="52"/>
      <c r="I21" s="52"/>
      <c r="J21" s="52"/>
      <c r="K21" s="52"/>
      <c r="L21" s="52"/>
      <c r="M21" s="52"/>
      <c r="N21" s="52"/>
      <c r="O21" s="52"/>
      <c r="P21" s="52"/>
      <c r="Q21" s="52"/>
      <c r="R21" s="52"/>
      <c r="S21" s="52"/>
      <c r="T21" s="52"/>
      <c r="U21" s="45" t="str">
        <f ca="1">IF(COUNTIF(OFFSET($E21,0,1):OFFSET(U21,0,-1),"=*")&gt;0,IF($C21="К","-"," - "),IF(COUNTIF(OFFSET($E21,0,1):OFFSET(U21,0,-1),"&lt;4")&gt;0,IF(C21="К","-"," - "),(IFERROR(AVERAGE(OFFSET($E21,0,1):OFFSET(U21,0,-1)),"Очікую"))))</f>
        <v>Очікую</v>
      </c>
      <c r="V21" s="23"/>
      <c r="W21" s="42"/>
    </row>
    <row r="22" spans="1:23" s="12" customFormat="1" ht="15" customHeight="1" x14ac:dyDescent="0.25">
      <c r="A22" s="43"/>
      <c r="B22" s="13"/>
      <c r="C22" s="50"/>
      <c r="D22" s="50">
        <v>13</v>
      </c>
      <c r="E22" s="51"/>
      <c r="F22" s="52"/>
      <c r="G22" s="52"/>
      <c r="H22" s="52"/>
      <c r="I22" s="52"/>
      <c r="J22" s="52"/>
      <c r="K22" s="52"/>
      <c r="L22" s="52"/>
      <c r="M22" s="52"/>
      <c r="N22" s="52"/>
      <c r="O22" s="52"/>
      <c r="P22" s="52"/>
      <c r="Q22" s="52"/>
      <c r="R22" s="52"/>
      <c r="S22" s="52"/>
      <c r="T22" s="52"/>
      <c r="U22" s="45" t="str">
        <f ca="1">IF(COUNTIF(OFFSET($E22,0,1):OFFSET(U22,0,-1),"=*")&gt;0,IF($C22="К","-"," - "),IF(COUNTIF(OFFSET($E22,0,1):OFFSET(U22,0,-1),"&lt;4")&gt;0,IF(C22="К","-"," - "),(IFERROR(AVERAGE(OFFSET($E22,0,1):OFFSET(U22,0,-1)),"Очікую"))))</f>
        <v>Очікую</v>
      </c>
      <c r="V22" s="23"/>
      <c r="W22" s="42"/>
    </row>
    <row r="23" spans="1:23" s="12" customFormat="1" ht="15" customHeight="1" x14ac:dyDescent="0.25">
      <c r="A23" s="43"/>
      <c r="B23" s="13"/>
      <c r="C23" s="50"/>
      <c r="D23" s="50">
        <v>14</v>
      </c>
      <c r="E23" s="51"/>
      <c r="F23" s="52"/>
      <c r="G23" s="52"/>
      <c r="H23" s="52"/>
      <c r="I23" s="52"/>
      <c r="J23" s="52"/>
      <c r="K23" s="52"/>
      <c r="L23" s="52"/>
      <c r="M23" s="52"/>
      <c r="N23" s="52"/>
      <c r="O23" s="52"/>
      <c r="P23" s="52"/>
      <c r="Q23" s="52"/>
      <c r="R23" s="52"/>
      <c r="S23" s="52"/>
      <c r="T23" s="52"/>
      <c r="U23" s="45" t="str">
        <f ca="1">IF(COUNTIF(OFFSET($E23,0,1):OFFSET(U23,0,-1),"=*")&gt;0,IF($C23="К","-"," - "),IF(COUNTIF(OFFSET($E23,0,1):OFFSET(U23,0,-1),"&lt;4")&gt;0,IF(C23="К","-"," - "),(IFERROR(AVERAGE(OFFSET($E23,0,1):OFFSET(U23,0,-1)),"Очікую"))))</f>
        <v>Очікую</v>
      </c>
      <c r="V23" s="23"/>
      <c r="W23" s="42"/>
    </row>
    <row r="24" spans="1:23" s="12" customFormat="1" ht="15" customHeight="1" x14ac:dyDescent="0.25">
      <c r="A24" s="43"/>
      <c r="B24" s="13"/>
      <c r="C24" s="50"/>
      <c r="D24" s="50">
        <v>15</v>
      </c>
      <c r="E24" s="51"/>
      <c r="F24" s="52"/>
      <c r="G24" s="52"/>
      <c r="H24" s="52"/>
      <c r="I24" s="52"/>
      <c r="J24" s="52"/>
      <c r="K24" s="52"/>
      <c r="L24" s="52"/>
      <c r="M24" s="52"/>
      <c r="N24" s="52"/>
      <c r="O24" s="52"/>
      <c r="P24" s="52"/>
      <c r="Q24" s="52"/>
      <c r="R24" s="52"/>
      <c r="S24" s="52"/>
      <c r="T24" s="52"/>
      <c r="U24" s="45" t="str">
        <f ca="1">IF(COUNTIF(OFFSET($E24,0,1):OFFSET(U24,0,-1),"=*")&gt;0,IF($C24="К","-"," - "),IF(COUNTIF(OFFSET($E24,0,1):OFFSET(U24,0,-1),"&lt;4")&gt;0,IF(C24="К","-"," - "),(IFERROR(AVERAGE(OFFSET($E24,0,1):OFFSET(U24,0,-1)),"Очікую"))))</f>
        <v>Очікую</v>
      </c>
      <c r="V24" s="23"/>
      <c r="W24" s="42"/>
    </row>
    <row r="25" spans="1:23" s="12" customFormat="1" ht="15" customHeight="1" x14ac:dyDescent="0.25">
      <c r="A25" s="43"/>
      <c r="B25" s="13"/>
      <c r="C25" s="50"/>
      <c r="D25" s="50">
        <v>16</v>
      </c>
      <c r="E25" s="51"/>
      <c r="F25" s="52"/>
      <c r="G25" s="52"/>
      <c r="H25" s="52"/>
      <c r="I25" s="52"/>
      <c r="J25" s="52"/>
      <c r="K25" s="52"/>
      <c r="L25" s="52"/>
      <c r="M25" s="52"/>
      <c r="N25" s="52"/>
      <c r="O25" s="52"/>
      <c r="P25" s="52"/>
      <c r="Q25" s="52"/>
      <c r="R25" s="52"/>
      <c r="S25" s="52"/>
      <c r="T25" s="52"/>
      <c r="U25" s="45" t="str">
        <f ca="1">IF(COUNTIF(OFFSET($E25,0,1):OFFSET(U25,0,-1),"=*")&gt;0,IF($C25="К","-"," - "),IF(COUNTIF(OFFSET($E25,0,1):OFFSET(U25,0,-1),"&lt;4")&gt;0,IF(C25="К","-"," - "),(IFERROR(AVERAGE(OFFSET($E25,0,1):OFFSET(U25,0,-1)),"Очікую"))))</f>
        <v>Очікую</v>
      </c>
      <c r="V25" s="23"/>
      <c r="W25" s="42"/>
    </row>
    <row r="26" spans="1:23" s="12" customFormat="1" ht="15" customHeight="1" x14ac:dyDescent="0.25">
      <c r="A26" s="43"/>
      <c r="B26" s="13"/>
      <c r="C26" s="50"/>
      <c r="D26" s="50">
        <v>17</v>
      </c>
      <c r="E26" s="51"/>
      <c r="F26" s="52"/>
      <c r="G26" s="52"/>
      <c r="H26" s="52"/>
      <c r="I26" s="52"/>
      <c r="J26" s="52"/>
      <c r="K26" s="52"/>
      <c r="L26" s="52"/>
      <c r="M26" s="52"/>
      <c r="N26" s="52"/>
      <c r="O26" s="52"/>
      <c r="P26" s="52"/>
      <c r="Q26" s="52"/>
      <c r="R26" s="52"/>
      <c r="S26" s="52"/>
      <c r="T26" s="52"/>
      <c r="U26" s="45" t="str">
        <f ca="1">IF(COUNTIF(OFFSET($E26,0,1):OFFSET(U26,0,-1),"=*")&gt;0,IF($C26="К","-"," - "),IF(COUNTIF(OFFSET($E26,0,1):OFFSET(U26,0,-1),"&lt;4")&gt;0,IF(C26="К","-"," - "),(IFERROR(AVERAGE(OFFSET($E26,0,1):OFFSET(U26,0,-1)),"Очікую"))))</f>
        <v>Очікую</v>
      </c>
      <c r="V26" s="23"/>
      <c r="W26" s="42"/>
    </row>
    <row r="27" spans="1:23" s="12" customFormat="1" ht="15" customHeight="1" x14ac:dyDescent="0.25">
      <c r="A27" s="43"/>
      <c r="B27" s="13"/>
      <c r="C27" s="50"/>
      <c r="D27" s="50">
        <v>18</v>
      </c>
      <c r="E27" s="51"/>
      <c r="F27" s="52"/>
      <c r="G27" s="52"/>
      <c r="H27" s="52"/>
      <c r="I27" s="52"/>
      <c r="J27" s="52"/>
      <c r="K27" s="52"/>
      <c r="L27" s="52"/>
      <c r="M27" s="52"/>
      <c r="N27" s="52"/>
      <c r="O27" s="52"/>
      <c r="P27" s="52"/>
      <c r="Q27" s="52"/>
      <c r="R27" s="52"/>
      <c r="S27" s="52"/>
      <c r="T27" s="52"/>
      <c r="U27" s="45" t="str">
        <f ca="1">IF(COUNTIF(OFFSET($E27,0,1):OFFSET(U27,0,-1),"=*")&gt;0,IF($C27="К","-"," - "),IF(COUNTIF(OFFSET($E27,0,1):OFFSET(U27,0,-1),"&lt;4")&gt;0,IF(C27="К","-"," - "),(IFERROR(AVERAGE(OFFSET($E27,0,1):OFFSET(U27,0,-1)),"Очікую"))))</f>
        <v>Очікую</v>
      </c>
      <c r="V27" s="23"/>
      <c r="W27" s="42"/>
    </row>
    <row r="28" spans="1:23" s="12" customFormat="1" ht="15" customHeight="1" x14ac:dyDescent="0.25">
      <c r="A28" s="43"/>
      <c r="B28" s="13"/>
      <c r="C28" s="50"/>
      <c r="D28" s="50">
        <v>19</v>
      </c>
      <c r="E28" s="51"/>
      <c r="F28" s="52"/>
      <c r="G28" s="52"/>
      <c r="H28" s="52"/>
      <c r="I28" s="52"/>
      <c r="J28" s="52"/>
      <c r="K28" s="52"/>
      <c r="L28" s="52"/>
      <c r="M28" s="52"/>
      <c r="N28" s="52"/>
      <c r="O28" s="52"/>
      <c r="P28" s="52"/>
      <c r="Q28" s="52"/>
      <c r="R28" s="52"/>
      <c r="S28" s="52"/>
      <c r="T28" s="52"/>
      <c r="U28" s="45" t="str">
        <f ca="1">IF(COUNTIF(OFFSET($E28,0,1):OFFSET(U28,0,-1),"=*")&gt;0,IF($C28="К","-"," - "),IF(COUNTIF(OFFSET($E28,0,1):OFFSET(U28,0,-1),"&lt;4")&gt;0,IF(C28="К","-"," - "),(IFERROR(AVERAGE(OFFSET($E28,0,1):OFFSET(U28,0,-1)),"Очікую"))))</f>
        <v>Очікую</v>
      </c>
      <c r="V28" s="23"/>
      <c r="W28" s="42"/>
    </row>
    <row r="29" spans="1:23" s="12" customFormat="1" ht="15" customHeight="1" x14ac:dyDescent="0.25">
      <c r="A29" s="43"/>
      <c r="B29" s="13"/>
      <c r="C29" s="50"/>
      <c r="D29" s="50">
        <v>20</v>
      </c>
      <c r="E29" s="51"/>
      <c r="F29" s="52"/>
      <c r="G29" s="52"/>
      <c r="H29" s="52"/>
      <c r="I29" s="52"/>
      <c r="J29" s="52"/>
      <c r="K29" s="52"/>
      <c r="L29" s="52"/>
      <c r="M29" s="52"/>
      <c r="N29" s="52"/>
      <c r="O29" s="52"/>
      <c r="P29" s="52"/>
      <c r="Q29" s="52"/>
      <c r="R29" s="52"/>
      <c r="S29" s="52"/>
      <c r="T29" s="52"/>
      <c r="U29" s="45" t="str">
        <f ca="1">IF(COUNTIF(OFFSET($E29,0,1):OFFSET(U29,0,-1),"=*")&gt;0,IF($C29="К","-"," - "),IF(COUNTIF(OFFSET($E29,0,1):OFFSET(U29,0,-1),"&lt;4")&gt;0,IF(C29="К","-"," - "),(IFERROR(AVERAGE(OFFSET($E29,0,1):OFFSET(U29,0,-1)),"Очікую"))))</f>
        <v>Очікую</v>
      </c>
      <c r="V29" s="23"/>
      <c r="W29" s="42"/>
    </row>
    <row r="30" spans="1:23" s="12" customFormat="1" ht="15" customHeight="1" x14ac:dyDescent="0.25">
      <c r="A30" s="43"/>
      <c r="B30" s="13"/>
      <c r="C30" s="50"/>
      <c r="D30" s="50">
        <v>21</v>
      </c>
      <c r="E30" s="51"/>
      <c r="F30" s="52"/>
      <c r="G30" s="52"/>
      <c r="H30" s="52"/>
      <c r="I30" s="52"/>
      <c r="J30" s="52"/>
      <c r="K30" s="52"/>
      <c r="L30" s="52"/>
      <c r="M30" s="52"/>
      <c r="N30" s="52"/>
      <c r="O30" s="52"/>
      <c r="P30" s="52"/>
      <c r="Q30" s="52"/>
      <c r="R30" s="52"/>
      <c r="S30" s="52"/>
      <c r="T30" s="52"/>
      <c r="U30" s="45" t="str">
        <f ca="1">IF(COUNTIF(OFFSET($E30,0,1):OFFSET(U30,0,-1),"=*")&gt;0,IF($C30="К","-"," - "),IF(COUNTIF(OFFSET($E30,0,1):OFFSET(U30,0,-1),"&lt;4")&gt;0,IF(C30="К","-"," - "),(IFERROR(AVERAGE(OFFSET($E30,0,1):OFFSET(U30,0,-1)),"Очікую"))))</f>
        <v>Очікую</v>
      </c>
      <c r="V30" s="23"/>
      <c r="W30" s="42"/>
    </row>
    <row r="31" spans="1:23" s="12" customFormat="1" ht="15" customHeight="1" x14ac:dyDescent="0.25">
      <c r="A31" s="43"/>
      <c r="B31" s="13"/>
      <c r="C31" s="50"/>
      <c r="D31" s="50">
        <v>22</v>
      </c>
      <c r="E31" s="51"/>
      <c r="F31" s="52"/>
      <c r="G31" s="52"/>
      <c r="H31" s="52"/>
      <c r="I31" s="52"/>
      <c r="J31" s="52"/>
      <c r="K31" s="52"/>
      <c r="L31" s="52"/>
      <c r="M31" s="52"/>
      <c r="N31" s="52"/>
      <c r="O31" s="52"/>
      <c r="P31" s="52"/>
      <c r="Q31" s="52"/>
      <c r="R31" s="52"/>
      <c r="S31" s="52"/>
      <c r="T31" s="52"/>
      <c r="U31" s="45" t="str">
        <f ca="1">IF(COUNTIF(OFFSET($E31,0,1):OFFSET(U31,0,-1),"=*")&gt;0,IF($C31="К","-"," - "),IF(COUNTIF(OFFSET($E31,0,1):OFFSET(U31,0,-1),"&lt;4")&gt;0,IF(C31="К","-"," - "),(IFERROR(AVERAGE(OFFSET($E31,0,1):OFFSET(U31,0,-1)),"Очікую"))))</f>
        <v>Очікую</v>
      </c>
      <c r="V31" s="23"/>
      <c r="W31" s="42"/>
    </row>
    <row r="32" spans="1:23" s="12" customFormat="1" ht="15" customHeight="1" x14ac:dyDescent="0.25">
      <c r="A32" s="43"/>
      <c r="B32" s="13"/>
      <c r="C32" s="50"/>
      <c r="D32" s="50">
        <v>23</v>
      </c>
      <c r="E32" s="51"/>
      <c r="F32" s="52"/>
      <c r="G32" s="52"/>
      <c r="H32" s="52"/>
      <c r="I32" s="52"/>
      <c r="J32" s="52"/>
      <c r="K32" s="52"/>
      <c r="L32" s="52"/>
      <c r="M32" s="52"/>
      <c r="N32" s="52"/>
      <c r="O32" s="52"/>
      <c r="P32" s="52"/>
      <c r="Q32" s="52"/>
      <c r="R32" s="52"/>
      <c r="S32" s="52"/>
      <c r="T32" s="52"/>
      <c r="U32" s="45" t="str">
        <f ca="1">IF(COUNTIF(OFFSET($E32,0,1):OFFSET(U32,0,-1),"=*")&gt;0,IF($C32="К","-"," - "),IF(COUNTIF(OFFSET($E32,0,1):OFFSET(U32,0,-1),"&lt;4")&gt;0,IF(C32="К","-"," - "),(IFERROR(AVERAGE(OFFSET($E32,0,1):OFFSET(U32,0,-1)),"Очікую"))))</f>
        <v>Очікую</v>
      </c>
      <c r="V32" s="23"/>
      <c r="W32" s="42"/>
    </row>
    <row r="33" spans="1:23" s="12" customFormat="1" ht="15" customHeight="1" x14ac:dyDescent="0.25">
      <c r="A33" s="43"/>
      <c r="B33" s="13"/>
      <c r="C33" s="50"/>
      <c r="D33" s="50">
        <v>24</v>
      </c>
      <c r="E33" s="51"/>
      <c r="F33" s="52"/>
      <c r="G33" s="52"/>
      <c r="H33" s="52"/>
      <c r="I33" s="52"/>
      <c r="J33" s="52"/>
      <c r="K33" s="52"/>
      <c r="L33" s="52"/>
      <c r="M33" s="52"/>
      <c r="N33" s="52"/>
      <c r="O33" s="52"/>
      <c r="P33" s="52"/>
      <c r="Q33" s="52"/>
      <c r="R33" s="52"/>
      <c r="S33" s="52"/>
      <c r="T33" s="52"/>
      <c r="U33" s="45" t="str">
        <f ca="1">IF(COUNTIF(OFFSET($E33,0,1):OFFSET(U33,0,-1),"=*")&gt;0,IF($C33="К","-"," - "),IF(COUNTIF(OFFSET($E33,0,1):OFFSET(U33,0,-1),"&lt;4")&gt;0,IF(C33="К","-"," - "),(IFERROR(AVERAGE(OFFSET($E33,0,1):OFFSET(U33,0,-1)),"Очікую"))))</f>
        <v>Очікую</v>
      </c>
      <c r="V33" s="23"/>
      <c r="W33" s="42"/>
    </row>
    <row r="34" spans="1:23" s="12" customFormat="1" ht="15" customHeight="1" x14ac:dyDescent="0.25">
      <c r="A34" s="43"/>
      <c r="B34" s="13"/>
      <c r="C34" s="50"/>
      <c r="D34" s="50">
        <v>25</v>
      </c>
      <c r="E34" s="51"/>
      <c r="F34" s="52"/>
      <c r="G34" s="52"/>
      <c r="H34" s="52"/>
      <c r="I34" s="52"/>
      <c r="J34" s="52"/>
      <c r="K34" s="52"/>
      <c r="L34" s="52"/>
      <c r="M34" s="52"/>
      <c r="N34" s="52"/>
      <c r="O34" s="52"/>
      <c r="P34" s="52"/>
      <c r="Q34" s="52"/>
      <c r="R34" s="52"/>
      <c r="S34" s="52"/>
      <c r="T34" s="52"/>
      <c r="U34" s="45" t="str">
        <f ca="1">IF(COUNTIF(OFFSET($E34,0,1):OFFSET(U34,0,-1),"=*")&gt;0,IF($C34="К","-"," - "),IF(COUNTIF(OFFSET($E34,0,1):OFFSET(U34,0,-1),"&lt;4")&gt;0,IF(C34="К","-"," - "),(IFERROR(AVERAGE(OFFSET($E34,0,1):OFFSET(U34,0,-1)),"Очікую"))))</f>
        <v>Очікую</v>
      </c>
      <c r="V34" s="23"/>
      <c r="W34" s="42"/>
    </row>
    <row r="35" spans="1:23" s="12" customFormat="1" ht="15" customHeight="1" x14ac:dyDescent="0.25">
      <c r="A35" s="43"/>
      <c r="B35" s="13"/>
      <c r="C35" s="50"/>
      <c r="D35" s="50">
        <v>26</v>
      </c>
      <c r="E35" s="51"/>
      <c r="F35" s="52"/>
      <c r="G35" s="52"/>
      <c r="H35" s="52"/>
      <c r="I35" s="52"/>
      <c r="J35" s="52"/>
      <c r="K35" s="52"/>
      <c r="L35" s="52"/>
      <c r="M35" s="52"/>
      <c r="N35" s="52"/>
      <c r="O35" s="52"/>
      <c r="P35" s="52"/>
      <c r="Q35" s="52"/>
      <c r="R35" s="52"/>
      <c r="S35" s="52"/>
      <c r="T35" s="52"/>
      <c r="U35" s="45" t="str">
        <f ca="1">IF(COUNTIF(OFFSET($E35,0,1):OFFSET(U35,0,-1),"=*")&gt;0,IF($C35="К","-"," - "),IF(COUNTIF(OFFSET($E35,0,1):OFFSET(U35,0,-1),"&lt;4")&gt;0,IF(C35="К","-"," - "),(IFERROR(AVERAGE(OFFSET($E35,0,1):OFFSET(U35,0,-1)),"Очікую"))))</f>
        <v>Очікую</v>
      </c>
      <c r="V35" s="23"/>
      <c r="W35" s="42"/>
    </row>
    <row r="36" spans="1:23" s="12" customFormat="1" ht="15" customHeight="1" x14ac:dyDescent="0.25">
      <c r="A36" s="43"/>
      <c r="B36" s="13"/>
      <c r="C36" s="50"/>
      <c r="D36" s="50">
        <v>27</v>
      </c>
      <c r="E36" s="51"/>
      <c r="F36" s="52"/>
      <c r="G36" s="52"/>
      <c r="H36" s="52"/>
      <c r="I36" s="52"/>
      <c r="J36" s="52"/>
      <c r="K36" s="52"/>
      <c r="L36" s="52"/>
      <c r="M36" s="52"/>
      <c r="N36" s="52"/>
      <c r="O36" s="52"/>
      <c r="P36" s="52"/>
      <c r="Q36" s="52"/>
      <c r="R36" s="52"/>
      <c r="S36" s="52"/>
      <c r="T36" s="52"/>
      <c r="U36" s="45" t="str">
        <f ca="1">IF(COUNTIF(OFFSET($E36,0,1):OFFSET(U36,0,-1),"=*")&gt;0,IF($C36="К","-"," - "),IF(COUNTIF(OFFSET($E36,0,1):OFFSET(U36,0,-1),"&lt;4")&gt;0,IF(C36="К","-"," - "),(IFERROR(AVERAGE(OFFSET($E36,0,1):OFFSET(U36,0,-1)),"Очікую"))))</f>
        <v>Очікую</v>
      </c>
      <c r="V36" s="23"/>
      <c r="W36" s="42"/>
    </row>
    <row r="37" spans="1:23" s="12" customFormat="1" ht="15" customHeight="1" x14ac:dyDescent="0.25">
      <c r="A37" s="43"/>
      <c r="B37" s="13"/>
      <c r="C37" s="50"/>
      <c r="D37" s="50">
        <v>28</v>
      </c>
      <c r="E37" s="51"/>
      <c r="F37" s="52"/>
      <c r="G37" s="52"/>
      <c r="H37" s="52"/>
      <c r="I37" s="52"/>
      <c r="J37" s="52"/>
      <c r="K37" s="52"/>
      <c r="L37" s="52"/>
      <c r="M37" s="52"/>
      <c r="N37" s="52"/>
      <c r="O37" s="52"/>
      <c r="P37" s="52"/>
      <c r="Q37" s="52"/>
      <c r="R37" s="52"/>
      <c r="S37" s="52"/>
      <c r="T37" s="52"/>
      <c r="U37" s="45" t="str">
        <f ca="1">IF(COUNTIF(OFFSET($E37,0,1):OFFSET(U37,0,-1),"=*")&gt;0,IF($C37="К","-"," - "),IF(COUNTIF(OFFSET($E37,0,1):OFFSET(U37,0,-1),"&lt;4")&gt;0,IF(C37="К","-"," - "),(IFERROR(AVERAGE(OFFSET($E37,0,1):OFFSET(U37,0,-1)),"Очікую"))))</f>
        <v>Очікую</v>
      </c>
      <c r="V37" s="23"/>
      <c r="W37" s="42"/>
    </row>
    <row r="38" spans="1:23" s="12" customFormat="1" ht="15" customHeight="1" x14ac:dyDescent="0.25">
      <c r="A38" s="43"/>
      <c r="B38" s="13"/>
      <c r="C38" s="50"/>
      <c r="D38" s="50">
        <v>29</v>
      </c>
      <c r="E38" s="51"/>
      <c r="F38" s="52"/>
      <c r="G38" s="52"/>
      <c r="H38" s="52"/>
      <c r="I38" s="52"/>
      <c r="J38" s="52"/>
      <c r="K38" s="52"/>
      <c r="L38" s="52"/>
      <c r="M38" s="52"/>
      <c r="N38" s="52"/>
      <c r="O38" s="52"/>
      <c r="P38" s="52"/>
      <c r="Q38" s="52"/>
      <c r="R38" s="52"/>
      <c r="S38" s="52"/>
      <c r="T38" s="52"/>
      <c r="U38" s="45" t="str">
        <f ca="1">IF(COUNTIF(OFFSET($E38,0,1):OFFSET(U38,0,-1),"=*")&gt;0,IF($C38="К","-"," - "),IF(COUNTIF(OFFSET($E38,0,1):OFFSET(U38,0,-1),"&lt;4")&gt;0,IF(C38="К","-"," - "),(IFERROR(AVERAGE(OFFSET($E38,0,1):OFFSET(U38,0,-1)),"Очікую"))))</f>
        <v>Очікую</v>
      </c>
      <c r="V38" s="23"/>
      <c r="W38" s="42"/>
    </row>
    <row r="39" spans="1:23" s="12" customFormat="1" ht="15" customHeight="1" x14ac:dyDescent="0.25">
      <c r="A39" s="43"/>
      <c r="B39" s="13"/>
      <c r="C39" s="50"/>
      <c r="D39" s="50">
        <v>30</v>
      </c>
      <c r="E39" s="51"/>
      <c r="F39" s="52"/>
      <c r="G39" s="52"/>
      <c r="H39" s="52"/>
      <c r="I39" s="52"/>
      <c r="J39" s="52"/>
      <c r="K39" s="52"/>
      <c r="L39" s="52"/>
      <c r="M39" s="52"/>
      <c r="N39" s="52"/>
      <c r="O39" s="52"/>
      <c r="P39" s="52"/>
      <c r="Q39" s="52"/>
      <c r="R39" s="52"/>
      <c r="S39" s="52"/>
      <c r="T39" s="52"/>
      <c r="U39" s="45" t="str">
        <f ca="1">IF(COUNTIF(OFFSET($E39,0,1):OFFSET(U39,0,-1),"=*")&gt;0,IF($C39="К","-"," - "),IF(COUNTIF(OFFSET($E39,0,1):OFFSET(U39,0,-1),"&lt;4")&gt;0,IF(C39="К","-"," - "),(IFERROR(AVERAGE(OFFSET($E39,0,1):OFFSET(U39,0,-1)),"Очікую"))))</f>
        <v>Очікую</v>
      </c>
      <c r="V39" s="23"/>
      <c r="W39" s="42"/>
    </row>
    <row r="40" spans="1:23" s="12" customFormat="1" ht="15" customHeight="1" x14ac:dyDescent="0.25">
      <c r="A40" s="43"/>
      <c r="B40" s="13"/>
      <c r="C40" s="50"/>
      <c r="D40" s="50">
        <v>31</v>
      </c>
      <c r="E40" s="51"/>
      <c r="F40" s="52"/>
      <c r="G40" s="52"/>
      <c r="H40" s="52"/>
      <c r="I40" s="52"/>
      <c r="J40" s="52"/>
      <c r="K40" s="52"/>
      <c r="L40" s="52"/>
      <c r="M40" s="52"/>
      <c r="N40" s="52"/>
      <c r="O40" s="52"/>
      <c r="P40" s="52"/>
      <c r="Q40" s="52"/>
      <c r="R40" s="52"/>
      <c r="S40" s="52"/>
      <c r="T40" s="52"/>
      <c r="U40" s="45" t="str">
        <f ca="1">IF(COUNTIF(OFFSET($E40,0,1):OFFSET(U40,0,-1),"=*")&gt;0,IF($C40="К","-"," - "),IF(COUNTIF(OFFSET($E40,0,1):OFFSET(U40,0,-1),"&lt;4")&gt;0,IF(C40="К","-"," - "),(IFERROR(AVERAGE(OFFSET($E40,0,1):OFFSET(U40,0,-1)),"Очікую"))))</f>
        <v>Очікую</v>
      </c>
      <c r="V40" s="23"/>
      <c r="W40" s="42"/>
    </row>
    <row r="41" spans="1:23" s="12" customFormat="1" ht="15" customHeight="1" x14ac:dyDescent="0.25">
      <c r="A41" s="43"/>
      <c r="B41" s="13"/>
      <c r="C41" s="50"/>
      <c r="D41" s="50">
        <v>32</v>
      </c>
      <c r="E41" s="51"/>
      <c r="F41" s="52"/>
      <c r="G41" s="52"/>
      <c r="H41" s="52"/>
      <c r="I41" s="52"/>
      <c r="J41" s="52"/>
      <c r="K41" s="52"/>
      <c r="L41" s="52"/>
      <c r="M41" s="52"/>
      <c r="N41" s="52"/>
      <c r="O41" s="52"/>
      <c r="P41" s="52"/>
      <c r="Q41" s="52"/>
      <c r="R41" s="52"/>
      <c r="S41" s="52"/>
      <c r="T41" s="52"/>
      <c r="U41" s="45" t="str">
        <f ca="1">IF(COUNTIF(OFFSET($E41,0,1):OFFSET(U41,0,-1),"=*")&gt;0,IF($C41="К","-"," - "),IF(COUNTIF(OFFSET($E41,0,1):OFFSET(U41,0,-1),"&lt;4")&gt;0,IF(C41="К","-"," - "),(IFERROR(AVERAGE(OFFSET($E41,0,1):OFFSET(U41,0,-1)),"Очікую"))))</f>
        <v>Очікую</v>
      </c>
      <c r="V41" s="23"/>
      <c r="W41" s="42"/>
    </row>
    <row r="42" spans="1:23" s="12" customFormat="1" ht="15" customHeight="1" x14ac:dyDescent="0.25">
      <c r="A42" s="43"/>
      <c r="B42" s="13"/>
      <c r="C42" s="50"/>
      <c r="D42" s="50">
        <v>33</v>
      </c>
      <c r="E42" s="51"/>
      <c r="F42" s="52"/>
      <c r="G42" s="52"/>
      <c r="H42" s="52"/>
      <c r="I42" s="52"/>
      <c r="J42" s="52"/>
      <c r="K42" s="52"/>
      <c r="L42" s="52"/>
      <c r="M42" s="52"/>
      <c r="N42" s="52"/>
      <c r="O42" s="52"/>
      <c r="P42" s="52"/>
      <c r="Q42" s="52"/>
      <c r="R42" s="52"/>
      <c r="S42" s="52"/>
      <c r="T42" s="52"/>
      <c r="U42" s="45" t="str">
        <f ca="1">IF(COUNTIF(OFFSET($E42,0,1):OFFSET(U42,0,-1),"=*")&gt;0,IF($C42="К","-"," - "),IF(COUNTIF(OFFSET($E42,0,1):OFFSET(U42,0,-1),"&lt;4")&gt;0,IF(C42="К","-"," - "),(IFERROR(AVERAGE(OFFSET($E42,0,1):OFFSET(U42,0,-1)),"Очікую"))))</f>
        <v>Очікую</v>
      </c>
      <c r="V42" s="23"/>
      <c r="W42" s="42"/>
    </row>
    <row r="43" spans="1:23" s="12" customFormat="1" ht="15" customHeight="1" x14ac:dyDescent="0.25">
      <c r="A43" s="43"/>
      <c r="B43" s="13"/>
      <c r="C43" s="50"/>
      <c r="D43" s="50">
        <v>34</v>
      </c>
      <c r="E43" s="51"/>
      <c r="F43" s="52"/>
      <c r="G43" s="52"/>
      <c r="H43" s="52"/>
      <c r="I43" s="52"/>
      <c r="J43" s="52"/>
      <c r="K43" s="52"/>
      <c r="L43" s="52"/>
      <c r="M43" s="52"/>
      <c r="N43" s="52"/>
      <c r="O43" s="52"/>
      <c r="P43" s="52"/>
      <c r="Q43" s="52"/>
      <c r="R43" s="52"/>
      <c r="S43" s="52"/>
      <c r="T43" s="52"/>
      <c r="U43" s="45" t="str">
        <f ca="1">IF(COUNTIF(OFFSET($E43,0,1):OFFSET(U43,0,-1),"=*")&gt;0,IF($C43="К","-"," - "),IF(COUNTIF(OFFSET($E43,0,1):OFFSET(U43,0,-1),"&lt;4")&gt;0,IF(C43="К","-"," - "),(IFERROR(AVERAGE(OFFSET($E43,0,1):OFFSET(U43,0,-1)),"Очікую"))))</f>
        <v>Очікую</v>
      </c>
      <c r="V43" s="23"/>
      <c r="W43" s="42"/>
    </row>
    <row r="44" spans="1:23" s="12" customFormat="1" ht="15" customHeight="1" x14ac:dyDescent="0.25">
      <c r="A44" s="43"/>
      <c r="B44" s="13"/>
      <c r="C44" s="50"/>
      <c r="D44" s="50">
        <v>35</v>
      </c>
      <c r="E44" s="51"/>
      <c r="F44" s="52"/>
      <c r="G44" s="52"/>
      <c r="H44" s="52"/>
      <c r="I44" s="52"/>
      <c r="J44" s="52"/>
      <c r="K44" s="52"/>
      <c r="L44" s="52"/>
      <c r="M44" s="52"/>
      <c r="N44" s="52"/>
      <c r="O44" s="52"/>
      <c r="P44" s="52"/>
      <c r="Q44" s="52"/>
      <c r="R44" s="52"/>
      <c r="S44" s="52"/>
      <c r="T44" s="52"/>
      <c r="U44" s="45" t="str">
        <f ca="1">IF(COUNTIF(OFFSET($E44,0,1):OFFSET(U44,0,-1),"=*")&gt;0,IF($C44="К","-"," - "),IF(COUNTIF(OFFSET($E44,0,1):OFFSET(U44,0,-1),"&lt;4")&gt;0,IF(C44="К","-"," - "),(IFERROR(AVERAGE(OFFSET($E44,0,1):OFFSET(U44,0,-1)),"Очікую"))))</f>
        <v>Очікую</v>
      </c>
      <c r="V44" s="23"/>
      <c r="W44" s="42"/>
    </row>
    <row r="45" spans="1:23" s="12" customFormat="1" ht="15" customHeight="1" x14ac:dyDescent="0.25">
      <c r="A45" s="43"/>
      <c r="B45" s="13"/>
      <c r="C45" s="50"/>
      <c r="D45" s="50">
        <v>36</v>
      </c>
      <c r="E45" s="51"/>
      <c r="F45" s="52"/>
      <c r="G45" s="52"/>
      <c r="H45" s="52"/>
      <c r="I45" s="52"/>
      <c r="J45" s="52"/>
      <c r="K45" s="52"/>
      <c r="L45" s="52"/>
      <c r="M45" s="52"/>
      <c r="N45" s="52"/>
      <c r="O45" s="52"/>
      <c r="P45" s="52"/>
      <c r="Q45" s="52"/>
      <c r="R45" s="52"/>
      <c r="S45" s="52"/>
      <c r="T45" s="52"/>
      <c r="U45" s="45" t="str">
        <f ca="1">IF(COUNTIF(OFFSET($E45,0,1):OFFSET(U45,0,-1),"=*")&gt;0,IF($C45="К","-"," - "),IF(COUNTIF(OFFSET($E45,0,1):OFFSET(U45,0,-1),"&lt;4")&gt;0,IF(C45="К","-"," - "),(IFERROR(AVERAGE(OFFSET($E45,0,1):OFFSET(U45,0,-1)),"Очікую"))))</f>
        <v>Очікую</v>
      </c>
      <c r="V45" s="23"/>
      <c r="W45" s="42"/>
    </row>
    <row r="46" spans="1:23" s="12" customFormat="1" ht="15" customHeight="1" x14ac:dyDescent="0.25">
      <c r="A46" s="43"/>
      <c r="B46" s="13"/>
      <c r="C46" s="50"/>
      <c r="D46" s="50">
        <v>37</v>
      </c>
      <c r="E46" s="51"/>
      <c r="F46" s="52"/>
      <c r="G46" s="52"/>
      <c r="H46" s="52"/>
      <c r="I46" s="52"/>
      <c r="J46" s="52"/>
      <c r="K46" s="52"/>
      <c r="L46" s="52"/>
      <c r="M46" s="52"/>
      <c r="N46" s="52"/>
      <c r="O46" s="52"/>
      <c r="P46" s="52"/>
      <c r="Q46" s="52"/>
      <c r="R46" s="52"/>
      <c r="S46" s="52"/>
      <c r="T46" s="52"/>
      <c r="U46" s="45" t="str">
        <f ca="1">IF(COUNTIF(OFFSET($E46,0,1):OFFSET(U46,0,-1),"=*")&gt;0,IF($C46="К","-"," - "),IF(COUNTIF(OFFSET($E46,0,1):OFFSET(U46,0,-1),"&lt;4")&gt;0,IF(C46="К","-"," - "),(IFERROR(AVERAGE(OFFSET($E46,0,1):OFFSET(U46,0,-1)),"Очікую"))))</f>
        <v>Очікую</v>
      </c>
      <c r="V46" s="23"/>
      <c r="W46" s="42"/>
    </row>
    <row r="47" spans="1:23" s="12" customFormat="1" ht="15" customHeight="1" x14ac:dyDescent="0.25">
      <c r="A47" s="43"/>
      <c r="B47" s="13"/>
      <c r="C47" s="50"/>
      <c r="D47" s="50">
        <v>38</v>
      </c>
      <c r="E47" s="51"/>
      <c r="F47" s="52"/>
      <c r="G47" s="52"/>
      <c r="H47" s="52"/>
      <c r="I47" s="52"/>
      <c r="J47" s="52"/>
      <c r="K47" s="52"/>
      <c r="L47" s="52"/>
      <c r="M47" s="52"/>
      <c r="N47" s="52"/>
      <c r="O47" s="52"/>
      <c r="P47" s="52"/>
      <c r="Q47" s="52"/>
      <c r="R47" s="52"/>
      <c r="S47" s="52"/>
      <c r="T47" s="52"/>
      <c r="U47" s="45" t="str">
        <f ca="1">IF(COUNTIF(OFFSET($E47,0,1):OFFSET(U47,0,-1),"=*")&gt;0,IF($C47="К","-"," - "),IF(COUNTIF(OFFSET($E47,0,1):OFFSET(U47,0,-1),"&lt;4")&gt;0,IF(C47="К","-"," - "),(IFERROR(AVERAGE(OFFSET($E47,0,1):OFFSET(U47,0,-1)),"Очікую"))))</f>
        <v>Очікую</v>
      </c>
      <c r="V47" s="23"/>
      <c r="W47" s="42"/>
    </row>
    <row r="48" spans="1:23" s="12" customFormat="1" ht="15" customHeight="1" x14ac:dyDescent="0.25">
      <c r="A48" s="43"/>
      <c r="B48" s="13"/>
      <c r="C48" s="50"/>
      <c r="D48" s="50">
        <v>39</v>
      </c>
      <c r="E48" s="51"/>
      <c r="F48" s="52"/>
      <c r="G48" s="52"/>
      <c r="H48" s="52"/>
      <c r="I48" s="52"/>
      <c r="J48" s="52"/>
      <c r="K48" s="52"/>
      <c r="L48" s="52"/>
      <c r="M48" s="52"/>
      <c r="N48" s="52"/>
      <c r="O48" s="52"/>
      <c r="P48" s="52"/>
      <c r="Q48" s="52"/>
      <c r="R48" s="52"/>
      <c r="S48" s="52"/>
      <c r="T48" s="52"/>
      <c r="U48" s="45" t="str">
        <f ca="1">IF(COUNTIF(OFFSET($E48,0,1):OFFSET(U48,0,-1),"=*")&gt;0,IF($C48="К","-"," - "),IF(COUNTIF(OFFSET($E48,0,1):OFFSET(U48,0,-1),"&lt;4")&gt;0,IF(C48="К","-"," - "),(IFERROR(AVERAGE(OFFSET($E48,0,1):OFFSET(U48,0,-1)),"Очікую"))))</f>
        <v>Очікую</v>
      </c>
      <c r="V48" s="23"/>
      <c r="W48" s="42"/>
    </row>
    <row r="49" spans="1:23" s="12" customFormat="1" ht="15" customHeight="1" x14ac:dyDescent="0.25">
      <c r="A49" s="43"/>
      <c r="B49" s="13"/>
      <c r="C49" s="50"/>
      <c r="D49" s="50">
        <v>40</v>
      </c>
      <c r="E49" s="51"/>
      <c r="F49" s="52"/>
      <c r="G49" s="52"/>
      <c r="H49" s="52"/>
      <c r="I49" s="52"/>
      <c r="J49" s="52"/>
      <c r="K49" s="52"/>
      <c r="L49" s="52"/>
      <c r="M49" s="52"/>
      <c r="N49" s="52"/>
      <c r="O49" s="52"/>
      <c r="P49" s="52"/>
      <c r="Q49" s="52"/>
      <c r="R49" s="52"/>
      <c r="S49" s="52"/>
      <c r="T49" s="52"/>
      <c r="U49" s="45" t="str">
        <f ca="1">IF(COUNTIF(OFFSET($E49,0,1):OFFSET(U49,0,-1),"=*")&gt;0,IF($C49="К","-"," - "),IF(COUNTIF(OFFSET($E49,0,1):OFFSET(U49,0,-1),"&lt;4")&gt;0,IF(C49="К","-"," - "),(IFERROR(AVERAGE(OFFSET($E49,0,1):OFFSET(U49,0,-1)),"Очікую"))))</f>
        <v>Очікую</v>
      </c>
      <c r="V49" s="23"/>
      <c r="W49" s="42"/>
    </row>
    <row r="50" spans="1:23" s="12" customFormat="1" ht="15" customHeight="1" x14ac:dyDescent="0.25">
      <c r="A50" s="43"/>
      <c r="B50" s="13"/>
      <c r="C50" s="50"/>
      <c r="D50" s="50">
        <v>41</v>
      </c>
      <c r="E50" s="51"/>
      <c r="F50" s="52"/>
      <c r="G50" s="52"/>
      <c r="H50" s="52"/>
      <c r="I50" s="52"/>
      <c r="J50" s="52"/>
      <c r="K50" s="52"/>
      <c r="L50" s="52"/>
      <c r="M50" s="52"/>
      <c r="N50" s="52"/>
      <c r="O50" s="52"/>
      <c r="P50" s="52"/>
      <c r="Q50" s="52"/>
      <c r="R50" s="52"/>
      <c r="S50" s="52"/>
      <c r="T50" s="52"/>
      <c r="U50" s="45" t="str">
        <f ca="1">IF(COUNTIF(OFFSET($E50,0,1):OFFSET(U50,0,-1),"=*")&gt;0,IF($C50="К","-"," - "),IF(COUNTIF(OFFSET($E50,0,1):OFFSET(U50,0,-1),"&lt;4")&gt;0,IF(C50="К","-"," - "),(IFERROR(AVERAGE(OFFSET($E50,0,1):OFFSET(U50,0,-1)),"Очікую"))))</f>
        <v>Очікую</v>
      </c>
      <c r="V50" s="23"/>
      <c r="W50" s="42"/>
    </row>
    <row r="51" spans="1:23" s="12" customFormat="1" ht="15" customHeight="1" x14ac:dyDescent="0.25">
      <c r="A51" s="43"/>
      <c r="B51" s="13"/>
      <c r="C51" s="50"/>
      <c r="D51" s="50">
        <v>42</v>
      </c>
      <c r="E51" s="51"/>
      <c r="F51" s="52"/>
      <c r="G51" s="52"/>
      <c r="H51" s="52"/>
      <c r="I51" s="52"/>
      <c r="J51" s="52"/>
      <c r="K51" s="52"/>
      <c r="L51" s="52"/>
      <c r="M51" s="52"/>
      <c r="N51" s="52"/>
      <c r="O51" s="52"/>
      <c r="P51" s="52"/>
      <c r="Q51" s="52"/>
      <c r="R51" s="52"/>
      <c r="S51" s="52"/>
      <c r="T51" s="52"/>
      <c r="U51" s="45" t="str">
        <f ca="1">IF(COUNTIF(OFFSET($E51,0,1):OFFSET(U51,0,-1),"=*")&gt;0,IF($C51="К","-"," - "),IF(COUNTIF(OFFSET($E51,0,1):OFFSET(U51,0,-1),"&lt;4")&gt;0,IF(C51="К","-"," - "),(IFERROR(AVERAGE(OFFSET($E51,0,1):OFFSET(U51,0,-1)),"Очікую"))))</f>
        <v>Очікую</v>
      </c>
      <c r="V51" s="23"/>
      <c r="W51" s="42"/>
    </row>
    <row r="52" spans="1:23" s="12" customFormat="1" ht="15" customHeight="1" x14ac:dyDescent="0.25">
      <c r="A52" s="43"/>
      <c r="B52" s="13"/>
      <c r="C52" s="50"/>
      <c r="D52" s="50">
        <v>43</v>
      </c>
      <c r="E52" s="51"/>
      <c r="F52" s="52"/>
      <c r="G52" s="52"/>
      <c r="H52" s="52"/>
      <c r="I52" s="52"/>
      <c r="J52" s="52"/>
      <c r="K52" s="52"/>
      <c r="L52" s="52"/>
      <c r="M52" s="52"/>
      <c r="N52" s="52"/>
      <c r="O52" s="52"/>
      <c r="P52" s="52"/>
      <c r="Q52" s="52"/>
      <c r="R52" s="52"/>
      <c r="S52" s="52"/>
      <c r="T52" s="52"/>
      <c r="U52" s="45" t="str">
        <f ca="1">IF(COUNTIF(OFFSET($E52,0,1):OFFSET(U52,0,-1),"=*")&gt;0,IF($C52="К","-"," - "),IF(COUNTIF(OFFSET($E52,0,1):OFFSET(U52,0,-1),"&lt;4")&gt;0,IF(C52="К","-"," - "),(IFERROR(AVERAGE(OFFSET($E52,0,1):OFFSET(U52,0,-1)),"Очікую"))))</f>
        <v>Очікую</v>
      </c>
      <c r="V52" s="23"/>
      <c r="W52" s="42"/>
    </row>
    <row r="53" spans="1:23" s="12" customFormat="1" ht="15" customHeight="1" x14ac:dyDescent="0.25">
      <c r="A53" s="43"/>
      <c r="B53" s="13"/>
      <c r="C53" s="50"/>
      <c r="D53" s="50">
        <v>44</v>
      </c>
      <c r="E53" s="51"/>
      <c r="F53" s="52"/>
      <c r="G53" s="52"/>
      <c r="H53" s="52"/>
      <c r="I53" s="52"/>
      <c r="J53" s="52"/>
      <c r="K53" s="52"/>
      <c r="L53" s="52"/>
      <c r="M53" s="52"/>
      <c r="N53" s="52"/>
      <c r="O53" s="52"/>
      <c r="P53" s="52"/>
      <c r="Q53" s="52"/>
      <c r="R53" s="52"/>
      <c r="S53" s="52"/>
      <c r="T53" s="52"/>
      <c r="U53" s="45" t="str">
        <f ca="1">IF(COUNTIF(OFFSET($E53,0,1):OFFSET(U53,0,-1),"=*")&gt;0,IF($C53="К","-"," - "),IF(COUNTIF(OFFSET($E53,0,1):OFFSET(U53,0,-1),"&lt;4")&gt;0,IF(C53="К","-"," - "),(IFERROR(AVERAGE(OFFSET($E53,0,1):OFFSET(U53,0,-1)),"Очікую"))))</f>
        <v>Очікую</v>
      </c>
      <c r="V53" s="23"/>
      <c r="W53" s="42"/>
    </row>
    <row r="54" spans="1:23" s="12" customFormat="1" ht="15" customHeight="1" x14ac:dyDescent="0.25">
      <c r="A54" s="43"/>
      <c r="B54" s="13"/>
      <c r="C54" s="50"/>
      <c r="D54" s="50">
        <v>45</v>
      </c>
      <c r="E54" s="51"/>
      <c r="F54" s="52"/>
      <c r="G54" s="52"/>
      <c r="H54" s="52"/>
      <c r="I54" s="52"/>
      <c r="J54" s="52"/>
      <c r="K54" s="52"/>
      <c r="L54" s="52"/>
      <c r="M54" s="52"/>
      <c r="N54" s="52"/>
      <c r="O54" s="52"/>
      <c r="P54" s="52"/>
      <c r="Q54" s="52"/>
      <c r="R54" s="52"/>
      <c r="S54" s="52"/>
      <c r="T54" s="52"/>
      <c r="U54" s="45" t="str">
        <f ca="1">IF(COUNTIF(OFFSET($E54,0,1):OFFSET(U54,0,-1),"=*")&gt;0,IF($C54="К","-"," - "),IF(COUNTIF(OFFSET($E54,0,1):OFFSET(U54,0,-1),"&lt;4")&gt;0,IF(C54="К","-"," - "),(IFERROR(AVERAGE(OFFSET($E54,0,1):OFFSET(U54,0,-1)),"Очікую"))))</f>
        <v>Очікую</v>
      </c>
      <c r="V54" s="23"/>
      <c r="W54" s="42"/>
    </row>
    <row r="55" spans="1:23" s="12" customFormat="1" ht="15" customHeight="1" x14ac:dyDescent="0.25">
      <c r="A55" s="43"/>
      <c r="B55" s="13"/>
      <c r="C55" s="50"/>
      <c r="D55" s="50">
        <v>46</v>
      </c>
      <c r="E55" s="51"/>
      <c r="F55" s="52"/>
      <c r="G55" s="52"/>
      <c r="H55" s="52"/>
      <c r="I55" s="52"/>
      <c r="J55" s="52"/>
      <c r="K55" s="52"/>
      <c r="L55" s="52"/>
      <c r="M55" s="52"/>
      <c r="N55" s="52"/>
      <c r="O55" s="52"/>
      <c r="P55" s="52"/>
      <c r="Q55" s="52"/>
      <c r="R55" s="52"/>
      <c r="S55" s="52"/>
      <c r="T55" s="52"/>
      <c r="U55" s="45" t="str">
        <f ca="1">IF(COUNTIF(OFFSET($E55,0,1):OFFSET(U55,0,-1),"=*")&gt;0,IF($C55="К","-"," - "),IF(COUNTIF(OFFSET($E55,0,1):OFFSET(U55,0,-1),"&lt;4")&gt;0,IF(C55="К","-"," - "),(IFERROR(AVERAGE(OFFSET($E55,0,1):OFFSET(U55,0,-1)),"Очікую"))))</f>
        <v>Очікую</v>
      </c>
      <c r="V55" s="23"/>
      <c r="W55" s="42"/>
    </row>
    <row r="56" spans="1:23" s="12" customFormat="1" ht="15" customHeight="1" x14ac:dyDescent="0.25">
      <c r="A56" s="43"/>
      <c r="B56" s="13"/>
      <c r="C56" s="50"/>
      <c r="D56" s="50">
        <v>47</v>
      </c>
      <c r="E56" s="51"/>
      <c r="F56" s="52"/>
      <c r="G56" s="52"/>
      <c r="H56" s="52"/>
      <c r="I56" s="52"/>
      <c r="J56" s="52"/>
      <c r="K56" s="52"/>
      <c r="L56" s="52"/>
      <c r="M56" s="52"/>
      <c r="N56" s="52"/>
      <c r="O56" s="52"/>
      <c r="P56" s="52"/>
      <c r="Q56" s="52"/>
      <c r="R56" s="52"/>
      <c r="S56" s="52"/>
      <c r="T56" s="52"/>
      <c r="U56" s="45" t="str">
        <f ca="1">IF(COUNTIF(OFFSET($E56,0,1):OFFSET(U56,0,-1),"=*")&gt;0,IF($C56="К","-"," - "),IF(COUNTIF(OFFSET($E56,0,1):OFFSET(U56,0,-1),"&lt;4")&gt;0,IF(C56="К","-"," - "),(IFERROR(AVERAGE(OFFSET($E56,0,1):OFFSET(U56,0,-1)),"Очікую"))))</f>
        <v>Очікую</v>
      </c>
      <c r="V56" s="23"/>
      <c r="W56" s="42"/>
    </row>
    <row r="57" spans="1:23" s="12" customFormat="1" ht="15" customHeight="1" x14ac:dyDescent="0.25">
      <c r="A57" s="43"/>
      <c r="B57" s="13"/>
      <c r="C57" s="50"/>
      <c r="D57" s="50">
        <v>48</v>
      </c>
      <c r="E57" s="51"/>
      <c r="F57" s="52"/>
      <c r="G57" s="52"/>
      <c r="H57" s="52"/>
      <c r="I57" s="52"/>
      <c r="J57" s="52"/>
      <c r="K57" s="52"/>
      <c r="L57" s="52"/>
      <c r="M57" s="52"/>
      <c r="N57" s="52"/>
      <c r="O57" s="52"/>
      <c r="P57" s="52"/>
      <c r="Q57" s="52"/>
      <c r="R57" s="52"/>
      <c r="S57" s="52"/>
      <c r="T57" s="52"/>
      <c r="U57" s="45" t="str">
        <f ca="1">IF(COUNTIF(OFFSET($E57,0,1):OFFSET(U57,0,-1),"=*")&gt;0,IF($C57="К","-"," - "),IF(COUNTIF(OFFSET($E57,0,1):OFFSET(U57,0,-1),"&lt;4")&gt;0,IF(C57="К","-"," - "),(IFERROR(AVERAGE(OFFSET($E57,0,1):OFFSET(U57,0,-1)),"Очікую"))))</f>
        <v>Очікую</v>
      </c>
      <c r="V57" s="23"/>
      <c r="W57" s="42"/>
    </row>
    <row r="58" spans="1:23" s="12" customFormat="1" ht="15" customHeight="1" x14ac:dyDescent="0.25">
      <c r="A58" s="43"/>
      <c r="B58" s="13"/>
      <c r="C58" s="50"/>
      <c r="D58" s="50">
        <v>49</v>
      </c>
      <c r="E58" s="51"/>
      <c r="F58" s="52"/>
      <c r="G58" s="52"/>
      <c r="H58" s="52"/>
      <c r="I58" s="52"/>
      <c r="J58" s="52"/>
      <c r="K58" s="52"/>
      <c r="L58" s="52"/>
      <c r="M58" s="52"/>
      <c r="N58" s="52"/>
      <c r="O58" s="52"/>
      <c r="P58" s="52"/>
      <c r="Q58" s="52"/>
      <c r="R58" s="52"/>
      <c r="S58" s="52"/>
      <c r="T58" s="52"/>
      <c r="U58" s="45" t="str">
        <f ca="1">IF(COUNTIF(OFFSET($E58,0,1):OFFSET(U58,0,-1),"=*")&gt;0,IF($C58="К","-"," - "),IF(COUNTIF(OFFSET($E58,0,1):OFFSET(U58,0,-1),"&lt;4")&gt;0,IF(C58="К","-"," - "),(IFERROR(AVERAGE(OFFSET($E58,0,1):OFFSET(U58,0,-1)),"Очікую"))))</f>
        <v>Очікую</v>
      </c>
      <c r="V58" s="23"/>
      <c r="W58" s="42"/>
    </row>
    <row r="59" spans="1:23" s="12" customFormat="1" ht="15" customHeight="1" x14ac:dyDescent="0.25">
      <c r="A59" s="43"/>
      <c r="B59" s="13"/>
      <c r="C59" s="50"/>
      <c r="D59" s="50">
        <v>50</v>
      </c>
      <c r="E59" s="51"/>
      <c r="F59" s="52"/>
      <c r="G59" s="52"/>
      <c r="H59" s="52"/>
      <c r="I59" s="52"/>
      <c r="J59" s="52"/>
      <c r="K59" s="52"/>
      <c r="L59" s="52"/>
      <c r="M59" s="52"/>
      <c r="N59" s="52"/>
      <c r="O59" s="52"/>
      <c r="P59" s="52"/>
      <c r="Q59" s="52"/>
      <c r="R59" s="52"/>
      <c r="S59" s="52"/>
      <c r="T59" s="52"/>
      <c r="U59" s="45" t="str">
        <f ca="1">IF(COUNTIF(OFFSET($E59,0,1):OFFSET(U59,0,-1),"=*")&gt;0,IF($C59="К","-"," - "),IF(COUNTIF(OFFSET($E59,0,1):OFFSET(U59,0,-1),"&lt;4")&gt;0,IF(C59="К","-"," - "),(IFERROR(AVERAGE(OFFSET($E59,0,1):OFFSET(U59,0,-1)),"Очікую"))))</f>
        <v>Очікую</v>
      </c>
      <c r="V59" s="23"/>
      <c r="W59" s="42"/>
    </row>
    <row r="60" spans="1:23" s="12" customFormat="1" ht="15" customHeight="1" x14ac:dyDescent="0.25">
      <c r="A60" s="43"/>
      <c r="B60" s="13"/>
      <c r="C60" s="50"/>
      <c r="D60" s="50">
        <v>51</v>
      </c>
      <c r="E60" s="51"/>
      <c r="F60" s="52"/>
      <c r="G60" s="52"/>
      <c r="H60" s="52"/>
      <c r="I60" s="52"/>
      <c r="J60" s="52"/>
      <c r="K60" s="52"/>
      <c r="L60" s="52"/>
      <c r="M60" s="52"/>
      <c r="N60" s="52"/>
      <c r="O60" s="52"/>
      <c r="P60" s="52"/>
      <c r="Q60" s="52"/>
      <c r="R60" s="52"/>
      <c r="S60" s="52"/>
      <c r="T60" s="52"/>
      <c r="U60" s="45" t="str">
        <f ca="1">IF(COUNTIF(OFFSET($E60,0,1):OFFSET(U60,0,-1),"=*")&gt;0,IF($C60="К","-"," - "),IF(COUNTIF(OFFSET($E60,0,1):OFFSET(U60,0,-1),"&lt;4")&gt;0,IF(C60="К","-"," - "),(IFERROR(AVERAGE(OFFSET($E60,0,1):OFFSET(U60,0,-1)),"Очікую"))))</f>
        <v>Очікую</v>
      </c>
      <c r="V60" s="23"/>
      <c r="W60" s="42"/>
    </row>
    <row r="61" spans="1:23" s="12" customFormat="1" ht="15" customHeight="1" x14ac:dyDescent="0.25">
      <c r="A61" s="43"/>
      <c r="B61" s="13"/>
      <c r="C61" s="50"/>
      <c r="D61" s="50">
        <v>52</v>
      </c>
      <c r="E61" s="51"/>
      <c r="F61" s="52"/>
      <c r="G61" s="52"/>
      <c r="H61" s="52"/>
      <c r="I61" s="52"/>
      <c r="J61" s="52"/>
      <c r="K61" s="52"/>
      <c r="L61" s="52"/>
      <c r="M61" s="52"/>
      <c r="N61" s="52"/>
      <c r="O61" s="52"/>
      <c r="P61" s="52"/>
      <c r="Q61" s="52"/>
      <c r="R61" s="52"/>
      <c r="S61" s="52"/>
      <c r="T61" s="52"/>
      <c r="U61" s="45" t="str">
        <f ca="1">IF(COUNTIF(OFFSET($E61,0,1):OFFSET(U61,0,-1),"=*")&gt;0,IF($C61="К","-"," - "),IF(COUNTIF(OFFSET($E61,0,1):OFFSET(U61,0,-1),"&lt;4")&gt;0,IF(C61="К","-"," - "),(IFERROR(AVERAGE(OFFSET($E61,0,1):OFFSET(U61,0,-1)),"Очікую"))))</f>
        <v>Очікую</v>
      </c>
      <c r="V61" s="23"/>
      <c r="W61" s="42"/>
    </row>
    <row r="62" spans="1:23" s="12" customFormat="1" ht="15" customHeight="1" x14ac:dyDescent="0.25">
      <c r="A62" s="43"/>
      <c r="B62" s="13"/>
      <c r="C62" s="50"/>
      <c r="D62" s="50">
        <v>53</v>
      </c>
      <c r="E62" s="51"/>
      <c r="F62" s="52"/>
      <c r="G62" s="52"/>
      <c r="H62" s="52"/>
      <c r="I62" s="52"/>
      <c r="J62" s="52"/>
      <c r="K62" s="52"/>
      <c r="L62" s="52"/>
      <c r="M62" s="52"/>
      <c r="N62" s="52"/>
      <c r="O62" s="52"/>
      <c r="P62" s="52"/>
      <c r="Q62" s="52"/>
      <c r="R62" s="52"/>
      <c r="S62" s="52"/>
      <c r="T62" s="52"/>
      <c r="U62" s="45" t="str">
        <f ca="1">IF(COUNTIF(OFFSET($E62,0,1):OFFSET(U62,0,-1),"=*")&gt;0,IF($C62="К","-"," - "),IF(COUNTIF(OFFSET($E62,0,1):OFFSET(U62,0,-1),"&lt;4")&gt;0,IF(C62="К","-"," - "),(IFERROR(AVERAGE(OFFSET($E62,0,1):OFFSET(U62,0,-1)),"Очікую"))))</f>
        <v>Очікую</v>
      </c>
      <c r="V62" s="23"/>
      <c r="W62" s="42"/>
    </row>
    <row r="63" spans="1:23" s="12" customFormat="1" ht="15" customHeight="1" x14ac:dyDescent="0.25">
      <c r="A63" s="43"/>
      <c r="B63" s="13"/>
      <c r="C63" s="50"/>
      <c r="D63" s="50">
        <v>54</v>
      </c>
      <c r="E63" s="51"/>
      <c r="F63" s="52"/>
      <c r="G63" s="52"/>
      <c r="H63" s="52"/>
      <c r="I63" s="52"/>
      <c r="J63" s="52"/>
      <c r="K63" s="52"/>
      <c r="L63" s="52"/>
      <c r="M63" s="52"/>
      <c r="N63" s="52"/>
      <c r="O63" s="52"/>
      <c r="P63" s="52"/>
      <c r="Q63" s="52"/>
      <c r="R63" s="52"/>
      <c r="S63" s="52"/>
      <c r="T63" s="52"/>
      <c r="U63" s="45" t="str">
        <f ca="1">IF(COUNTIF(OFFSET($E63,0,1):OFFSET(U63,0,-1),"=*")&gt;0,IF($C63="К","-"," - "),IF(COUNTIF(OFFSET($E63,0,1):OFFSET(U63,0,-1),"&lt;4")&gt;0,IF(C63="К","-"," - "),(IFERROR(AVERAGE(OFFSET($E63,0,1):OFFSET(U63,0,-1)),"Очікую"))))</f>
        <v>Очікую</v>
      </c>
      <c r="V63" s="23"/>
      <c r="W63" s="42"/>
    </row>
    <row r="64" spans="1:23" s="12" customFormat="1" ht="15" customHeight="1" x14ac:dyDescent="0.25">
      <c r="A64" s="43"/>
      <c r="B64" s="13"/>
      <c r="C64" s="50"/>
      <c r="D64" s="50">
        <v>55</v>
      </c>
      <c r="E64" s="51"/>
      <c r="F64" s="52"/>
      <c r="G64" s="52"/>
      <c r="H64" s="52"/>
      <c r="I64" s="52"/>
      <c r="J64" s="52"/>
      <c r="K64" s="52"/>
      <c r="L64" s="52"/>
      <c r="M64" s="52"/>
      <c r="N64" s="52"/>
      <c r="O64" s="52"/>
      <c r="P64" s="52"/>
      <c r="Q64" s="52"/>
      <c r="R64" s="52"/>
      <c r="S64" s="52"/>
      <c r="T64" s="52"/>
      <c r="U64" s="45" t="str">
        <f ca="1">IF(COUNTIF(OFFSET($E64,0,1):OFFSET(U64,0,-1),"=*")&gt;0,IF($C64="К","-"," - "),IF(COUNTIF(OFFSET($E64,0,1):OFFSET(U64,0,-1),"&lt;4")&gt;0,IF(C64="К","-"," - "),(IFERROR(AVERAGE(OFFSET($E64,0,1):OFFSET(U64,0,-1)),"Очікую"))))</f>
        <v>Очікую</v>
      </c>
      <c r="V64" s="23"/>
      <c r="W64" s="42"/>
    </row>
    <row r="65" spans="1:23" s="12" customFormat="1" ht="15" customHeight="1" x14ac:dyDescent="0.25">
      <c r="A65" s="43"/>
      <c r="B65" s="13"/>
      <c r="C65" s="50"/>
      <c r="D65" s="50">
        <v>56</v>
      </c>
      <c r="E65" s="51"/>
      <c r="F65" s="52"/>
      <c r="G65" s="52"/>
      <c r="H65" s="52"/>
      <c r="I65" s="52"/>
      <c r="J65" s="52"/>
      <c r="K65" s="52"/>
      <c r="L65" s="52"/>
      <c r="M65" s="52"/>
      <c r="N65" s="52"/>
      <c r="O65" s="52"/>
      <c r="P65" s="52"/>
      <c r="Q65" s="52"/>
      <c r="R65" s="52"/>
      <c r="S65" s="52"/>
      <c r="T65" s="52"/>
      <c r="U65" s="45" t="str">
        <f ca="1">IF(COUNTIF(OFFSET($E65,0,1):OFFSET(U65,0,-1),"=*")&gt;0,IF($C65="К","-"," - "),IF(COUNTIF(OFFSET($E65,0,1):OFFSET(U65,0,-1),"&lt;4")&gt;0,IF(C65="К","-"," - "),(IFERROR(AVERAGE(OFFSET($E65,0,1):OFFSET(U65,0,-1)),"Очікую"))))</f>
        <v>Очікую</v>
      </c>
      <c r="V65" s="23"/>
      <c r="W65" s="42"/>
    </row>
    <row r="66" spans="1:23" s="12" customFormat="1" ht="15" customHeight="1" x14ac:dyDescent="0.25">
      <c r="A66" s="43"/>
      <c r="B66" s="13"/>
      <c r="C66" s="50"/>
      <c r="D66" s="50">
        <v>57</v>
      </c>
      <c r="E66" s="51"/>
      <c r="F66" s="52"/>
      <c r="G66" s="52"/>
      <c r="H66" s="52"/>
      <c r="I66" s="52"/>
      <c r="J66" s="52"/>
      <c r="K66" s="52"/>
      <c r="L66" s="52"/>
      <c r="M66" s="52"/>
      <c r="N66" s="52"/>
      <c r="O66" s="52"/>
      <c r="P66" s="52"/>
      <c r="Q66" s="52"/>
      <c r="R66" s="52"/>
      <c r="S66" s="52"/>
      <c r="T66" s="52"/>
      <c r="U66" s="45" t="str">
        <f ca="1">IF(COUNTIF(OFFSET($E66,0,1):OFFSET(U66,0,-1),"=*")&gt;0,IF($C66="К","-"," - "),IF(COUNTIF(OFFSET($E66,0,1):OFFSET(U66,0,-1),"&lt;4")&gt;0,IF(C66="К","-"," - "),(IFERROR(AVERAGE(OFFSET($E66,0,1):OFFSET(U66,0,-1)),"Очікую"))))</f>
        <v>Очікую</v>
      </c>
      <c r="V66" s="23"/>
      <c r="W66" s="42"/>
    </row>
    <row r="67" spans="1:23" s="12" customFormat="1" ht="15" customHeight="1" x14ac:dyDescent="0.25">
      <c r="A67" s="43"/>
      <c r="B67" s="13"/>
      <c r="C67" s="50"/>
      <c r="D67" s="50">
        <v>58</v>
      </c>
      <c r="E67" s="51"/>
      <c r="F67" s="52"/>
      <c r="G67" s="52"/>
      <c r="H67" s="52"/>
      <c r="I67" s="52"/>
      <c r="J67" s="52"/>
      <c r="K67" s="52"/>
      <c r="L67" s="52"/>
      <c r="M67" s="52"/>
      <c r="N67" s="52"/>
      <c r="O67" s="52"/>
      <c r="P67" s="52"/>
      <c r="Q67" s="52"/>
      <c r="R67" s="52"/>
      <c r="S67" s="52"/>
      <c r="T67" s="52"/>
      <c r="U67" s="45" t="str">
        <f ca="1">IF(COUNTIF(OFFSET($E67,0,1):OFFSET(U67,0,-1),"=*")&gt;0,IF($C67="К","-"," - "),IF(COUNTIF(OFFSET($E67,0,1):OFFSET(U67,0,-1),"&lt;4")&gt;0,IF(C67="К","-"," - "),(IFERROR(AVERAGE(OFFSET($E67,0,1):OFFSET(U67,0,-1)),"Очікую"))))</f>
        <v>Очікую</v>
      </c>
      <c r="V67" s="23"/>
      <c r="W67" s="42"/>
    </row>
    <row r="68" spans="1:23" s="12" customFormat="1" ht="15" customHeight="1" x14ac:dyDescent="0.25">
      <c r="A68" s="43"/>
      <c r="B68" s="13"/>
      <c r="C68" s="50"/>
      <c r="D68" s="50">
        <v>59</v>
      </c>
      <c r="E68" s="51"/>
      <c r="F68" s="52"/>
      <c r="G68" s="52"/>
      <c r="H68" s="52"/>
      <c r="I68" s="52"/>
      <c r="J68" s="52"/>
      <c r="K68" s="52"/>
      <c r="L68" s="52"/>
      <c r="M68" s="52"/>
      <c r="N68" s="52"/>
      <c r="O68" s="52"/>
      <c r="P68" s="52"/>
      <c r="Q68" s="52"/>
      <c r="R68" s="52"/>
      <c r="S68" s="52"/>
      <c r="T68" s="52"/>
      <c r="U68" s="45" t="str">
        <f ca="1">IF(COUNTIF(OFFSET($E68,0,1):OFFSET(U68,0,-1),"=*")&gt;0,IF($C68="К","-"," - "),IF(COUNTIF(OFFSET($E68,0,1):OFFSET(U68,0,-1),"&lt;4")&gt;0,IF(C68="К","-"," - "),(IFERROR(AVERAGE(OFFSET($E68,0,1):OFFSET(U68,0,-1)),"Очікую"))))</f>
        <v>Очікую</v>
      </c>
      <c r="V68" s="23"/>
      <c r="W68" s="42"/>
    </row>
    <row r="69" spans="1:23" s="12" customFormat="1" ht="15" customHeight="1" x14ac:dyDescent="0.25">
      <c r="A69" s="43"/>
      <c r="B69" s="13"/>
      <c r="C69" s="50"/>
      <c r="D69" s="50">
        <v>60</v>
      </c>
      <c r="E69" s="51"/>
      <c r="F69" s="52"/>
      <c r="G69" s="52"/>
      <c r="H69" s="52"/>
      <c r="I69" s="52"/>
      <c r="J69" s="52"/>
      <c r="K69" s="52"/>
      <c r="L69" s="52"/>
      <c r="M69" s="52"/>
      <c r="N69" s="52"/>
      <c r="O69" s="52"/>
      <c r="P69" s="52"/>
      <c r="Q69" s="52"/>
      <c r="R69" s="52"/>
      <c r="S69" s="52"/>
      <c r="T69" s="52"/>
      <c r="U69" s="45" t="str">
        <f ca="1">IF(COUNTIF(OFFSET($E69,0,1):OFFSET(U69,0,-1),"=*")&gt;0,IF($C69="К","-"," - "),IF(COUNTIF(OFFSET($E69,0,1):OFFSET(U69,0,-1),"&lt;4")&gt;0,IF(C69="К","-"," - "),(IFERROR(AVERAGE(OFFSET($E69,0,1):OFFSET(U69,0,-1)),"Очікую"))))</f>
        <v>Очікую</v>
      </c>
      <c r="V69" s="23"/>
      <c r="W69" s="42"/>
    </row>
    <row r="70" spans="1:23" s="12" customFormat="1" ht="15" customHeight="1" x14ac:dyDescent="0.25">
      <c r="A70" s="43"/>
      <c r="B70" s="13"/>
      <c r="C70" s="50"/>
      <c r="D70" s="50">
        <v>61</v>
      </c>
      <c r="E70" s="51"/>
      <c r="F70" s="52"/>
      <c r="G70" s="52"/>
      <c r="H70" s="52"/>
      <c r="I70" s="52"/>
      <c r="J70" s="52"/>
      <c r="K70" s="52"/>
      <c r="L70" s="52"/>
      <c r="M70" s="52"/>
      <c r="N70" s="52"/>
      <c r="O70" s="52"/>
      <c r="P70" s="52"/>
      <c r="Q70" s="52"/>
      <c r="R70" s="52"/>
      <c r="S70" s="52"/>
      <c r="T70" s="52"/>
      <c r="U70" s="45" t="str">
        <f ca="1">IF(COUNTIF(OFFSET($E70,0,1):OFFSET(U70,0,-1),"=*")&gt;0,IF($C70="К","-"," - "),IF(COUNTIF(OFFSET($E70,0,1):OFFSET(U70,0,-1),"&lt;4")&gt;0,IF(C70="К","-"," - "),(IFERROR(AVERAGE(OFFSET($E70,0,1):OFFSET(U70,0,-1)),"Очікую"))))</f>
        <v>Очікую</v>
      </c>
      <c r="V70" s="23"/>
      <c r="W70" s="42"/>
    </row>
    <row r="71" spans="1:23" s="12" customFormat="1" ht="15" customHeight="1" x14ac:dyDescent="0.25">
      <c r="A71" s="43"/>
      <c r="B71" s="13"/>
      <c r="C71" s="50"/>
      <c r="D71" s="50">
        <v>62</v>
      </c>
      <c r="E71" s="51"/>
      <c r="F71" s="52"/>
      <c r="G71" s="52"/>
      <c r="H71" s="52"/>
      <c r="I71" s="52"/>
      <c r="J71" s="52"/>
      <c r="K71" s="52"/>
      <c r="L71" s="52"/>
      <c r="M71" s="52"/>
      <c r="N71" s="52"/>
      <c r="O71" s="52"/>
      <c r="P71" s="52"/>
      <c r="Q71" s="52"/>
      <c r="R71" s="52"/>
      <c r="S71" s="52"/>
      <c r="T71" s="52"/>
      <c r="U71" s="45" t="str">
        <f ca="1">IF(COUNTIF(OFFSET($E71,0,1):OFFSET(U71,0,-1),"=*")&gt;0,IF($C71="К","-"," - "),IF(COUNTIF(OFFSET($E71,0,1):OFFSET(U71,0,-1),"&lt;4")&gt;0,IF(C71="К","-"," - "),(IFERROR(AVERAGE(OFFSET($E71,0,1):OFFSET(U71,0,-1)),"Очікую"))))</f>
        <v>Очікую</v>
      </c>
      <c r="V71" s="23"/>
      <c r="W71" s="42"/>
    </row>
    <row r="72" spans="1:23" s="12" customFormat="1" ht="15" customHeight="1" x14ac:dyDescent="0.25">
      <c r="A72" s="43"/>
      <c r="B72" s="13"/>
      <c r="C72" s="50"/>
      <c r="D72" s="50">
        <v>63</v>
      </c>
      <c r="E72" s="51"/>
      <c r="F72" s="52"/>
      <c r="G72" s="52"/>
      <c r="H72" s="52"/>
      <c r="I72" s="52"/>
      <c r="J72" s="52"/>
      <c r="K72" s="52"/>
      <c r="L72" s="52"/>
      <c r="M72" s="52"/>
      <c r="N72" s="52"/>
      <c r="O72" s="52"/>
      <c r="P72" s="52"/>
      <c r="Q72" s="52"/>
      <c r="R72" s="52"/>
      <c r="S72" s="52"/>
      <c r="T72" s="52"/>
      <c r="U72" s="45" t="str">
        <f ca="1">IF(COUNTIF(OFFSET($E72,0,1):OFFSET(U72,0,-1),"=*")&gt;0,IF($C72="К","-"," - "),IF(COUNTIF(OFFSET($E72,0,1):OFFSET(U72,0,-1),"&lt;4")&gt;0,IF(C72="К","-"," - "),(IFERROR(AVERAGE(OFFSET($E72,0,1):OFFSET(U72,0,-1)),"Очікую"))))</f>
        <v>Очікую</v>
      </c>
      <c r="V72" s="23"/>
      <c r="W72" s="42"/>
    </row>
    <row r="73" spans="1:23" s="12" customFormat="1" ht="15" customHeight="1" x14ac:dyDescent="0.25">
      <c r="A73" s="43"/>
      <c r="B73" s="13"/>
      <c r="C73" s="50"/>
      <c r="D73" s="50">
        <v>64</v>
      </c>
      <c r="E73" s="51"/>
      <c r="F73" s="52"/>
      <c r="G73" s="52"/>
      <c r="H73" s="52"/>
      <c r="I73" s="52"/>
      <c r="J73" s="52"/>
      <c r="K73" s="52"/>
      <c r="L73" s="52"/>
      <c r="M73" s="52"/>
      <c r="N73" s="52"/>
      <c r="O73" s="52"/>
      <c r="P73" s="52"/>
      <c r="Q73" s="52"/>
      <c r="R73" s="52"/>
      <c r="S73" s="52"/>
      <c r="T73" s="52"/>
      <c r="U73" s="45" t="str">
        <f ca="1">IF(COUNTIF(OFFSET($E73,0,1):OFFSET(U73,0,-1),"=*")&gt;0,IF($C73="К","-"," - "),IF(COUNTIF(OFFSET($E73,0,1):OFFSET(U73,0,-1),"&lt;4")&gt;0,IF(C73="К","-"," - "),(IFERROR(AVERAGE(OFFSET($E73,0,1):OFFSET(U73,0,-1)),"Очікую"))))</f>
        <v>Очікую</v>
      </c>
      <c r="V73" s="23"/>
      <c r="W73" s="42"/>
    </row>
    <row r="74" spans="1:23" s="12" customFormat="1" ht="15" customHeight="1" x14ac:dyDescent="0.25">
      <c r="A74" s="43"/>
      <c r="B74" s="13"/>
      <c r="C74" s="50"/>
      <c r="D74" s="50">
        <v>65</v>
      </c>
      <c r="E74" s="51"/>
      <c r="F74" s="52"/>
      <c r="G74" s="52"/>
      <c r="H74" s="52"/>
      <c r="I74" s="52"/>
      <c r="J74" s="52"/>
      <c r="K74" s="52"/>
      <c r="L74" s="52"/>
      <c r="M74" s="52"/>
      <c r="N74" s="52"/>
      <c r="O74" s="52"/>
      <c r="P74" s="52"/>
      <c r="Q74" s="52"/>
      <c r="R74" s="52"/>
      <c r="S74" s="52"/>
      <c r="T74" s="52"/>
      <c r="U74" s="45" t="str">
        <f ca="1">IF(COUNTIF(OFFSET($E74,0,1):OFFSET(U74,0,-1),"=*")&gt;0,IF($C74="К","-"," - "),IF(COUNTIF(OFFSET($E74,0,1):OFFSET(U74,0,-1),"&lt;4")&gt;0,IF(C74="К","-"," - "),(IFERROR(AVERAGE(OFFSET($E74,0,1):OFFSET(U74,0,-1)),"Очікую"))))</f>
        <v>Очікую</v>
      </c>
      <c r="V74" s="23"/>
      <c r="W74" s="42"/>
    </row>
    <row r="75" spans="1:23" s="12" customFormat="1" ht="15" customHeight="1" x14ac:dyDescent="0.25">
      <c r="A75" s="43"/>
      <c r="B75" s="13"/>
      <c r="C75" s="50"/>
      <c r="D75" s="50">
        <v>66</v>
      </c>
      <c r="E75" s="51"/>
      <c r="F75" s="52"/>
      <c r="G75" s="52"/>
      <c r="H75" s="52"/>
      <c r="I75" s="52"/>
      <c r="J75" s="52"/>
      <c r="K75" s="52"/>
      <c r="L75" s="52"/>
      <c r="M75" s="52"/>
      <c r="N75" s="52"/>
      <c r="O75" s="52"/>
      <c r="P75" s="52"/>
      <c r="Q75" s="52"/>
      <c r="R75" s="52"/>
      <c r="S75" s="52"/>
      <c r="T75" s="52"/>
      <c r="U75" s="45" t="str">
        <f ca="1">IF(COUNTIF(OFFSET($E75,0,1):OFFSET(U75,0,-1),"=*")&gt;0,IF($C75="К","-"," - "),IF(COUNTIF(OFFSET($E75,0,1):OFFSET(U75,0,-1),"&lt;4")&gt;0,IF(C75="К","-"," - "),(IFERROR(AVERAGE(OFFSET($E75,0,1):OFFSET(U75,0,-1)),"Очікую"))))</f>
        <v>Очікую</v>
      </c>
      <c r="V75" s="23"/>
      <c r="W75" s="42"/>
    </row>
    <row r="76" spans="1:23" s="12" customFormat="1" ht="15" customHeight="1" x14ac:dyDescent="0.25">
      <c r="A76" s="43"/>
      <c r="B76" s="13"/>
      <c r="C76" s="50"/>
      <c r="D76" s="50">
        <v>67</v>
      </c>
      <c r="E76" s="51"/>
      <c r="F76" s="52"/>
      <c r="G76" s="52"/>
      <c r="H76" s="52"/>
      <c r="I76" s="52"/>
      <c r="J76" s="52"/>
      <c r="K76" s="52"/>
      <c r="L76" s="52"/>
      <c r="M76" s="52"/>
      <c r="N76" s="52"/>
      <c r="O76" s="52"/>
      <c r="P76" s="52"/>
      <c r="Q76" s="52"/>
      <c r="R76" s="52"/>
      <c r="S76" s="52"/>
      <c r="T76" s="52"/>
      <c r="U76" s="45" t="str">
        <f ca="1">IF(COUNTIF(OFFSET($E76,0,1):OFFSET(U76,0,-1),"=*")&gt;0,IF($C76="К","-"," - "),IF(COUNTIF(OFFSET($E76,0,1):OFFSET(U76,0,-1),"&lt;4")&gt;0,IF(C76="К","-"," - "),(IFERROR(AVERAGE(OFFSET($E76,0,1):OFFSET(U76,0,-1)),"Очікую"))))</f>
        <v>Очікую</v>
      </c>
      <c r="V76" s="23"/>
      <c r="W76" s="42"/>
    </row>
    <row r="77" spans="1:23" s="12" customFormat="1" ht="15" customHeight="1" x14ac:dyDescent="0.25">
      <c r="A77" s="43"/>
      <c r="B77" s="13"/>
      <c r="C77" s="50"/>
      <c r="D77" s="50">
        <v>68</v>
      </c>
      <c r="E77" s="51"/>
      <c r="F77" s="52"/>
      <c r="G77" s="52"/>
      <c r="H77" s="52"/>
      <c r="I77" s="52"/>
      <c r="J77" s="52"/>
      <c r="K77" s="52"/>
      <c r="L77" s="52"/>
      <c r="M77" s="52"/>
      <c r="N77" s="52"/>
      <c r="O77" s="52"/>
      <c r="P77" s="52"/>
      <c r="Q77" s="52"/>
      <c r="R77" s="52"/>
      <c r="S77" s="52"/>
      <c r="T77" s="52"/>
      <c r="U77" s="45" t="str">
        <f ca="1">IF(COUNTIF(OFFSET($E77,0,1):OFFSET(U77,0,-1),"=*")&gt;0,IF($C77="К","-"," - "),IF(COUNTIF(OFFSET($E77,0,1):OFFSET(U77,0,-1),"&lt;4")&gt;0,IF(C77="К","-"," - "),(IFERROR(AVERAGE(OFFSET($E77,0,1):OFFSET(U77,0,-1)),"Очікую"))))</f>
        <v>Очікую</v>
      </c>
      <c r="V77" s="23"/>
      <c r="W77" s="42"/>
    </row>
    <row r="78" spans="1:23" s="12" customFormat="1" ht="15" customHeight="1" x14ac:dyDescent="0.25">
      <c r="A78" s="43"/>
      <c r="B78" s="13"/>
      <c r="C78" s="50"/>
      <c r="D78" s="50">
        <v>69</v>
      </c>
      <c r="E78" s="51"/>
      <c r="F78" s="52"/>
      <c r="G78" s="52"/>
      <c r="H78" s="52"/>
      <c r="I78" s="52"/>
      <c r="J78" s="52"/>
      <c r="K78" s="52"/>
      <c r="L78" s="52"/>
      <c r="M78" s="52"/>
      <c r="N78" s="52"/>
      <c r="O78" s="52"/>
      <c r="P78" s="52"/>
      <c r="Q78" s="52"/>
      <c r="R78" s="52"/>
      <c r="S78" s="52"/>
      <c r="T78" s="52"/>
      <c r="U78" s="45" t="str">
        <f ca="1">IF(COUNTIF(OFFSET($E78,0,1):OFFSET(U78,0,-1),"=*")&gt;0,IF($C78="К","-"," - "),IF(COUNTIF(OFFSET($E78,0,1):OFFSET(U78,0,-1),"&lt;4")&gt;0,IF(C78="К","-"," - "),(IFERROR(AVERAGE(OFFSET($E78,0,1):OFFSET(U78,0,-1)),"Очікую"))))</f>
        <v>Очікую</v>
      </c>
      <c r="V78" s="23"/>
      <c r="W78" s="42"/>
    </row>
    <row r="79" spans="1:23" s="12" customFormat="1" ht="15" customHeight="1" x14ac:dyDescent="0.25">
      <c r="A79" s="43"/>
      <c r="B79" s="13"/>
      <c r="C79" s="50"/>
      <c r="D79" s="50">
        <v>70</v>
      </c>
      <c r="E79" s="51"/>
      <c r="F79" s="52"/>
      <c r="G79" s="52"/>
      <c r="H79" s="52"/>
      <c r="I79" s="52"/>
      <c r="J79" s="52"/>
      <c r="K79" s="52"/>
      <c r="L79" s="52"/>
      <c r="M79" s="52"/>
      <c r="N79" s="52"/>
      <c r="O79" s="52"/>
      <c r="P79" s="52"/>
      <c r="Q79" s="52"/>
      <c r="R79" s="52"/>
      <c r="S79" s="52"/>
      <c r="T79" s="52"/>
      <c r="U79" s="45" t="str">
        <f ca="1">IF(COUNTIF(OFFSET($E79,0,1):OFFSET(U79,0,-1),"=*")&gt;0,IF($C79="К","-"," - "),IF(COUNTIF(OFFSET($E79,0,1):OFFSET(U79,0,-1),"&lt;4")&gt;0,IF(C79="К","-"," - "),(IFERROR(AVERAGE(OFFSET($E79,0,1):OFFSET(U79,0,-1)),"Очікую"))))</f>
        <v>Очікую</v>
      </c>
      <c r="V79" s="23"/>
      <c r="W79" s="42"/>
    </row>
    <row r="80" spans="1:23" s="12" customFormat="1" ht="15" customHeight="1" x14ac:dyDescent="0.25">
      <c r="A80" s="43"/>
      <c r="B80" s="13"/>
      <c r="C80" s="50"/>
      <c r="D80" s="50">
        <v>71</v>
      </c>
      <c r="E80" s="51"/>
      <c r="F80" s="52"/>
      <c r="G80" s="52"/>
      <c r="H80" s="52"/>
      <c r="I80" s="52"/>
      <c r="J80" s="52"/>
      <c r="K80" s="52"/>
      <c r="L80" s="52"/>
      <c r="M80" s="52"/>
      <c r="N80" s="52"/>
      <c r="O80" s="52"/>
      <c r="P80" s="52"/>
      <c r="Q80" s="52"/>
      <c r="R80" s="52"/>
      <c r="S80" s="52"/>
      <c r="T80" s="52"/>
      <c r="U80" s="45" t="str">
        <f ca="1">IF(COUNTIF(OFFSET($E80,0,1):OFFSET(U80,0,-1),"=*")&gt;0,IF($C80="К","-"," - "),IF(COUNTIF(OFFSET($E80,0,1):OFFSET(U80,0,-1),"&lt;4")&gt;0,IF(C80="К","-"," - "),(IFERROR(AVERAGE(OFFSET($E80,0,1):OFFSET(U80,0,-1)),"Очікую"))))</f>
        <v>Очікую</v>
      </c>
      <c r="V80" s="23"/>
      <c r="W80" s="42"/>
    </row>
    <row r="81" spans="1:23" s="12" customFormat="1" ht="15" customHeight="1" x14ac:dyDescent="0.25">
      <c r="A81" s="43"/>
      <c r="B81" s="13"/>
      <c r="C81" s="50"/>
      <c r="D81" s="50">
        <v>72</v>
      </c>
      <c r="E81" s="51"/>
      <c r="F81" s="52"/>
      <c r="G81" s="52"/>
      <c r="H81" s="52"/>
      <c r="I81" s="52"/>
      <c r="J81" s="52"/>
      <c r="K81" s="52"/>
      <c r="L81" s="52"/>
      <c r="M81" s="52"/>
      <c r="N81" s="52"/>
      <c r="O81" s="52"/>
      <c r="P81" s="52"/>
      <c r="Q81" s="52"/>
      <c r="R81" s="52"/>
      <c r="S81" s="52"/>
      <c r="T81" s="52"/>
      <c r="U81" s="45" t="str">
        <f ca="1">IF(COUNTIF(OFFSET($E81,0,1):OFFSET(U81,0,-1),"=*")&gt;0,IF($C81="К","-"," - "),IF(COUNTIF(OFFSET($E81,0,1):OFFSET(U81,0,-1),"&lt;4")&gt;0,IF(C81="К","-"," - "),(IFERROR(AVERAGE(OFFSET($E81,0,1):OFFSET(U81,0,-1)),"Очікую"))))</f>
        <v>Очікую</v>
      </c>
      <c r="V81" s="23"/>
      <c r="W81" s="42"/>
    </row>
    <row r="82" spans="1:23" s="12" customFormat="1" ht="15" customHeight="1" x14ac:dyDescent="0.25">
      <c r="A82" s="43"/>
      <c r="B82" s="13"/>
      <c r="C82" s="50"/>
      <c r="D82" s="50">
        <v>73</v>
      </c>
      <c r="E82" s="51"/>
      <c r="F82" s="52"/>
      <c r="G82" s="52"/>
      <c r="H82" s="52"/>
      <c r="I82" s="52"/>
      <c r="J82" s="52"/>
      <c r="K82" s="52"/>
      <c r="L82" s="52"/>
      <c r="M82" s="52"/>
      <c r="N82" s="52"/>
      <c r="O82" s="52"/>
      <c r="P82" s="52"/>
      <c r="Q82" s="52"/>
      <c r="R82" s="52"/>
      <c r="S82" s="52"/>
      <c r="T82" s="52"/>
      <c r="U82" s="45" t="str">
        <f ca="1">IF(COUNTIF(OFFSET($E82,0,1):OFFSET(U82,0,-1),"=*")&gt;0,IF($C82="К","-"," - "),IF(COUNTIF(OFFSET($E82,0,1):OFFSET(U82,0,-1),"&lt;4")&gt;0,IF(C82="К","-"," - "),(IFERROR(AVERAGE(OFFSET($E82,0,1):OFFSET(U82,0,-1)),"Очікую"))))</f>
        <v>Очікую</v>
      </c>
      <c r="V82" s="23"/>
      <c r="W82" s="42"/>
    </row>
    <row r="83" spans="1:23" s="12" customFormat="1" ht="15" customHeight="1" x14ac:dyDescent="0.25">
      <c r="A83" s="43"/>
      <c r="B83" s="13"/>
      <c r="C83" s="50"/>
      <c r="D83" s="50">
        <v>74</v>
      </c>
      <c r="E83" s="51"/>
      <c r="F83" s="52"/>
      <c r="G83" s="52"/>
      <c r="H83" s="52"/>
      <c r="I83" s="52"/>
      <c r="J83" s="52"/>
      <c r="K83" s="52"/>
      <c r="L83" s="52"/>
      <c r="M83" s="52"/>
      <c r="N83" s="52"/>
      <c r="O83" s="52"/>
      <c r="P83" s="52"/>
      <c r="Q83" s="52"/>
      <c r="R83" s="52"/>
      <c r="S83" s="52"/>
      <c r="T83" s="52"/>
      <c r="U83" s="45" t="str">
        <f ca="1">IF(COUNTIF(OFFSET($E83,0,1):OFFSET(U83,0,-1),"=*")&gt;0,IF($C83="К","-"," - "),IF(COUNTIF(OFFSET($E83,0,1):OFFSET(U83,0,-1),"&lt;4")&gt;0,IF(C83="К","-"," - "),(IFERROR(AVERAGE(OFFSET($E83,0,1):OFFSET(U83,0,-1)),"Очікую"))))</f>
        <v>Очікую</v>
      </c>
      <c r="V83" s="23"/>
      <c r="W83" s="42"/>
    </row>
    <row r="84" spans="1:23" s="12" customFormat="1" ht="15" customHeight="1" x14ac:dyDescent="0.25">
      <c r="A84" s="43"/>
      <c r="B84" s="13"/>
      <c r="C84" s="50"/>
      <c r="D84" s="50">
        <v>75</v>
      </c>
      <c r="E84" s="51"/>
      <c r="F84" s="52"/>
      <c r="G84" s="52"/>
      <c r="H84" s="52"/>
      <c r="I84" s="52"/>
      <c r="J84" s="52"/>
      <c r="K84" s="52"/>
      <c r="L84" s="52"/>
      <c r="M84" s="52"/>
      <c r="N84" s="52"/>
      <c r="O84" s="52"/>
      <c r="P84" s="52"/>
      <c r="Q84" s="52"/>
      <c r="R84" s="52"/>
      <c r="S84" s="52"/>
      <c r="T84" s="52"/>
      <c r="U84" s="45" t="str">
        <f ca="1">IF(COUNTIF(OFFSET($E84,0,1):OFFSET(U84,0,-1),"=*")&gt;0,IF($C84="К","-"," - "),IF(COUNTIF(OFFSET($E84,0,1):OFFSET(U84,0,-1),"&lt;4")&gt;0,IF(C84="К","-"," - "),(IFERROR(AVERAGE(OFFSET($E84,0,1):OFFSET(U84,0,-1)),"Очікую"))))</f>
        <v>Очікую</v>
      </c>
      <c r="V84" s="23"/>
      <c r="W84" s="42"/>
    </row>
    <row r="85" spans="1:23" s="12" customFormat="1" ht="15" customHeight="1" x14ac:dyDescent="0.25">
      <c r="A85" s="43"/>
      <c r="B85" s="13"/>
      <c r="C85" s="50"/>
      <c r="D85" s="50">
        <v>76</v>
      </c>
      <c r="E85" s="51"/>
      <c r="F85" s="52"/>
      <c r="G85" s="52"/>
      <c r="H85" s="52"/>
      <c r="I85" s="52"/>
      <c r="J85" s="52"/>
      <c r="K85" s="52"/>
      <c r="L85" s="52"/>
      <c r="M85" s="52"/>
      <c r="N85" s="52"/>
      <c r="O85" s="52"/>
      <c r="P85" s="52"/>
      <c r="Q85" s="52"/>
      <c r="R85" s="52"/>
      <c r="S85" s="52"/>
      <c r="T85" s="52"/>
      <c r="U85" s="45" t="str">
        <f ca="1">IF(COUNTIF(OFFSET($E85,0,1):OFFSET(U85,0,-1),"=*")&gt;0,IF($C85="К","-"," - "),IF(COUNTIF(OFFSET($E85,0,1):OFFSET(U85,0,-1),"&lt;4")&gt;0,IF(C85="К","-"," - "),(IFERROR(AVERAGE(OFFSET($E85,0,1):OFFSET(U85,0,-1)),"Очікую"))))</f>
        <v>Очікую</v>
      </c>
      <c r="V85" s="23"/>
      <c r="W85" s="42"/>
    </row>
    <row r="86" spans="1:23" s="12" customFormat="1" ht="15" customHeight="1" x14ac:dyDescent="0.25">
      <c r="A86" s="43"/>
      <c r="B86" s="13"/>
      <c r="C86" s="50"/>
      <c r="D86" s="50">
        <v>77</v>
      </c>
      <c r="E86" s="51"/>
      <c r="F86" s="52"/>
      <c r="G86" s="52"/>
      <c r="H86" s="52"/>
      <c r="I86" s="52"/>
      <c r="J86" s="52"/>
      <c r="K86" s="52"/>
      <c r="L86" s="52"/>
      <c r="M86" s="52"/>
      <c r="N86" s="52"/>
      <c r="O86" s="52"/>
      <c r="P86" s="52"/>
      <c r="Q86" s="52"/>
      <c r="R86" s="52"/>
      <c r="S86" s="52"/>
      <c r="T86" s="52"/>
      <c r="U86" s="45" t="str">
        <f ca="1">IF(COUNTIF(OFFSET($E86,0,1):OFFSET(U86,0,-1),"=*")&gt;0,IF($C86="К","-"," - "),IF(COUNTIF(OFFSET($E86,0,1):OFFSET(U86,0,-1),"&lt;4")&gt;0,IF(C86="К","-"," - "),(IFERROR(AVERAGE(OFFSET($E86,0,1):OFFSET(U86,0,-1)),"Очікую"))))</f>
        <v>Очікую</v>
      </c>
      <c r="V86" s="23"/>
      <c r="W86" s="42"/>
    </row>
    <row r="87" spans="1:23" s="12" customFormat="1" ht="15" customHeight="1" x14ac:dyDescent="0.25">
      <c r="A87" s="43"/>
      <c r="B87" s="13"/>
      <c r="C87" s="50"/>
      <c r="D87" s="50">
        <v>78</v>
      </c>
      <c r="E87" s="51"/>
      <c r="F87" s="52"/>
      <c r="G87" s="52"/>
      <c r="H87" s="52"/>
      <c r="I87" s="52"/>
      <c r="J87" s="52"/>
      <c r="K87" s="52"/>
      <c r="L87" s="52"/>
      <c r="M87" s="52"/>
      <c r="N87" s="52"/>
      <c r="O87" s="52"/>
      <c r="P87" s="52"/>
      <c r="Q87" s="52"/>
      <c r="R87" s="52"/>
      <c r="S87" s="52"/>
      <c r="T87" s="52"/>
      <c r="U87" s="45" t="str">
        <f ca="1">IF(COUNTIF(OFFSET($E87,0,1):OFFSET(U87,0,-1),"=*")&gt;0,IF($C87="К","-"," - "),IF(COUNTIF(OFFSET($E87,0,1):OFFSET(U87,0,-1),"&lt;4")&gt;0,IF(C87="К","-"," - "),(IFERROR(AVERAGE(OFFSET($E87,0,1):OFFSET(U87,0,-1)),"Очікую"))))</f>
        <v>Очікую</v>
      </c>
      <c r="V87" s="23"/>
      <c r="W87" s="42"/>
    </row>
    <row r="88" spans="1:23" s="12" customFormat="1" ht="15" customHeight="1" x14ac:dyDescent="0.25">
      <c r="A88" s="43"/>
      <c r="B88" s="13"/>
      <c r="C88" s="50"/>
      <c r="D88" s="50">
        <v>79</v>
      </c>
      <c r="E88" s="51"/>
      <c r="F88" s="52"/>
      <c r="G88" s="52"/>
      <c r="H88" s="52"/>
      <c r="I88" s="52"/>
      <c r="J88" s="52"/>
      <c r="K88" s="52"/>
      <c r="L88" s="52"/>
      <c r="M88" s="52"/>
      <c r="N88" s="52"/>
      <c r="O88" s="52"/>
      <c r="P88" s="52"/>
      <c r="Q88" s="52"/>
      <c r="R88" s="52"/>
      <c r="S88" s="52"/>
      <c r="T88" s="52"/>
      <c r="U88" s="45" t="str">
        <f ca="1">IF(COUNTIF(OFFSET($E88,0,1):OFFSET(U88,0,-1),"=*")&gt;0,IF($C88="К","-"," - "),IF(COUNTIF(OFFSET($E88,0,1):OFFSET(U88,0,-1),"&lt;4")&gt;0,IF(C88="К","-"," - "),(IFERROR(AVERAGE(OFFSET($E88,0,1):OFFSET(U88,0,-1)),"Очікую"))))</f>
        <v>Очікую</v>
      </c>
      <c r="V88" s="23"/>
      <c r="W88" s="42"/>
    </row>
    <row r="89" spans="1:23" s="12" customFormat="1" ht="15" customHeight="1" x14ac:dyDescent="0.25">
      <c r="A89" s="43"/>
      <c r="B89" s="13"/>
      <c r="C89" s="50"/>
      <c r="D89" s="50">
        <v>80</v>
      </c>
      <c r="E89" s="51"/>
      <c r="F89" s="52"/>
      <c r="G89" s="52"/>
      <c r="H89" s="52"/>
      <c r="I89" s="52"/>
      <c r="J89" s="52"/>
      <c r="K89" s="52"/>
      <c r="L89" s="52"/>
      <c r="M89" s="52"/>
      <c r="N89" s="52"/>
      <c r="O89" s="52"/>
      <c r="P89" s="52"/>
      <c r="Q89" s="52"/>
      <c r="R89" s="52"/>
      <c r="S89" s="52"/>
      <c r="T89" s="52"/>
      <c r="U89" s="45" t="str">
        <f ca="1">IF(COUNTIF(OFFSET($E89,0,1):OFFSET(U89,0,-1),"=*")&gt;0,IF($C89="К","-"," - "),IF(COUNTIF(OFFSET($E89,0,1):OFFSET(U89,0,-1),"&lt;4")&gt;0,IF(C89="К","-"," - "),(IFERROR(AVERAGE(OFFSET($E89,0,1):OFFSET(U89,0,-1)),"Очікую"))))</f>
        <v>Очікую</v>
      </c>
      <c r="V89" s="23"/>
      <c r="W89" s="42"/>
    </row>
    <row r="90" spans="1:23" s="12" customFormat="1" ht="15" customHeight="1" x14ac:dyDescent="0.25">
      <c r="A90" s="43"/>
      <c r="B90" s="13"/>
      <c r="C90" s="50"/>
      <c r="D90" s="50">
        <v>81</v>
      </c>
      <c r="E90" s="51"/>
      <c r="F90" s="52"/>
      <c r="G90" s="52"/>
      <c r="H90" s="52"/>
      <c r="I90" s="52"/>
      <c r="J90" s="52"/>
      <c r="K90" s="52"/>
      <c r="L90" s="52"/>
      <c r="M90" s="52"/>
      <c r="N90" s="52"/>
      <c r="O90" s="52"/>
      <c r="P90" s="52"/>
      <c r="Q90" s="52"/>
      <c r="R90" s="52"/>
      <c r="S90" s="52"/>
      <c r="T90" s="52"/>
      <c r="U90" s="45" t="str">
        <f ca="1">IF(COUNTIF(OFFSET($E90,0,1):OFFSET(U90,0,-1),"=*")&gt;0,IF($C90="К","-"," - "),IF(COUNTIF(OFFSET($E90,0,1):OFFSET(U90,0,-1),"&lt;4")&gt;0,IF(C90="К","-"," - "),(IFERROR(AVERAGE(OFFSET($E90,0,1):OFFSET(U90,0,-1)),"Очікую"))))</f>
        <v>Очікую</v>
      </c>
      <c r="V90" s="23"/>
      <c r="W90" s="42"/>
    </row>
    <row r="91" spans="1:23" s="12" customFormat="1" ht="15" customHeight="1" x14ac:dyDescent="0.25">
      <c r="A91" s="43"/>
      <c r="B91" s="13"/>
      <c r="C91" s="50"/>
      <c r="D91" s="50">
        <v>82</v>
      </c>
      <c r="E91" s="51"/>
      <c r="F91" s="52"/>
      <c r="G91" s="52"/>
      <c r="H91" s="52"/>
      <c r="I91" s="52"/>
      <c r="J91" s="52"/>
      <c r="K91" s="52"/>
      <c r="L91" s="52"/>
      <c r="M91" s="52"/>
      <c r="N91" s="52"/>
      <c r="O91" s="52"/>
      <c r="P91" s="52"/>
      <c r="Q91" s="52"/>
      <c r="R91" s="52"/>
      <c r="S91" s="52"/>
      <c r="T91" s="52"/>
      <c r="U91" s="45" t="str">
        <f ca="1">IF(COUNTIF(OFFSET($E91,0,1):OFFSET(U91,0,-1),"=*")&gt;0,IF($C91="К","-"," - "),IF(COUNTIF(OFFSET($E91,0,1):OFFSET(U91,0,-1),"&lt;4")&gt;0,IF(C91="К","-"," - "),(IFERROR(AVERAGE(OFFSET($E91,0,1):OFFSET(U91,0,-1)),"Очікую"))))</f>
        <v>Очікую</v>
      </c>
      <c r="V91" s="23"/>
      <c r="W91" s="42"/>
    </row>
    <row r="92" spans="1:23" s="12" customFormat="1" ht="15" customHeight="1" x14ac:dyDescent="0.25">
      <c r="A92" s="43"/>
      <c r="B92" s="13"/>
      <c r="C92" s="50"/>
      <c r="D92" s="50">
        <v>83</v>
      </c>
      <c r="E92" s="51"/>
      <c r="F92" s="52"/>
      <c r="G92" s="52"/>
      <c r="H92" s="52"/>
      <c r="I92" s="52"/>
      <c r="J92" s="52"/>
      <c r="K92" s="52"/>
      <c r="L92" s="52"/>
      <c r="M92" s="52"/>
      <c r="N92" s="52"/>
      <c r="O92" s="52"/>
      <c r="P92" s="52"/>
      <c r="Q92" s="52"/>
      <c r="R92" s="52"/>
      <c r="S92" s="52"/>
      <c r="T92" s="52"/>
      <c r="U92" s="45" t="str">
        <f ca="1">IF(COUNTIF(OFFSET($E92,0,1):OFFSET(U92,0,-1),"=*")&gt;0,IF($C92="К","-"," - "),IF(COUNTIF(OFFSET($E92,0,1):OFFSET(U92,0,-1),"&lt;4")&gt;0,IF(C92="К","-"," - "),(IFERROR(AVERAGE(OFFSET($E92,0,1):OFFSET(U92,0,-1)),"Очікую"))))</f>
        <v>Очікую</v>
      </c>
      <c r="V92" s="23"/>
      <c r="W92" s="42"/>
    </row>
    <row r="93" spans="1:23" s="12" customFormat="1" ht="15" customHeight="1" x14ac:dyDescent="0.25">
      <c r="A93" s="43"/>
      <c r="B93" s="13"/>
      <c r="C93" s="50"/>
      <c r="D93" s="50">
        <v>84</v>
      </c>
      <c r="E93" s="51"/>
      <c r="F93" s="52"/>
      <c r="G93" s="52"/>
      <c r="H93" s="52"/>
      <c r="I93" s="52"/>
      <c r="J93" s="52"/>
      <c r="K93" s="52"/>
      <c r="L93" s="52"/>
      <c r="M93" s="52"/>
      <c r="N93" s="52"/>
      <c r="O93" s="52"/>
      <c r="P93" s="52"/>
      <c r="Q93" s="52"/>
      <c r="R93" s="52"/>
      <c r="S93" s="52"/>
      <c r="T93" s="52"/>
      <c r="U93" s="45" t="str">
        <f ca="1">IF(COUNTIF(OFFSET($E93,0,1):OFFSET(U93,0,-1),"=*")&gt;0,IF($C93="К","-"," - "),IF(COUNTIF(OFFSET($E93,0,1):OFFSET(U93,0,-1),"&lt;4")&gt;0,IF(C93="К","-"," - "),(IFERROR(AVERAGE(OFFSET($E93,0,1):OFFSET(U93,0,-1)),"Очікую"))))</f>
        <v>Очікую</v>
      </c>
      <c r="V93" s="23"/>
      <c r="W93" s="42"/>
    </row>
    <row r="94" spans="1:23" s="12" customFormat="1" ht="15" customHeight="1" x14ac:dyDescent="0.25">
      <c r="A94" s="43"/>
      <c r="B94" s="13"/>
      <c r="C94" s="50"/>
      <c r="D94" s="50">
        <v>85</v>
      </c>
      <c r="E94" s="51"/>
      <c r="F94" s="52"/>
      <c r="G94" s="52"/>
      <c r="H94" s="52"/>
      <c r="I94" s="52"/>
      <c r="J94" s="52"/>
      <c r="K94" s="52"/>
      <c r="L94" s="52"/>
      <c r="M94" s="52"/>
      <c r="N94" s="52"/>
      <c r="O94" s="52"/>
      <c r="P94" s="52"/>
      <c r="Q94" s="52"/>
      <c r="R94" s="52"/>
      <c r="S94" s="52"/>
      <c r="T94" s="52"/>
      <c r="U94" s="45" t="str">
        <f ca="1">IF(COUNTIF(OFFSET($E94,0,1):OFFSET(U94,0,-1),"=*")&gt;0,IF($C94="К","-"," - "),IF(COUNTIF(OFFSET($E94,0,1):OFFSET(U94,0,-1),"&lt;4")&gt;0,IF(C94="К","-"," - "),(IFERROR(AVERAGE(OFFSET($E94,0,1):OFFSET(U94,0,-1)),"Очікую"))))</f>
        <v>Очікую</v>
      </c>
      <c r="V94" s="23"/>
      <c r="W94" s="42"/>
    </row>
    <row r="95" spans="1:23" s="12" customFormat="1" ht="15" customHeight="1" x14ac:dyDescent="0.25">
      <c r="A95" s="43"/>
      <c r="B95" s="13"/>
      <c r="C95" s="50"/>
      <c r="D95" s="50">
        <v>86</v>
      </c>
      <c r="E95" s="51"/>
      <c r="F95" s="52"/>
      <c r="G95" s="52"/>
      <c r="H95" s="52"/>
      <c r="I95" s="52"/>
      <c r="J95" s="52"/>
      <c r="K95" s="52"/>
      <c r="L95" s="52"/>
      <c r="M95" s="52"/>
      <c r="N95" s="52"/>
      <c r="O95" s="52"/>
      <c r="P95" s="52"/>
      <c r="Q95" s="52"/>
      <c r="R95" s="52"/>
      <c r="S95" s="52"/>
      <c r="T95" s="52"/>
      <c r="U95" s="45" t="str">
        <f ca="1">IF(COUNTIF(OFFSET($E95,0,1):OFFSET(U95,0,-1),"=*")&gt;0,IF($C95="К","-"," - "),IF(COUNTIF(OFFSET($E95,0,1):OFFSET(U95,0,-1),"&lt;4")&gt;0,IF(C95="К","-"," - "),(IFERROR(AVERAGE(OFFSET($E95,0,1):OFFSET(U95,0,-1)),"Очікую"))))</f>
        <v>Очікую</v>
      </c>
      <c r="V95" s="23"/>
      <c r="W95" s="42"/>
    </row>
    <row r="96" spans="1:23" s="12" customFormat="1" ht="15" customHeight="1" x14ac:dyDescent="0.25">
      <c r="A96" s="43"/>
      <c r="B96" s="13"/>
      <c r="C96" s="50"/>
      <c r="D96" s="50">
        <v>87</v>
      </c>
      <c r="E96" s="51"/>
      <c r="F96" s="52"/>
      <c r="G96" s="52"/>
      <c r="H96" s="52"/>
      <c r="I96" s="52"/>
      <c r="J96" s="52"/>
      <c r="K96" s="52"/>
      <c r="L96" s="52"/>
      <c r="M96" s="52"/>
      <c r="N96" s="52"/>
      <c r="O96" s="52"/>
      <c r="P96" s="52"/>
      <c r="Q96" s="52"/>
      <c r="R96" s="52"/>
      <c r="S96" s="52"/>
      <c r="T96" s="52"/>
      <c r="U96" s="45" t="str">
        <f ca="1">IF(COUNTIF(OFFSET($E96,0,1):OFFSET(U96,0,-1),"=*")&gt;0,IF($C96="К","-"," - "),IF(COUNTIF(OFFSET($E96,0,1):OFFSET(U96,0,-1),"&lt;4")&gt;0,IF(C96="К","-"," - "),(IFERROR(AVERAGE(OFFSET($E96,0,1):OFFSET(U96,0,-1)),"Очікую"))))</f>
        <v>Очікую</v>
      </c>
      <c r="V96" s="23"/>
      <c r="W96" s="42"/>
    </row>
    <row r="97" spans="1:23" s="12" customFormat="1" ht="15" customHeight="1" x14ac:dyDescent="0.25">
      <c r="A97" s="43"/>
      <c r="B97" s="13"/>
      <c r="C97" s="50"/>
      <c r="D97" s="50">
        <v>88</v>
      </c>
      <c r="E97" s="51"/>
      <c r="F97" s="52"/>
      <c r="G97" s="52"/>
      <c r="H97" s="52"/>
      <c r="I97" s="52"/>
      <c r="J97" s="52"/>
      <c r="K97" s="52"/>
      <c r="L97" s="52"/>
      <c r="M97" s="52"/>
      <c r="N97" s="52"/>
      <c r="O97" s="52"/>
      <c r="P97" s="52"/>
      <c r="Q97" s="52"/>
      <c r="R97" s="52"/>
      <c r="S97" s="52"/>
      <c r="T97" s="52"/>
      <c r="U97" s="45" t="str">
        <f ca="1">IF(COUNTIF(OFFSET($E97,0,1):OFFSET(U97,0,-1),"=*")&gt;0,IF($C97="К","-"," - "),IF(COUNTIF(OFFSET($E97,0,1):OFFSET(U97,0,-1),"&lt;4")&gt;0,IF(C97="К","-"," - "),(IFERROR(AVERAGE(OFFSET($E97,0,1):OFFSET(U97,0,-1)),"Очікую"))))</f>
        <v>Очікую</v>
      </c>
      <c r="V97" s="23"/>
      <c r="W97" s="42"/>
    </row>
    <row r="98" spans="1:23" s="12" customFormat="1" ht="15" customHeight="1" x14ac:dyDescent="0.25">
      <c r="A98" s="43"/>
      <c r="B98" s="13"/>
      <c r="C98" s="50"/>
      <c r="D98" s="50">
        <v>89</v>
      </c>
      <c r="E98" s="51"/>
      <c r="F98" s="52"/>
      <c r="G98" s="52"/>
      <c r="H98" s="52"/>
      <c r="I98" s="52"/>
      <c r="J98" s="52"/>
      <c r="K98" s="52"/>
      <c r="L98" s="52"/>
      <c r="M98" s="52"/>
      <c r="N98" s="52"/>
      <c r="O98" s="52"/>
      <c r="P98" s="52"/>
      <c r="Q98" s="52"/>
      <c r="R98" s="52"/>
      <c r="S98" s="52"/>
      <c r="T98" s="52"/>
      <c r="U98" s="45" t="str">
        <f ca="1">IF(COUNTIF(OFFSET($E98,0,1):OFFSET(U98,0,-1),"=*")&gt;0,IF($C98="К","-"," - "),IF(COUNTIF(OFFSET($E98,0,1):OFFSET(U98,0,-1),"&lt;4")&gt;0,IF(C98="К","-"," - "),(IFERROR(AVERAGE(OFFSET($E98,0,1):OFFSET(U98,0,-1)),"Очікую"))))</f>
        <v>Очікую</v>
      </c>
      <c r="V98" s="23"/>
      <c r="W98" s="42"/>
    </row>
    <row r="99" spans="1:23" s="12" customFormat="1" ht="15" customHeight="1" x14ac:dyDescent="0.25">
      <c r="A99" s="43"/>
      <c r="B99" s="13"/>
      <c r="C99" s="50"/>
      <c r="D99" s="50">
        <v>90</v>
      </c>
      <c r="E99" s="51"/>
      <c r="F99" s="52"/>
      <c r="G99" s="52"/>
      <c r="H99" s="52"/>
      <c r="I99" s="52"/>
      <c r="J99" s="52"/>
      <c r="K99" s="52"/>
      <c r="L99" s="52"/>
      <c r="M99" s="52"/>
      <c r="N99" s="52"/>
      <c r="O99" s="52"/>
      <c r="P99" s="52"/>
      <c r="Q99" s="52"/>
      <c r="R99" s="52"/>
      <c r="S99" s="52"/>
      <c r="T99" s="52"/>
      <c r="U99" s="45" t="str">
        <f ca="1">IF(COUNTIF(OFFSET($E99,0,1):OFFSET(U99,0,-1),"=*")&gt;0,IF($C99="К","-"," - "),IF(COUNTIF(OFFSET($E99,0,1):OFFSET(U99,0,-1),"&lt;4")&gt;0,IF(C99="К","-"," - "),(IFERROR(AVERAGE(OFFSET($E99,0,1):OFFSET(U99,0,-1)),"Очікую"))))</f>
        <v>Очікую</v>
      </c>
      <c r="V99" s="23"/>
      <c r="W99" s="42"/>
    </row>
    <row r="100" spans="1:23" s="12" customFormat="1" ht="15" customHeight="1" x14ac:dyDescent="0.25">
      <c r="A100" s="43"/>
      <c r="B100" s="13"/>
      <c r="C100" s="50"/>
      <c r="D100" s="50">
        <v>91</v>
      </c>
      <c r="E100" s="51"/>
      <c r="F100" s="52"/>
      <c r="G100" s="52"/>
      <c r="H100" s="52"/>
      <c r="I100" s="52"/>
      <c r="J100" s="52"/>
      <c r="K100" s="52"/>
      <c r="L100" s="52"/>
      <c r="M100" s="52"/>
      <c r="N100" s="52"/>
      <c r="O100" s="52"/>
      <c r="P100" s="52"/>
      <c r="Q100" s="52"/>
      <c r="R100" s="52"/>
      <c r="S100" s="52"/>
      <c r="T100" s="52"/>
      <c r="U100" s="45" t="str">
        <f ca="1">IF(COUNTIF(OFFSET($E100,0,1):OFFSET(U100,0,-1),"=*")&gt;0,IF($C100="К","-"," - "),IF(COUNTIF(OFFSET($E100,0,1):OFFSET(U100,0,-1),"&lt;4")&gt;0,IF(C100="К","-"," - "),(IFERROR(AVERAGE(OFFSET($E100,0,1):OFFSET(U100,0,-1)),"Очікую"))))</f>
        <v>Очікую</v>
      </c>
      <c r="V100" s="23"/>
      <c r="W100" s="42"/>
    </row>
    <row r="101" spans="1:23" s="12" customFormat="1" ht="15" customHeight="1" x14ac:dyDescent="0.25">
      <c r="A101" s="43"/>
      <c r="B101" s="13"/>
      <c r="C101" s="50"/>
      <c r="D101" s="50">
        <v>92</v>
      </c>
      <c r="E101" s="51"/>
      <c r="F101" s="52"/>
      <c r="G101" s="52"/>
      <c r="H101" s="52"/>
      <c r="I101" s="52"/>
      <c r="J101" s="52"/>
      <c r="K101" s="52"/>
      <c r="L101" s="52"/>
      <c r="M101" s="52"/>
      <c r="N101" s="52"/>
      <c r="O101" s="52"/>
      <c r="P101" s="52"/>
      <c r="Q101" s="52"/>
      <c r="R101" s="52"/>
      <c r="S101" s="52"/>
      <c r="T101" s="52"/>
      <c r="U101" s="45" t="str">
        <f ca="1">IF(COUNTIF(OFFSET($E101,0,1):OFFSET(U101,0,-1),"=*")&gt;0,IF($C101="К","-"," - "),IF(COUNTIF(OFFSET($E101,0,1):OFFSET(U101,0,-1),"&lt;4")&gt;0,IF(C101="К","-"," - "),(IFERROR(AVERAGE(OFFSET($E101,0,1):OFFSET(U101,0,-1)),"Очікую"))))</f>
        <v>Очікую</v>
      </c>
      <c r="V101" s="23"/>
      <c r="W101" s="42"/>
    </row>
    <row r="102" spans="1:23" s="12" customFormat="1" ht="15" customHeight="1" x14ac:dyDescent="0.25">
      <c r="A102" s="43"/>
      <c r="B102" s="13"/>
      <c r="C102" s="50"/>
      <c r="D102" s="50">
        <v>93</v>
      </c>
      <c r="E102" s="51"/>
      <c r="F102" s="52"/>
      <c r="G102" s="52"/>
      <c r="H102" s="52"/>
      <c r="I102" s="52"/>
      <c r="J102" s="52"/>
      <c r="K102" s="52"/>
      <c r="L102" s="52"/>
      <c r="M102" s="52"/>
      <c r="N102" s="52"/>
      <c r="O102" s="52"/>
      <c r="P102" s="52"/>
      <c r="Q102" s="52"/>
      <c r="R102" s="52"/>
      <c r="S102" s="52"/>
      <c r="T102" s="52"/>
      <c r="U102" s="45" t="str">
        <f ca="1">IF(COUNTIF(OFFSET($E102,0,1):OFFSET(U102,0,-1),"=*")&gt;0,IF($C102="К","-"," - "),IF(COUNTIF(OFFSET($E102,0,1):OFFSET(U102,0,-1),"&lt;4")&gt;0,IF(C102="К","-"," - "),(IFERROR(AVERAGE(OFFSET($E102,0,1):OFFSET(U102,0,-1)),"Очікую"))))</f>
        <v>Очікую</v>
      </c>
      <c r="V102" s="23"/>
      <c r="W102" s="42"/>
    </row>
    <row r="103" spans="1:23" s="12" customFormat="1" ht="15" customHeight="1" x14ac:dyDescent="0.25">
      <c r="A103" s="43"/>
      <c r="B103" s="13"/>
      <c r="C103" s="50"/>
      <c r="D103" s="50">
        <v>94</v>
      </c>
      <c r="E103" s="51"/>
      <c r="F103" s="52"/>
      <c r="G103" s="52"/>
      <c r="H103" s="52"/>
      <c r="I103" s="52"/>
      <c r="J103" s="52"/>
      <c r="K103" s="52"/>
      <c r="L103" s="52"/>
      <c r="M103" s="52"/>
      <c r="N103" s="52"/>
      <c r="O103" s="52"/>
      <c r="P103" s="52"/>
      <c r="Q103" s="52"/>
      <c r="R103" s="52"/>
      <c r="S103" s="52"/>
      <c r="T103" s="52"/>
      <c r="U103" s="45" t="str">
        <f ca="1">IF(COUNTIF(OFFSET($E103,0,1):OFFSET(U103,0,-1),"=*")&gt;0,IF($C103="К","-"," - "),IF(COUNTIF(OFFSET($E103,0,1):OFFSET(U103,0,-1),"&lt;4")&gt;0,IF(C103="К","-"," - "),(IFERROR(AVERAGE(OFFSET($E103,0,1):OFFSET(U103,0,-1)),"Очікую"))))</f>
        <v>Очікую</v>
      </c>
      <c r="V103" s="23"/>
      <c r="W103" s="42"/>
    </row>
    <row r="104" spans="1:23" s="12" customFormat="1" ht="15" customHeight="1" x14ac:dyDescent="0.25">
      <c r="A104" s="43"/>
      <c r="B104" s="13"/>
      <c r="C104" s="50"/>
      <c r="D104" s="50">
        <v>95</v>
      </c>
      <c r="E104" s="51"/>
      <c r="F104" s="52"/>
      <c r="G104" s="52"/>
      <c r="H104" s="52"/>
      <c r="I104" s="52"/>
      <c r="J104" s="52"/>
      <c r="K104" s="52"/>
      <c r="L104" s="52"/>
      <c r="M104" s="52"/>
      <c r="N104" s="52"/>
      <c r="O104" s="52"/>
      <c r="P104" s="52"/>
      <c r="Q104" s="52"/>
      <c r="R104" s="52"/>
      <c r="S104" s="52"/>
      <c r="T104" s="52"/>
      <c r="U104" s="45" t="str">
        <f ca="1">IF(COUNTIF(OFFSET($E104,0,1):OFFSET(U104,0,-1),"=*")&gt;0,IF($C104="К","-"," - "),IF(COUNTIF(OFFSET($E104,0,1):OFFSET(U104,0,-1),"&lt;4")&gt;0,IF(C104="К","-"," - "),(IFERROR(AVERAGE(OFFSET($E104,0,1):OFFSET(U104,0,-1)),"Очікую"))))</f>
        <v>Очікую</v>
      </c>
      <c r="V104" s="23"/>
      <c r="W104" s="42"/>
    </row>
    <row r="105" spans="1:23" s="12" customFormat="1" ht="15" customHeight="1" x14ac:dyDescent="0.25">
      <c r="A105" s="43"/>
      <c r="B105" s="13"/>
      <c r="C105" s="50"/>
      <c r="D105" s="50">
        <v>96</v>
      </c>
      <c r="E105" s="51"/>
      <c r="F105" s="52"/>
      <c r="G105" s="52"/>
      <c r="H105" s="52"/>
      <c r="I105" s="52"/>
      <c r="J105" s="52"/>
      <c r="K105" s="52"/>
      <c r="L105" s="52"/>
      <c r="M105" s="52"/>
      <c r="N105" s="52"/>
      <c r="O105" s="52"/>
      <c r="P105" s="52"/>
      <c r="Q105" s="52"/>
      <c r="R105" s="52"/>
      <c r="S105" s="52"/>
      <c r="T105" s="52"/>
      <c r="U105" s="45" t="str">
        <f ca="1">IF(COUNTIF(OFFSET($E105,0,1):OFFSET(U105,0,-1),"=*")&gt;0,IF($C105="К","-"," - "),IF(COUNTIF(OFFSET($E105,0,1):OFFSET(U105,0,-1),"&lt;4")&gt;0,IF(C105="К","-"," - "),(IFERROR(AVERAGE(OFFSET($E105,0,1):OFFSET(U105,0,-1)),"Очікую"))))</f>
        <v>Очікую</v>
      </c>
      <c r="V105" s="23"/>
      <c r="W105" s="42"/>
    </row>
    <row r="106" spans="1:23" s="12" customFormat="1" ht="15" customHeight="1" x14ac:dyDescent="0.25">
      <c r="A106" s="43"/>
      <c r="B106" s="13"/>
      <c r="C106" s="50"/>
      <c r="D106" s="50">
        <v>97</v>
      </c>
      <c r="E106" s="51"/>
      <c r="F106" s="52"/>
      <c r="G106" s="52"/>
      <c r="H106" s="52"/>
      <c r="I106" s="52"/>
      <c r="J106" s="52"/>
      <c r="K106" s="52"/>
      <c r="L106" s="52"/>
      <c r="M106" s="52"/>
      <c r="N106" s="52"/>
      <c r="O106" s="52"/>
      <c r="P106" s="52"/>
      <c r="Q106" s="52"/>
      <c r="R106" s="52"/>
      <c r="S106" s="52"/>
      <c r="T106" s="52"/>
      <c r="U106" s="45" t="str">
        <f ca="1">IF(COUNTIF(OFFSET($E106,0,1):OFFSET(U106,0,-1),"=*")&gt;0,IF($C106="К","-"," - "),IF(COUNTIF(OFFSET($E106,0,1):OFFSET(U106,0,-1),"&lt;4")&gt;0,IF(C106="К","-"," - "),(IFERROR(AVERAGE(OFFSET($E106,0,1):OFFSET(U106,0,-1)),"Очікую"))))</f>
        <v>Очікую</v>
      </c>
      <c r="V106" s="23"/>
      <c r="W106" s="42"/>
    </row>
    <row r="107" spans="1:23" s="12" customFormat="1" ht="15" customHeight="1" x14ac:dyDescent="0.25">
      <c r="A107" s="43"/>
      <c r="B107" s="13"/>
      <c r="C107" s="50"/>
      <c r="D107" s="50">
        <v>98</v>
      </c>
      <c r="E107" s="51"/>
      <c r="F107" s="52"/>
      <c r="G107" s="52"/>
      <c r="H107" s="52"/>
      <c r="I107" s="52"/>
      <c r="J107" s="52"/>
      <c r="K107" s="52"/>
      <c r="L107" s="52"/>
      <c r="M107" s="52"/>
      <c r="N107" s="52"/>
      <c r="O107" s="52"/>
      <c r="P107" s="52"/>
      <c r="Q107" s="52"/>
      <c r="R107" s="52"/>
      <c r="S107" s="52"/>
      <c r="T107" s="52"/>
      <c r="U107" s="45" t="str">
        <f ca="1">IF(COUNTIF(OFFSET($E107,0,1):OFFSET(U107,0,-1),"=*")&gt;0,IF($C107="К","-"," - "),IF(COUNTIF(OFFSET($E107,0,1):OFFSET(U107,0,-1),"&lt;4")&gt;0,IF(C107="К","-"," - "),(IFERROR(AVERAGE(OFFSET($E107,0,1):OFFSET(U107,0,-1)),"Очікую"))))</f>
        <v>Очікую</v>
      </c>
      <c r="V107" s="23"/>
      <c r="W107" s="42"/>
    </row>
    <row r="108" spans="1:23" s="12" customFormat="1" ht="15" customHeight="1" x14ac:dyDescent="0.25">
      <c r="A108" s="43"/>
      <c r="B108" s="13"/>
      <c r="C108" s="50"/>
      <c r="D108" s="50">
        <v>99</v>
      </c>
      <c r="E108" s="51"/>
      <c r="F108" s="52"/>
      <c r="G108" s="52"/>
      <c r="H108" s="52"/>
      <c r="I108" s="52"/>
      <c r="J108" s="52"/>
      <c r="K108" s="52"/>
      <c r="L108" s="52"/>
      <c r="M108" s="52"/>
      <c r="N108" s="52"/>
      <c r="O108" s="52"/>
      <c r="P108" s="52"/>
      <c r="Q108" s="52"/>
      <c r="R108" s="52"/>
      <c r="S108" s="52"/>
      <c r="T108" s="52"/>
      <c r="U108" s="45" t="str">
        <f ca="1">IF(COUNTIF(OFFSET($E108,0,1):OFFSET(U108,0,-1),"=*")&gt;0,IF($C108="К","-"," - "),IF(COUNTIF(OFFSET($E108,0,1):OFFSET(U108,0,-1),"&lt;4")&gt;0,IF(C108="К","-"," - "),(IFERROR(AVERAGE(OFFSET($E108,0,1):OFFSET(U108,0,-1)),"Очікую"))))</f>
        <v>Очікую</v>
      </c>
      <c r="V108" s="23"/>
      <c r="W108" s="42"/>
    </row>
    <row r="109" spans="1:23" s="12" customFormat="1" ht="15" customHeight="1" x14ac:dyDescent="0.25">
      <c r="A109" s="43"/>
      <c r="B109" s="13"/>
      <c r="C109" s="50"/>
      <c r="D109" s="50">
        <v>100</v>
      </c>
      <c r="E109" s="51"/>
      <c r="F109" s="52"/>
      <c r="G109" s="52"/>
      <c r="H109" s="52"/>
      <c r="I109" s="52"/>
      <c r="J109" s="52"/>
      <c r="K109" s="52"/>
      <c r="L109" s="52"/>
      <c r="M109" s="52"/>
      <c r="N109" s="52"/>
      <c r="O109" s="52"/>
      <c r="P109" s="52"/>
      <c r="Q109" s="52"/>
      <c r="R109" s="52"/>
      <c r="S109" s="52"/>
      <c r="T109" s="52"/>
      <c r="U109" s="10" t="str">
        <f ca="1">IFERROR(AVERAGE(OFFSET($E109,0,1):OFFSET(U109,0,-1)),"Очікую")</f>
        <v>Очікую</v>
      </c>
      <c r="V109" s="23"/>
      <c r="W109" s="42"/>
    </row>
    <row r="110" spans="1:23" ht="15" customHeight="1" x14ac:dyDescent="0.25">
      <c r="A110" s="43"/>
      <c r="B110" s="13"/>
      <c r="C110" s="7"/>
      <c r="D110" s="7"/>
      <c r="E110" s="8" t="s">
        <v>4</v>
      </c>
      <c r="F110" s="9" t="str">
        <f ca="1">IF(SUM(OFFSET(F$9,1,0):OFFSET(F110,-1,0))=0,IF(COUNTA(OFFSET(F$9,1,0):OFFSET(F110,-1,0))=0,"Очікую",0),SUM(OFFSET(F$9,1,0):OFFSET(F110,-1,0))/OFFSET($D110,-1,0))</f>
        <v>Очікую</v>
      </c>
      <c r="G110" s="9" t="str">
        <f ca="1">IF(SUM(OFFSET(G$9,1,0):OFFSET(G110,-1,0))=0,IF(COUNTA(OFFSET(G$9,1,0):OFFSET(G110,-1,0))=0,"Очікую",0),SUM(OFFSET(G$9,1,0):OFFSET(G110,-1,0))/OFFSET($D110,-1,0))</f>
        <v>Очікую</v>
      </c>
      <c r="H110" s="9" t="str">
        <f ca="1">IF(SUM(OFFSET(H$9,1,0):OFFSET(H110,-1,0))=0,IF(COUNTA(OFFSET(H$9,1,0):OFFSET(H110,-1,0))=0,"Очікую",0),SUM(OFFSET(H$9,1,0):OFFSET(H110,-1,0))/OFFSET($D110,-1,0))</f>
        <v>Очікую</v>
      </c>
      <c r="I110" s="9" t="str">
        <f ca="1">IF(SUM(OFFSET(I$9,1,0):OFFSET(I110,-1,0))=0,IF(COUNTA(OFFSET(I$9,1,0):OFFSET(I110,-1,0))=0,"Очікую",0),SUM(OFFSET(I$9,1,0):OFFSET(I110,-1,0))/OFFSET($D110,-1,0))</f>
        <v>Очікую</v>
      </c>
      <c r="J110" s="9" t="str">
        <f ca="1">IF(SUM(OFFSET(J$9,1,0):OFFSET(J110,-1,0))=0,IF(COUNTA(OFFSET(J$9,1,0):OFFSET(J110,-1,0))=0,"Очікую",0),SUM(OFFSET(J$9,1,0):OFFSET(J110,-1,0))/OFFSET($D110,-1,0))</f>
        <v>Очікую</v>
      </c>
      <c r="K110" s="9" t="str">
        <f ca="1">IF(SUM(OFFSET(K$9,1,0):OFFSET(K110,-1,0))=0,IF(COUNTA(OFFSET(K$9,1,0):OFFSET(K110,-1,0))=0,"Очікую",0),SUM(OFFSET(K$9,1,0):OFFSET(K110,-1,0))/OFFSET($D110,-1,0))</f>
        <v>Очікую</v>
      </c>
      <c r="L110" s="9" t="str">
        <f ca="1">IF(SUM(OFFSET(L$9,1,0):OFFSET(L110,-1,0))=0,IF(COUNTA(OFFSET(L$9,1,0):OFFSET(L110,-1,0))=0,"Очікую",0),SUM(OFFSET(L$9,1,0):OFFSET(L110,-1,0))/OFFSET($D110,-1,0))</f>
        <v>Очікую</v>
      </c>
      <c r="M110" s="9" t="str">
        <f ca="1">IF(SUM(OFFSET(M$9,1,0):OFFSET(M110,-1,0))=0,IF(COUNTA(OFFSET(M$9,1,0):OFFSET(M110,-1,0))=0,"Очікую",0),SUM(OFFSET(M$9,1,0):OFFSET(M110,-1,0))/OFFSET($D110,-1,0))</f>
        <v>Очікую</v>
      </c>
      <c r="N110" s="9" t="str">
        <f ca="1">IF(SUM(OFFSET(N$9,1,0):OFFSET(N110,-1,0))=0,IF(COUNTA(OFFSET(N$9,1,0):OFFSET(N110,-1,0))=0,"Очікую",0),SUM(OFFSET(N$9,1,0):OFFSET(N110,-1,0))/OFFSET($D110,-1,0))</f>
        <v>Очікую</v>
      </c>
      <c r="O110" s="9" t="str">
        <f ca="1">IF(SUM(OFFSET(O$9,1,0):OFFSET(O110,-1,0))=0,IF(COUNTA(OFFSET(O$9,1,0):OFFSET(O110,-1,0))=0,"Очікую",0),SUM(OFFSET(O$9,1,0):OFFSET(O110,-1,0))/OFFSET($D110,-1,0))</f>
        <v>Очікую</v>
      </c>
      <c r="P110" s="9" t="str">
        <f ca="1">IF(SUM(OFFSET(P$9,1,0):OFFSET(P110,-1,0))=0,IF(COUNTA(OFFSET(P$9,1,0):OFFSET(P110,-1,0))=0,"Очікую",0),SUM(OFFSET(P$9,1,0):OFFSET(P110,-1,0))/OFFSET($D110,-1,0))</f>
        <v>Очікую</v>
      </c>
      <c r="Q110" s="9" t="str">
        <f ca="1">IF(SUM(OFFSET(Q$9,1,0):OFFSET(Q110,-1,0))=0,IF(COUNTA(OFFSET(Q$9,1,0):OFFSET(Q110,-1,0))=0,"Очікую",0),SUM(OFFSET(Q$9,1,0):OFFSET(Q110,-1,0))/OFFSET($D110,-1,0))</f>
        <v>Очікую</v>
      </c>
      <c r="R110" s="9" t="str">
        <f ca="1">IF(SUM(OFFSET(R$9,1,0):OFFSET(R110,-1,0))=0,IF(COUNTA(OFFSET(R$9,1,0):OFFSET(R110,-1,0))=0,"Очікую",0),SUM(OFFSET(R$9,1,0):OFFSET(R110,-1,0))/OFFSET($D110,-1,0))</f>
        <v>Очікую</v>
      </c>
      <c r="S110" s="9" t="str">
        <f ca="1">IF(SUM(OFFSET(S$9,1,0):OFFSET(S110,-1,0))=0,IF(COUNTA(OFFSET(S$9,1,0):OFFSET(S110,-1,0))=0,"Очікую",0),SUM(OFFSET(S$9,1,0):OFFSET(S110,-1,0))/OFFSET($D110,-1,0))</f>
        <v>Очікую</v>
      </c>
      <c r="T110" s="9" t="str">
        <f ca="1">IF(SUM(OFFSET(T$9,1,0):OFFSET(T110,-1,0))=0,IF(COUNTA(OFFSET(T$9,1,0):OFFSET(T110,-1,0))=0,"Очікую",0),SUM(OFFSET(T$9,1,0):OFFSET(T110,-1,0))/OFFSET($D110,-1,0))</f>
        <v>Очікую</v>
      </c>
      <c r="U110" s="10" t="str">
        <f ca="1">IFERROR(AVERAGE(OFFSET($E110,0,1):OFFSET(U110,0,-1)),"Очікую")</f>
        <v>Очікую</v>
      </c>
      <c r="V110" s="21"/>
      <c r="W110" s="42"/>
    </row>
    <row r="111" spans="1:23" ht="15" customHeight="1" x14ac:dyDescent="0.25">
      <c r="A111" s="43"/>
      <c r="B111" s="13"/>
      <c r="C111" s="7"/>
      <c r="D111" s="7"/>
      <c r="E111" s="8" t="s">
        <v>5</v>
      </c>
      <c r="F111" s="46" t="str">
        <f ca="1">IF(SUM(OFFSET(F$9,1,0):OFFSET(F110,-1,0))=0,IF(COUNTA(OFFSET(F$9,1,0):OFFSET(F110,-1,0))=0,"Очікую",0),IF(COUNTIF(OFFSET(F$9,1,0):OFFSET(F110,-1,0),"&gt;=4")=0,0,COUNTIF(OFFSET(F$9,1,0):OFFSET(F110,-1,0),"&gt;=4")/OFFSET($D110,-1,0)*100))</f>
        <v>Очікую</v>
      </c>
      <c r="G111" s="46" t="str">
        <f ca="1">IF(SUM(OFFSET(G$9,1,0):OFFSET(G110,-1,0))=0,IF(COUNTA(OFFSET(G$9,1,0):OFFSET(G110,-1,0))=0,"Очікую",0),IF(COUNTIF(OFFSET(G$9,1,0):OFFSET(G110,-1,0),"&gt;=4")=0,0,COUNTIF(OFFSET(G$9,1,0):OFFSET(G110,-1,0),"&gt;=4")/OFFSET($D110,-1,0)*100))</f>
        <v>Очікую</v>
      </c>
      <c r="H111" s="46" t="str">
        <f ca="1">IF(SUM(OFFSET(H$9,1,0):OFFSET(H110,-1,0))=0,IF(COUNTA(OFFSET(H$9,1,0):OFFSET(H110,-1,0))=0,"Очікую",0),IF(COUNTIF(OFFSET(H$9,1,0):OFFSET(H110,-1,0),"&gt;=4")=0,0,COUNTIF(OFFSET(H$9,1,0):OFFSET(H110,-1,0),"&gt;=4")/OFFSET($D110,-1,0)*100))</f>
        <v>Очікую</v>
      </c>
      <c r="I111" s="46" t="str">
        <f ca="1">IF(SUM(OFFSET(I$9,1,0):OFFSET(I110,-1,0))=0,IF(COUNTA(OFFSET(I$9,1,0):OFFSET(I110,-1,0))=0,"Очікую",0),IF(COUNTIF(OFFSET(I$9,1,0):OFFSET(I110,-1,0),"&gt;=4")=0,0,COUNTIF(OFFSET(I$9,1,0):OFFSET(I110,-1,0),"&gt;=4")/OFFSET($D110,-1,0)*100))</f>
        <v>Очікую</v>
      </c>
      <c r="J111" s="46" t="str">
        <f ca="1">IF(SUM(OFFSET(J$9,1,0):OFFSET(J110,-1,0))=0,IF(COUNTA(OFFSET(J$9,1,0):OFFSET(J110,-1,0))=0,"Очікую",0),IF(COUNTIF(OFFSET(J$9,1,0):OFFSET(J110,-1,0),"&gt;=4")=0,0,COUNTIF(OFFSET(J$9,1,0):OFFSET(J110,-1,0),"&gt;=4")/OFFSET($D110,-1,0)*100))</f>
        <v>Очікую</v>
      </c>
      <c r="K111" s="46" t="str">
        <f ca="1">IF(SUM(OFFSET(K$9,1,0):OFFSET(K110,-1,0))=0,IF(COUNTA(OFFSET(K$9,1,0):OFFSET(K110,-1,0))=0,"Очікую",0),IF(COUNTIF(OFFSET(K$9,1,0):OFFSET(K110,-1,0),"&gt;=4")=0,0,COUNTIF(OFFSET(K$9,1,0):OFFSET(K110,-1,0),"&gt;=4")/OFFSET($D110,-1,0)*100))</f>
        <v>Очікую</v>
      </c>
      <c r="L111" s="46" t="str">
        <f ca="1">IF(SUM(OFFSET(L$9,1,0):OFFSET(L110,-1,0))=0,IF(COUNTA(OFFSET(L$9,1,0):OFFSET(L110,-1,0))=0,"Очікую",0),IF(COUNTIF(OFFSET(L$9,1,0):OFFSET(L110,-1,0),"&gt;=4")=0,0,COUNTIF(OFFSET(L$9,1,0):OFFSET(L110,-1,0),"&gt;=4")/OFFSET($D110,-1,0)*100))</f>
        <v>Очікую</v>
      </c>
      <c r="M111" s="46" t="str">
        <f ca="1">IF(SUM(OFFSET(M$9,1,0):OFFSET(M110,-1,0))=0,IF(COUNTA(OFFSET(M$9,1,0):OFFSET(M110,-1,0))=0,"Очікую",0),IF(COUNTIF(OFFSET(M$9,1,0):OFFSET(M110,-1,0),"&gt;=4")=0,0,COUNTIF(OFFSET(M$9,1,0):OFFSET(M110,-1,0),"&gt;=4")/OFFSET($D110,-1,0)*100))</f>
        <v>Очікую</v>
      </c>
      <c r="N111" s="46" t="str">
        <f ca="1">IF(SUM(OFFSET(N$9,1,0):OFFSET(N110,-1,0))=0,IF(COUNTA(OFFSET(N$9,1,0):OFFSET(N110,-1,0))=0,"Очікую",0),IF(COUNTIF(OFFSET(N$9,1,0):OFFSET(N110,-1,0),"&gt;=4")=0,0,COUNTIF(OFFSET(N$9,1,0):OFFSET(N110,-1,0),"&gt;=4")/OFFSET($D110,-1,0)*100))</f>
        <v>Очікую</v>
      </c>
      <c r="O111" s="46" t="str">
        <f ca="1">IF(SUM(OFFSET(O$9,1,0):OFFSET(O110,-1,0))=0,IF(COUNTA(OFFSET(O$9,1,0):OFFSET(O110,-1,0))=0,"Очікую",0),IF(COUNTIF(OFFSET(O$9,1,0):OFFSET(O110,-1,0),"&gt;=4")=0,0,COUNTIF(OFFSET(O$9,1,0):OFFSET(O110,-1,0),"&gt;=4")/OFFSET($D110,-1,0)*100))</f>
        <v>Очікую</v>
      </c>
      <c r="P111" s="46" t="str">
        <f ca="1">IF(SUM(OFFSET(P$9,1,0):OFFSET(P110,-1,0))=0,IF(COUNTA(OFFSET(P$9,1,0):OFFSET(P110,-1,0))=0,"Очікую",0),IF(COUNTIF(OFFSET(P$9,1,0):OFFSET(P110,-1,0),"&gt;=4")=0,0,COUNTIF(OFFSET(P$9,1,0):OFFSET(P110,-1,0),"&gt;=4")/OFFSET($D110,-1,0)*100))</f>
        <v>Очікую</v>
      </c>
      <c r="Q111" s="46" t="str">
        <f ca="1">IF(SUM(OFFSET(Q$9,1,0):OFFSET(Q110,-1,0))=0,IF(COUNTA(OFFSET(Q$9,1,0):OFFSET(Q110,-1,0))=0,"Очікую",0),IF(COUNTIF(OFFSET(Q$9,1,0):OFFSET(Q110,-1,0),"&gt;=4")=0,0,COUNTIF(OFFSET(Q$9,1,0):OFFSET(Q110,-1,0),"&gt;=4")/OFFSET($D110,-1,0)*100))</f>
        <v>Очікую</v>
      </c>
      <c r="R111" s="46" t="str">
        <f ca="1">IF(SUM(OFFSET(R$9,1,0):OFFSET(R110,-1,0))=0,IF(COUNTA(OFFSET(R$9,1,0):OFFSET(R110,-1,0))=0,"Очікую",0),IF(COUNTIF(OFFSET(R$9,1,0):OFFSET(R110,-1,0),"&gt;=4")=0,0,COUNTIF(OFFSET(R$9,1,0):OFFSET(R110,-1,0),"&gt;=4")/OFFSET($D110,-1,0)*100))</f>
        <v>Очікую</v>
      </c>
      <c r="S111" s="46" t="str">
        <f ca="1">IF(SUM(OFFSET(S$9,1,0):OFFSET(S110,-1,0))=0,IF(COUNTA(OFFSET(S$9,1,0):OFFSET(S110,-1,0))=0,"Очікую",0),IF(COUNTIF(OFFSET(S$9,1,0):OFFSET(S110,-1,0),"&gt;=4")=0,0,COUNTIF(OFFSET(S$9,1,0):OFFSET(S110,-1,0),"&gt;=4")/OFFSET($D110,-1,0)*100))</f>
        <v>Очікую</v>
      </c>
      <c r="T111" s="46" t="str">
        <f ca="1">IF(SUM(OFFSET(T$9,1,0):OFFSET(T110,-1,0))=0,IF(COUNTA(OFFSET(T$9,1,0):OFFSET(T110,-1,0))=0,"Очікую",0),IF(COUNTIF(OFFSET(T$9,1,0):OFFSET(T110,-1,0),"&gt;=4")=0,0,COUNTIF(OFFSET(T$9,1,0):OFFSET(T110,-1,0),"&gt;=4")/OFFSET($D110,-1,0)*100))</f>
        <v>Очікую</v>
      </c>
      <c r="U111" s="7"/>
      <c r="V111" s="21"/>
      <c r="W111" s="42"/>
    </row>
    <row r="112" spans="1:23" ht="15" customHeight="1" x14ac:dyDescent="0.25">
      <c r="A112" s="43"/>
      <c r="B112" s="13"/>
      <c r="C112" s="7"/>
      <c r="D112" s="7"/>
      <c r="E112" s="8" t="s">
        <v>6</v>
      </c>
      <c r="F112" s="46" t="str">
        <f ca="1">IF(SUM(OFFSET(F$9,1,0):OFFSET(F110,-1,0))=0,IF(COUNTA(OFFSET(F$9,1,0):OFFSET(F110,-1,0))=0,"Очікую",0),IF(COUNTIF(OFFSET(F$9,1,0):OFFSET(F110,-1,0),"&gt;=7")=0,0,COUNTIF(OFFSET(F$9,1,0):OFFSET(F110,-1,0),"&gt;=7")/OFFSET($D110,-1,0)*100))</f>
        <v>Очікую</v>
      </c>
      <c r="G112" s="46" t="str">
        <f ca="1">IF(SUM(OFFSET(G$9,1,0):OFFSET(G110,-1,0))=0,IF(COUNTA(OFFSET(G$9,1,0):OFFSET(G110,-1,0))=0,"Очікую",0),IF(COUNTIF(OFFSET(G$9,1,0):OFFSET(G110,-1,0),"&gt;=7")=0,0,COUNTIF(OFFSET(G$9,1,0):OFFSET(G110,-1,0),"&gt;=7")/OFFSET($D110,-1,0)*100))</f>
        <v>Очікую</v>
      </c>
      <c r="H112" s="46" t="str">
        <f ca="1">IF(SUM(OFFSET(H$9,1,0):OFFSET(H110,-1,0))=0,IF(COUNTA(OFFSET(H$9,1,0):OFFSET(H110,-1,0))=0,"Очікую",0),IF(COUNTIF(OFFSET(H$9,1,0):OFFSET(H110,-1,0),"&gt;=7")=0,0,COUNTIF(OFFSET(H$9,1,0):OFFSET(H110,-1,0),"&gt;=7")/OFFSET($D110,-1,0)*100))</f>
        <v>Очікую</v>
      </c>
      <c r="I112" s="46" t="str">
        <f ca="1">IF(SUM(OFFSET(I$9,1,0):OFFSET(I110,-1,0))=0,IF(COUNTA(OFFSET(I$9,1,0):OFFSET(I110,-1,0))=0,"Очікую",0),IF(COUNTIF(OFFSET(I$9,1,0):OFFSET(I110,-1,0),"&gt;=7")=0,0,COUNTIF(OFFSET(I$9,1,0):OFFSET(I110,-1,0),"&gt;=7")/OFFSET($D110,-1,0)*100))</f>
        <v>Очікую</v>
      </c>
      <c r="J112" s="46" t="str">
        <f ca="1">IF(SUM(OFFSET(J$9,1,0):OFFSET(J110,-1,0))=0,IF(COUNTA(OFFSET(J$9,1,0):OFFSET(J110,-1,0))=0,"Очікую",0),IF(COUNTIF(OFFSET(J$9,1,0):OFFSET(J110,-1,0),"&gt;=7")=0,0,COUNTIF(OFFSET(J$9,1,0):OFFSET(J110,-1,0),"&gt;=7")/OFFSET($D110,-1,0)*100))</f>
        <v>Очікую</v>
      </c>
      <c r="K112" s="46" t="str">
        <f ca="1">IF(SUM(OFFSET(K$9,1,0):OFFSET(K110,-1,0))=0,IF(COUNTA(OFFSET(K$9,1,0):OFFSET(K110,-1,0))=0,"Очікую",0),IF(COUNTIF(OFFSET(K$9,1,0):OFFSET(K110,-1,0),"&gt;=7")=0,0,COUNTIF(OFFSET(K$9,1,0):OFFSET(K110,-1,0),"&gt;=7")/OFFSET($D110,-1,0)*100))</f>
        <v>Очікую</v>
      </c>
      <c r="L112" s="46" t="str">
        <f ca="1">IF(SUM(OFFSET(L$9,1,0):OFFSET(L110,-1,0))=0,IF(COUNTA(OFFSET(L$9,1,0):OFFSET(L110,-1,0))=0,"Очікую",0),IF(COUNTIF(OFFSET(L$9,1,0):OFFSET(L110,-1,0),"&gt;=7")=0,0,COUNTIF(OFFSET(L$9,1,0):OFFSET(L110,-1,0),"&gt;=7")/OFFSET($D110,-1,0)*100))</f>
        <v>Очікую</v>
      </c>
      <c r="M112" s="46" t="str">
        <f ca="1">IF(SUM(OFFSET(M$9,1,0):OFFSET(M110,-1,0))=0,IF(COUNTA(OFFSET(M$9,1,0):OFFSET(M110,-1,0))=0,"Очікую",0),IF(COUNTIF(OFFSET(M$9,1,0):OFFSET(M110,-1,0),"&gt;=7")=0,0,COUNTIF(OFFSET(M$9,1,0):OFFSET(M110,-1,0),"&gt;=7")/OFFSET($D110,-1,0)*100))</f>
        <v>Очікую</v>
      </c>
      <c r="N112" s="46" t="str">
        <f ca="1">IF(SUM(OFFSET(N$9,1,0):OFFSET(N110,-1,0))=0,IF(COUNTA(OFFSET(N$9,1,0):OFFSET(N110,-1,0))=0,"Очікую",0),IF(COUNTIF(OFFSET(N$9,1,0):OFFSET(N110,-1,0),"&gt;=7")=0,0,COUNTIF(OFFSET(N$9,1,0):OFFSET(N110,-1,0),"&gt;=7")/OFFSET($D110,-1,0)*100))</f>
        <v>Очікую</v>
      </c>
      <c r="O112" s="46" t="str">
        <f ca="1">IF(SUM(OFFSET(O$9,1,0):OFFSET(O110,-1,0))=0,IF(COUNTA(OFFSET(O$9,1,0):OFFSET(O110,-1,0))=0,"Очікую",0),IF(COUNTIF(OFFSET(O$9,1,0):OFFSET(O110,-1,0),"&gt;=7")=0,0,COUNTIF(OFFSET(O$9,1,0):OFFSET(O110,-1,0),"&gt;=7")/OFFSET($D110,-1,0)*100))</f>
        <v>Очікую</v>
      </c>
      <c r="P112" s="46" t="str">
        <f ca="1">IF(SUM(OFFSET(P$9,1,0):OFFSET(P110,-1,0))=0,IF(COUNTA(OFFSET(P$9,1,0):OFFSET(P110,-1,0))=0,"Очікую",0),IF(COUNTIF(OFFSET(P$9,1,0):OFFSET(P110,-1,0),"&gt;=7")=0,0,COUNTIF(OFFSET(P$9,1,0):OFFSET(P110,-1,0),"&gt;=7")/OFFSET($D110,-1,0)*100))</f>
        <v>Очікую</v>
      </c>
      <c r="Q112" s="46" t="str">
        <f ca="1">IF(SUM(OFFSET(Q$9,1,0):OFFSET(Q110,-1,0))=0,IF(COUNTA(OFFSET(Q$9,1,0):OFFSET(Q110,-1,0))=0,"Очікую",0),IF(COUNTIF(OFFSET(Q$9,1,0):OFFSET(Q110,-1,0),"&gt;=7")=0,0,COUNTIF(OFFSET(Q$9,1,0):OFFSET(Q110,-1,0),"&gt;=7")/OFFSET($D110,-1,0)*100))</f>
        <v>Очікую</v>
      </c>
      <c r="R112" s="46" t="str">
        <f ca="1">IF(SUM(OFFSET(R$9,1,0):OFFSET(R110,-1,0))=0,IF(COUNTA(OFFSET(R$9,1,0):OFFSET(R110,-1,0))=0,"Очікую",0),IF(COUNTIF(OFFSET(R$9,1,0):OFFSET(R110,-1,0),"&gt;=7")=0,0,COUNTIF(OFFSET(R$9,1,0):OFFSET(R110,-1,0),"&gt;=7")/OFFSET($D110,-1,0)*100))</f>
        <v>Очікую</v>
      </c>
      <c r="S112" s="46" t="str">
        <f ca="1">IF(SUM(OFFSET(S$9,1,0):OFFSET(S110,-1,0))=0,IF(COUNTA(OFFSET(S$9,1,0):OFFSET(S110,-1,0))=0,"Очікую",0),IF(COUNTIF(OFFSET(S$9,1,0):OFFSET(S110,-1,0),"&gt;=7")=0,0,COUNTIF(OFFSET(S$9,1,0):OFFSET(S110,-1,0),"&gt;=7")/OFFSET($D110,-1,0)*100))</f>
        <v>Очікую</v>
      </c>
      <c r="T112" s="46" t="str">
        <f ca="1">IF(SUM(OFFSET(T$9,1,0):OFFSET(T110,-1,0))=0,IF(COUNTA(OFFSET(T$9,1,0):OFFSET(T110,-1,0))=0,"Очікую",0),IF(COUNTIF(OFFSET(T$9,1,0):OFFSET(T110,-1,0),"&gt;=7")=0,0,COUNTIF(OFFSET(T$9,1,0):OFFSET(T110,-1,0),"&gt;=7")/OFFSET($D110,-1,0)*100))</f>
        <v>Очікую</v>
      </c>
      <c r="U112" s="7"/>
      <c r="V112" s="21"/>
      <c r="W112" s="42"/>
    </row>
    <row r="113" spans="1:23" ht="15" customHeight="1" x14ac:dyDescent="0.25">
      <c r="A113" s="43"/>
      <c r="B113" s="13"/>
      <c r="C113" s="7"/>
      <c r="D113" s="7"/>
      <c r="E113" s="8" t="s">
        <v>7</v>
      </c>
      <c r="F113" s="9" t="str">
        <f ca="1">IFERROR(AVERAGE(OFFSET(E111,0,1):OFFSET(U111,0,-1)),"Очікую")</f>
        <v>Очікую</v>
      </c>
      <c r="G113" s="7"/>
      <c r="H113" s="7"/>
      <c r="I113" s="7"/>
      <c r="J113" s="7"/>
      <c r="K113" s="7"/>
      <c r="L113" s="7"/>
      <c r="M113" s="7"/>
      <c r="N113" s="7"/>
      <c r="O113" s="7"/>
      <c r="P113" s="7"/>
      <c r="Q113" s="7"/>
      <c r="R113" s="7"/>
      <c r="S113" s="7"/>
      <c r="T113" s="7"/>
      <c r="U113" s="7"/>
      <c r="V113" s="21"/>
      <c r="W113" s="42"/>
    </row>
    <row r="114" spans="1:23" ht="15" customHeight="1" x14ac:dyDescent="0.25">
      <c r="A114" s="43"/>
      <c r="B114" s="13"/>
      <c r="C114" s="7"/>
      <c r="D114" s="7"/>
      <c r="E114" s="8" t="s">
        <v>8</v>
      </c>
      <c r="F114" s="9" t="str">
        <f ca="1">IFERROR(AVERAGE(OFFSET(E112,0,1):OFFSET(U112,0,-1)),"Очікую")</f>
        <v>Очікую</v>
      </c>
      <c r="G114" s="7"/>
      <c r="H114" s="7"/>
      <c r="I114" s="7"/>
      <c r="J114" s="7"/>
      <c r="K114" s="7"/>
      <c r="L114" s="7"/>
      <c r="M114" s="7"/>
      <c r="N114" s="7"/>
      <c r="O114" s="7"/>
      <c r="P114" s="7"/>
      <c r="Q114" s="7"/>
      <c r="R114" s="7"/>
      <c r="S114" s="7"/>
      <c r="T114" s="7"/>
      <c r="U114" s="7"/>
      <c r="V114" s="21"/>
      <c r="W114" s="42"/>
    </row>
    <row r="115" spans="1:23" ht="15" customHeight="1" x14ac:dyDescent="0.25">
      <c r="A115" s="43"/>
      <c r="B115" s="13"/>
      <c r="C115" s="7"/>
      <c r="D115" s="7"/>
      <c r="E115" s="8" t="s">
        <v>9</v>
      </c>
      <c r="F115" s="5" t="str">
        <f ca="1">IF(COUNTIF(OFFSET(C$9,1,0):OFFSET(C110,-1,0),"=Б")=0,IF(COUNTIF(OFFSET(C$9,1,0):OFFSET(C110,-1,0),"=К")=0,"Очікую",0),COUNTIF(OFFSET(C$9,1,0):OFFSET(C110,-1,0),"=Б"))</f>
        <v>Очікую</v>
      </c>
      <c r="G115" s="7"/>
      <c r="H115" s="7"/>
      <c r="I115" s="7"/>
      <c r="J115" s="7"/>
      <c r="K115" s="7"/>
      <c r="L115" s="7"/>
      <c r="M115" s="7"/>
      <c r="N115" s="7"/>
      <c r="O115" s="7"/>
      <c r="P115" s="7"/>
      <c r="Q115" s="7"/>
      <c r="R115" s="62"/>
      <c r="S115" s="62"/>
      <c r="T115" s="62"/>
      <c r="U115" s="62"/>
      <c r="V115" s="21"/>
      <c r="W115" s="42"/>
    </row>
    <row r="116" spans="1:23" ht="15" customHeight="1" x14ac:dyDescent="0.3">
      <c r="A116" s="43"/>
      <c r="B116" s="13"/>
      <c r="C116" s="7"/>
      <c r="D116" s="7"/>
      <c r="E116" s="8" t="s">
        <v>10</v>
      </c>
      <c r="F116" s="5" t="str">
        <f ca="1">IF(COUNTIF(OFFSET(C$9,1,0):OFFSET(C110,-1,0),"=К")=0,IF(COUNTIF(OFFSET(C$9,1,0):OFFSET(C110,-1,0),"=Б")=0,"Очікую",0),COUNTIF(OFFSET(C$9,1,0):OFFSET(C110,-1,0),"=К"))</f>
        <v>Очікую</v>
      </c>
      <c r="G116" s="7"/>
      <c r="H116" s="64" t="s">
        <v>11</v>
      </c>
      <c r="I116" s="64"/>
      <c r="J116" s="64"/>
      <c r="K116" s="64"/>
      <c r="L116" s="64"/>
      <c r="M116" s="7"/>
      <c r="N116" s="7"/>
      <c r="O116" s="7"/>
      <c r="P116" s="65" t="s">
        <v>81</v>
      </c>
      <c r="Q116" s="65"/>
      <c r="R116" s="65"/>
      <c r="S116" s="65"/>
      <c r="T116" s="65"/>
      <c r="U116" s="65"/>
      <c r="V116" s="21"/>
      <c r="W116" s="42"/>
    </row>
    <row r="117" spans="1:23" ht="15" customHeight="1" x14ac:dyDescent="0.25">
      <c r="A117" s="43"/>
      <c r="B117" s="13"/>
      <c r="C117" s="7"/>
      <c r="D117" s="7"/>
      <c r="E117" s="8" t="s">
        <v>12</v>
      </c>
      <c r="F117" s="4"/>
      <c r="G117" s="7"/>
      <c r="H117" s="63"/>
      <c r="I117" s="63"/>
      <c r="J117" s="63"/>
      <c r="K117" s="63"/>
      <c r="L117" s="63"/>
      <c r="M117" s="7"/>
      <c r="N117" s="7"/>
      <c r="O117" s="7"/>
      <c r="P117" s="62"/>
      <c r="Q117" s="62"/>
      <c r="R117" s="62"/>
      <c r="S117" s="62"/>
      <c r="T117" s="62"/>
      <c r="U117" s="62"/>
      <c r="V117" s="21"/>
      <c r="W117" s="42"/>
    </row>
    <row r="118" spans="1:23" ht="15" customHeight="1" x14ac:dyDescent="0.3">
      <c r="A118" s="43"/>
      <c r="B118" s="13"/>
      <c r="C118" s="7"/>
      <c r="D118" s="7"/>
      <c r="E118" s="8" t="s">
        <v>13</v>
      </c>
      <c r="F118" s="5" t="str">
        <f ca="1">IF(F115="Очікую","Очікую",IF(F115-COUNTIF(OFFSET(U$9,1,0):OFFSET(U110,-1,0)," - ")&lt;ROUNDDOWN(F115*0.4,0),F115-COUNTIF(OFFSET(U$9,1,0):OFFSET(U110,-1,0)," - "),ROUNDDOWN(F115*0.4,0)))</f>
        <v>Очікую</v>
      </c>
      <c r="G118" s="7"/>
      <c r="H118" s="65" t="s">
        <v>14</v>
      </c>
      <c r="I118" s="65"/>
      <c r="J118" s="65"/>
      <c r="K118" s="65"/>
      <c r="L118" s="65"/>
      <c r="M118" s="7"/>
      <c r="N118" s="7"/>
      <c r="O118" s="7"/>
      <c r="P118" s="65" t="s">
        <v>15</v>
      </c>
      <c r="Q118" s="65"/>
      <c r="R118" s="65"/>
      <c r="S118" s="65"/>
      <c r="T118" s="65"/>
      <c r="U118" s="65"/>
      <c r="V118" s="21"/>
      <c r="W118" s="42"/>
    </row>
    <row r="119" spans="1:23" ht="12" customHeight="1" thickBot="1" x14ac:dyDescent="0.3">
      <c r="A119" s="43"/>
      <c r="B119" s="22"/>
      <c r="C119" s="15"/>
      <c r="D119" s="15"/>
      <c r="E119" s="15"/>
      <c r="F119" s="15"/>
      <c r="G119" s="15"/>
      <c r="H119" s="15"/>
      <c r="I119" s="15"/>
      <c r="J119" s="15"/>
      <c r="K119" s="15"/>
      <c r="L119" s="15"/>
      <c r="M119" s="15"/>
      <c r="N119" s="15"/>
      <c r="O119" s="15"/>
      <c r="P119" s="15"/>
      <c r="Q119" s="15"/>
      <c r="R119" s="15"/>
      <c r="S119" s="15"/>
      <c r="T119" s="15"/>
      <c r="U119" s="15"/>
      <c r="V119" s="16"/>
      <c r="W119" s="42"/>
    </row>
    <row r="120" spans="1:23" ht="12"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2"/>
    </row>
  </sheetData>
  <sheetProtection insertRows="0" deleteRows="0"/>
  <mergeCells count="13">
    <mergeCell ref="P118:U118"/>
    <mergeCell ref="H118:L118"/>
    <mergeCell ref="H116:L116"/>
    <mergeCell ref="P116:U116"/>
    <mergeCell ref="C8:C9"/>
    <mergeCell ref="D8:D9"/>
    <mergeCell ref="E8:E9"/>
    <mergeCell ref="F8:U8"/>
    <mergeCell ref="C3:U3"/>
    <mergeCell ref="C4:U4"/>
    <mergeCell ref="C5:U5"/>
    <mergeCell ref="C6:U6"/>
    <mergeCell ref="C7:U7"/>
  </mergeCells>
  <printOptions horizontalCentered="1"/>
  <pageMargins left="0.19685039370078741" right="0.19685039370078741" top="0.19685039370078741" bottom="0.19685039370078741" header="0" footer="0"/>
  <pageSetup paperSize="9" scale="3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26B0A"/>
    <pageSetUpPr fitToPage="1"/>
  </sheetPr>
  <dimension ref="A1:BI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2" width="11.28515625" style="1" customWidth="1"/>
    <col min="23" max="24" width="2.7109375" style="1" customWidth="1"/>
    <col min="25" max="30" width="14.42578125" style="1" hidden="1" customWidth="1"/>
    <col min="31" max="31" width="14.85546875" style="1" hidden="1" customWidth="1"/>
    <col min="32" max="45" width="3.7109375" style="1" hidden="1" customWidth="1"/>
    <col min="46" max="61" width="5.7109375" style="1" hidden="1" customWidth="1"/>
    <col min="62" max="16384" width="14.42578125" style="1" hidden="1"/>
  </cols>
  <sheetData>
    <row r="1" spans="1:24"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c r="X1" s="41"/>
    </row>
    <row r="2" spans="1:24" ht="12" customHeight="1" x14ac:dyDescent="0.25">
      <c r="A2" s="43"/>
      <c r="B2" s="31"/>
      <c r="C2" s="32"/>
      <c r="D2" s="32"/>
      <c r="E2" s="32"/>
      <c r="F2" s="32"/>
      <c r="G2" s="32"/>
      <c r="H2" s="32"/>
      <c r="I2" s="32"/>
      <c r="J2" s="32"/>
      <c r="K2" s="32"/>
      <c r="L2" s="32"/>
      <c r="M2" s="32"/>
      <c r="N2" s="32"/>
      <c r="O2" s="32"/>
      <c r="P2" s="32"/>
      <c r="Q2" s="32"/>
      <c r="R2" s="32"/>
      <c r="S2" s="32"/>
      <c r="T2" s="32"/>
      <c r="U2" s="32"/>
      <c r="V2" s="32"/>
      <c r="W2" s="33"/>
      <c r="X2" s="42"/>
    </row>
    <row r="3" spans="1:24" s="2" customFormat="1" ht="54.95" customHeight="1" x14ac:dyDescent="0.3">
      <c r="A3" s="43"/>
      <c r="B3" s="34"/>
      <c r="C3" s="74" t="s">
        <v>19</v>
      </c>
      <c r="D3" s="74"/>
      <c r="E3" s="74"/>
      <c r="F3" s="74"/>
      <c r="G3" s="74"/>
      <c r="H3" s="74"/>
      <c r="I3" s="74"/>
      <c r="J3" s="74"/>
      <c r="K3" s="74"/>
      <c r="L3" s="74"/>
      <c r="M3" s="74"/>
      <c r="N3" s="74"/>
      <c r="O3" s="74"/>
      <c r="P3" s="74"/>
      <c r="Q3" s="74"/>
      <c r="R3" s="74"/>
      <c r="S3" s="74"/>
      <c r="T3" s="74"/>
      <c r="U3" s="74"/>
      <c r="V3" s="74"/>
      <c r="W3" s="35"/>
      <c r="X3" s="42"/>
    </row>
    <row r="4" spans="1:24" s="3" customFormat="1" ht="15" customHeight="1" x14ac:dyDescent="0.25">
      <c r="A4" s="43"/>
      <c r="B4" s="34"/>
      <c r="C4" s="75" t="s">
        <v>38</v>
      </c>
      <c r="D4" s="75"/>
      <c r="E4" s="75"/>
      <c r="F4" s="75"/>
      <c r="G4" s="75"/>
      <c r="H4" s="75"/>
      <c r="I4" s="75"/>
      <c r="J4" s="75"/>
      <c r="K4" s="75"/>
      <c r="L4" s="75"/>
      <c r="M4" s="75"/>
      <c r="N4" s="75"/>
      <c r="O4" s="75"/>
      <c r="P4" s="75"/>
      <c r="Q4" s="75"/>
      <c r="R4" s="75"/>
      <c r="S4" s="75"/>
      <c r="T4" s="75"/>
      <c r="U4" s="75"/>
      <c r="V4" s="75"/>
      <c r="W4" s="35"/>
      <c r="X4" s="42"/>
    </row>
    <row r="5" spans="1:24" s="2" customFormat="1" ht="15" customHeight="1" x14ac:dyDescent="0.25">
      <c r="A5" s="43"/>
      <c r="B5" s="34"/>
      <c r="C5" s="76" t="s">
        <v>35</v>
      </c>
      <c r="D5" s="76"/>
      <c r="E5" s="76"/>
      <c r="F5" s="76"/>
      <c r="G5" s="76"/>
      <c r="H5" s="76"/>
      <c r="I5" s="76"/>
      <c r="J5" s="76"/>
      <c r="K5" s="76"/>
      <c r="L5" s="76"/>
      <c r="M5" s="76"/>
      <c r="N5" s="76"/>
      <c r="O5" s="76"/>
      <c r="P5" s="76"/>
      <c r="Q5" s="76"/>
      <c r="R5" s="76"/>
      <c r="S5" s="76"/>
      <c r="T5" s="76"/>
      <c r="U5" s="76"/>
      <c r="V5" s="76"/>
      <c r="W5" s="35"/>
      <c r="X5" s="42"/>
    </row>
    <row r="6" spans="1:24" s="2" customFormat="1" ht="15" customHeight="1" x14ac:dyDescent="0.25">
      <c r="A6" s="43"/>
      <c r="B6" s="34"/>
      <c r="C6" s="76" t="s">
        <v>37</v>
      </c>
      <c r="D6" s="76"/>
      <c r="E6" s="76"/>
      <c r="F6" s="76"/>
      <c r="G6" s="76"/>
      <c r="H6" s="76"/>
      <c r="I6" s="76"/>
      <c r="J6" s="76"/>
      <c r="K6" s="76"/>
      <c r="L6" s="76"/>
      <c r="M6" s="76"/>
      <c r="N6" s="76"/>
      <c r="O6" s="76"/>
      <c r="P6" s="76"/>
      <c r="Q6" s="76"/>
      <c r="R6" s="76"/>
      <c r="S6" s="76"/>
      <c r="T6" s="76"/>
      <c r="U6" s="76"/>
      <c r="V6" s="76"/>
      <c r="W6" s="35"/>
      <c r="X6" s="42"/>
    </row>
    <row r="7" spans="1:24" s="2" customFormat="1" ht="15" customHeight="1" x14ac:dyDescent="0.25">
      <c r="A7" s="43"/>
      <c r="B7" s="34"/>
      <c r="C7" s="77" t="s">
        <v>36</v>
      </c>
      <c r="D7" s="77"/>
      <c r="E7" s="77"/>
      <c r="F7" s="77"/>
      <c r="G7" s="77"/>
      <c r="H7" s="77"/>
      <c r="I7" s="77"/>
      <c r="J7" s="77"/>
      <c r="K7" s="77"/>
      <c r="L7" s="77"/>
      <c r="M7" s="77"/>
      <c r="N7" s="77"/>
      <c r="O7" s="77"/>
      <c r="P7" s="77"/>
      <c r="Q7" s="77"/>
      <c r="R7" s="77"/>
      <c r="S7" s="77"/>
      <c r="T7" s="77"/>
      <c r="U7" s="77"/>
      <c r="V7" s="77"/>
      <c r="W7" s="35"/>
      <c r="X7" s="42"/>
    </row>
    <row r="8" spans="1:24" ht="15" customHeight="1" x14ac:dyDescent="0.25">
      <c r="A8" s="43"/>
      <c r="B8" s="34"/>
      <c r="C8" s="71" t="s">
        <v>0</v>
      </c>
      <c r="D8" s="73" t="s">
        <v>1</v>
      </c>
      <c r="E8" s="73" t="s">
        <v>2</v>
      </c>
      <c r="F8" s="72" t="s">
        <v>17</v>
      </c>
      <c r="G8" s="72"/>
      <c r="H8" s="72"/>
      <c r="I8" s="72"/>
      <c r="J8" s="72"/>
      <c r="K8" s="72"/>
      <c r="L8" s="72"/>
      <c r="M8" s="72"/>
      <c r="N8" s="72"/>
      <c r="O8" s="72"/>
      <c r="P8" s="72"/>
      <c r="Q8" s="72"/>
      <c r="R8" s="72"/>
      <c r="S8" s="72"/>
      <c r="T8" s="72"/>
      <c r="U8" s="72"/>
      <c r="V8" s="72"/>
      <c r="W8" s="35"/>
      <c r="X8" s="42"/>
    </row>
    <row r="9" spans="1:24" ht="125.1" customHeight="1" x14ac:dyDescent="0.25">
      <c r="A9" s="43"/>
      <c r="B9" s="34"/>
      <c r="C9" s="72"/>
      <c r="D9" s="72"/>
      <c r="E9" s="72"/>
      <c r="F9" s="53" t="s">
        <v>20</v>
      </c>
      <c r="G9" s="53" t="s">
        <v>21</v>
      </c>
      <c r="H9" s="53" t="s">
        <v>22</v>
      </c>
      <c r="I9" s="53" t="s">
        <v>23</v>
      </c>
      <c r="J9" s="53" t="s">
        <v>24</v>
      </c>
      <c r="K9" s="53" t="s">
        <v>25</v>
      </c>
      <c r="L9" s="53" t="s">
        <v>26</v>
      </c>
      <c r="M9" s="53" t="s">
        <v>27</v>
      </c>
      <c r="N9" s="53" t="s">
        <v>28</v>
      </c>
      <c r="O9" s="53" t="s">
        <v>29</v>
      </c>
      <c r="P9" s="53" t="s">
        <v>30</v>
      </c>
      <c r="Q9" s="53" t="s">
        <v>31</v>
      </c>
      <c r="R9" s="53" t="s">
        <v>32</v>
      </c>
      <c r="S9" s="53" t="s">
        <v>33</v>
      </c>
      <c r="T9" s="53" t="s">
        <v>34</v>
      </c>
      <c r="U9" s="6" t="s">
        <v>3</v>
      </c>
      <c r="V9" s="6" t="s">
        <v>39</v>
      </c>
      <c r="W9" s="35"/>
      <c r="X9" s="42"/>
    </row>
    <row r="10" spans="1:24" s="12" customFormat="1" ht="15" customHeight="1" x14ac:dyDescent="0.25">
      <c r="A10" s="43"/>
      <c r="B10" s="34"/>
      <c r="C10" s="50"/>
      <c r="D10" s="50">
        <v>1</v>
      </c>
      <c r="E10" s="51"/>
      <c r="F10" s="50"/>
      <c r="G10" s="50"/>
      <c r="H10" s="50"/>
      <c r="I10" s="50"/>
      <c r="J10" s="50"/>
      <c r="K10" s="50"/>
      <c r="L10" s="50"/>
      <c r="M10" s="50"/>
      <c r="N10" s="50"/>
      <c r="O10" s="50"/>
      <c r="P10" s="50"/>
      <c r="Q10" s="50"/>
      <c r="R10" s="50"/>
      <c r="S10" s="50"/>
      <c r="T10" s="50"/>
      <c r="U10" s="54" t="str">
        <f ca="1">IF(COUNTIF(OFFSET($E10,0,1):OFFSET(U10,0,-1),"=*")&gt;0,IF($C10="К","-"," - "),IF(COUNTIF(OFFSET($E10,0,1):OFFSET(U10,0,-1),"&lt;4")&gt;0,IF(C10="К","-"," - "),(IFERROR(AVERAGE(OFFSET($E10,0,1):OFFSET(U10,0,-1)),"Очікую"))))</f>
        <v>Очікую</v>
      </c>
      <c r="V10" s="54" t="str">
        <f ca="1">IFERROR(U10/12*90,"Очікую")</f>
        <v>Очікую</v>
      </c>
      <c r="W10" s="36"/>
      <c r="X10" s="42"/>
    </row>
    <row r="11" spans="1:24" s="12" customFormat="1" ht="15" customHeight="1" x14ac:dyDescent="0.25">
      <c r="A11" s="43"/>
      <c r="B11" s="34"/>
      <c r="C11" s="50"/>
      <c r="D11" s="50">
        <v>2</v>
      </c>
      <c r="E11" s="51"/>
      <c r="F11" s="50"/>
      <c r="G11" s="50"/>
      <c r="H11" s="50"/>
      <c r="I11" s="50"/>
      <c r="J11" s="50"/>
      <c r="K11" s="50"/>
      <c r="L11" s="50"/>
      <c r="M11" s="50"/>
      <c r="N11" s="50"/>
      <c r="O11" s="50"/>
      <c r="P11" s="50"/>
      <c r="Q11" s="50"/>
      <c r="R11" s="50"/>
      <c r="S11" s="50"/>
      <c r="T11" s="50"/>
      <c r="U11" s="54" t="str">
        <f ca="1">IF(COUNTIF(OFFSET($E11,0,1):OFFSET(U11,0,-1),"=*")&gt;0,IF($C11="К","-"," - "),IF(COUNTIF(OFFSET($E11,0,1):OFFSET(U11,0,-1),"&lt;4")&gt;0,IF(C11="К","-"," - "),(IFERROR(AVERAGE(OFFSET($E11,0,1):OFFSET(U11,0,-1)),"Очікую"))))</f>
        <v>Очікую</v>
      </c>
      <c r="V11" s="54" t="str">
        <f t="shared" ref="V11:V74" ca="1" si="0">IFERROR(U11/12*90,"Очікую")</f>
        <v>Очікую</v>
      </c>
      <c r="W11" s="36"/>
      <c r="X11" s="42"/>
    </row>
    <row r="12" spans="1:24" s="12" customFormat="1" ht="15" customHeight="1" x14ac:dyDescent="0.25">
      <c r="A12" s="43"/>
      <c r="B12" s="34"/>
      <c r="C12" s="50"/>
      <c r="D12" s="50">
        <v>3</v>
      </c>
      <c r="E12" s="51"/>
      <c r="F12" s="50"/>
      <c r="G12" s="50"/>
      <c r="H12" s="50"/>
      <c r="I12" s="50"/>
      <c r="J12" s="50"/>
      <c r="K12" s="50"/>
      <c r="L12" s="50"/>
      <c r="M12" s="50"/>
      <c r="N12" s="50"/>
      <c r="O12" s="50"/>
      <c r="P12" s="50"/>
      <c r="Q12" s="50"/>
      <c r="R12" s="50"/>
      <c r="S12" s="50"/>
      <c r="T12" s="50"/>
      <c r="U12" s="54" t="str">
        <f ca="1">IF(COUNTIF(OFFSET($E12,0,1):OFFSET(U12,0,-1),"=*")&gt;0,IF($C12="К","-"," - "),IF(COUNTIF(OFFSET($E12,0,1):OFFSET(U12,0,-1),"&lt;4")&gt;0,IF(C12="К","-"," - "),(IFERROR(AVERAGE(OFFSET($E12,0,1):OFFSET(U12,0,-1)),"Очікую"))))</f>
        <v>Очікую</v>
      </c>
      <c r="V12" s="54" t="str">
        <f t="shared" ca="1" si="0"/>
        <v>Очікую</v>
      </c>
      <c r="W12" s="36"/>
      <c r="X12" s="42"/>
    </row>
    <row r="13" spans="1:24" s="12" customFormat="1" ht="15" customHeight="1" x14ac:dyDescent="0.25">
      <c r="A13" s="43"/>
      <c r="B13" s="34"/>
      <c r="C13" s="50"/>
      <c r="D13" s="50">
        <v>4</v>
      </c>
      <c r="E13" s="51"/>
      <c r="F13" s="50"/>
      <c r="G13" s="50"/>
      <c r="H13" s="50"/>
      <c r="I13" s="50"/>
      <c r="J13" s="50"/>
      <c r="K13" s="50"/>
      <c r="L13" s="50"/>
      <c r="M13" s="50"/>
      <c r="N13" s="50"/>
      <c r="O13" s="50"/>
      <c r="P13" s="50"/>
      <c r="Q13" s="50"/>
      <c r="R13" s="50"/>
      <c r="S13" s="50"/>
      <c r="T13" s="50"/>
      <c r="U13" s="54" t="str">
        <f ca="1">IF(COUNTIF(OFFSET($E13,0,1):OFFSET(U13,0,-1),"=*")&gt;0,IF($C13="К","-"," - "),IF(COUNTIF(OFFSET($E13,0,1):OFFSET(U13,0,-1),"&lt;4")&gt;0,IF(C13="К","-"," - "),(IFERROR(AVERAGE(OFFSET($E13,0,1):OFFSET(U13,0,-1)),"Очікую"))))</f>
        <v>Очікую</v>
      </c>
      <c r="V13" s="54" t="str">
        <f t="shared" ca="1" si="0"/>
        <v>Очікую</v>
      </c>
      <c r="W13" s="36"/>
      <c r="X13" s="42"/>
    </row>
    <row r="14" spans="1:24" s="12" customFormat="1" ht="15" customHeight="1" x14ac:dyDescent="0.25">
      <c r="A14" s="43"/>
      <c r="B14" s="34"/>
      <c r="C14" s="50"/>
      <c r="D14" s="50">
        <v>5</v>
      </c>
      <c r="E14" s="51"/>
      <c r="F14" s="50"/>
      <c r="G14" s="50"/>
      <c r="H14" s="50"/>
      <c r="I14" s="50"/>
      <c r="J14" s="50"/>
      <c r="K14" s="50"/>
      <c r="L14" s="50"/>
      <c r="M14" s="50"/>
      <c r="N14" s="50"/>
      <c r="O14" s="50"/>
      <c r="P14" s="50"/>
      <c r="Q14" s="50"/>
      <c r="R14" s="50"/>
      <c r="S14" s="50"/>
      <c r="T14" s="50"/>
      <c r="U14" s="54" t="str">
        <f ca="1">IF(COUNTIF(OFFSET($E14,0,1):OFFSET(U14,0,-1),"=*")&gt;0,IF($C14="К","-"," - "),IF(COUNTIF(OFFSET($E14,0,1):OFFSET(U14,0,-1),"&lt;4")&gt;0,IF(C14="К","-"," - "),(IFERROR(AVERAGE(OFFSET($E14,0,1):OFFSET(U14,0,-1)),"Очікую"))))</f>
        <v>Очікую</v>
      </c>
      <c r="V14" s="54" t="str">
        <f t="shared" ca="1" si="0"/>
        <v>Очікую</v>
      </c>
      <c r="W14" s="36"/>
      <c r="X14" s="42"/>
    </row>
    <row r="15" spans="1:24" s="12" customFormat="1" ht="15" customHeight="1" x14ac:dyDescent="0.25">
      <c r="A15" s="43"/>
      <c r="B15" s="34"/>
      <c r="C15" s="50"/>
      <c r="D15" s="50">
        <v>6</v>
      </c>
      <c r="E15" s="51"/>
      <c r="F15" s="50"/>
      <c r="G15" s="50"/>
      <c r="H15" s="50"/>
      <c r="I15" s="50"/>
      <c r="J15" s="50"/>
      <c r="K15" s="50"/>
      <c r="L15" s="50"/>
      <c r="M15" s="50"/>
      <c r="N15" s="50"/>
      <c r="O15" s="50"/>
      <c r="P15" s="50"/>
      <c r="Q15" s="50"/>
      <c r="R15" s="50"/>
      <c r="S15" s="50"/>
      <c r="T15" s="50"/>
      <c r="U15" s="54" t="str">
        <f ca="1">IF(COUNTIF(OFFSET($E15,0,1):OFFSET(U15,0,-1),"=*")&gt;0,IF($C15="К","-"," - "),IF(COUNTIF(OFFSET($E15,0,1):OFFSET(U15,0,-1),"&lt;4")&gt;0,IF(C15="К","-"," - "),(IFERROR(AVERAGE(OFFSET($E15,0,1):OFFSET(U15,0,-1)),"Очікую"))))</f>
        <v>Очікую</v>
      </c>
      <c r="V15" s="54" t="str">
        <f t="shared" ca="1" si="0"/>
        <v>Очікую</v>
      </c>
      <c r="W15" s="36"/>
      <c r="X15" s="42"/>
    </row>
    <row r="16" spans="1:24" s="12" customFormat="1" ht="15" customHeight="1" x14ac:dyDescent="0.25">
      <c r="A16" s="43"/>
      <c r="B16" s="34"/>
      <c r="C16" s="50"/>
      <c r="D16" s="50">
        <v>7</v>
      </c>
      <c r="E16" s="51"/>
      <c r="F16" s="50"/>
      <c r="G16" s="50"/>
      <c r="H16" s="50"/>
      <c r="I16" s="50"/>
      <c r="J16" s="50"/>
      <c r="K16" s="50"/>
      <c r="L16" s="50"/>
      <c r="M16" s="50"/>
      <c r="N16" s="50"/>
      <c r="O16" s="50"/>
      <c r="P16" s="50"/>
      <c r="Q16" s="50"/>
      <c r="R16" s="50"/>
      <c r="S16" s="50"/>
      <c r="T16" s="50"/>
      <c r="U16" s="54" t="str">
        <f ca="1">IF(COUNTIF(OFFSET($E16,0,1):OFFSET(U16,0,-1),"=*")&gt;0,IF($C16="К","-"," - "),IF(COUNTIF(OFFSET($E16,0,1):OFFSET(U16,0,-1),"&lt;4")&gt;0,IF(C16="К","-"," - "),(IFERROR(AVERAGE(OFFSET($E16,0,1):OFFSET(U16,0,-1)),"Очікую"))))</f>
        <v>Очікую</v>
      </c>
      <c r="V16" s="54" t="str">
        <f t="shared" ca="1" si="0"/>
        <v>Очікую</v>
      </c>
      <c r="W16" s="36"/>
      <c r="X16" s="42"/>
    </row>
    <row r="17" spans="1:24" s="12" customFormat="1" ht="15" customHeight="1" x14ac:dyDescent="0.25">
      <c r="A17" s="43"/>
      <c r="B17" s="34"/>
      <c r="C17" s="50"/>
      <c r="D17" s="50">
        <v>8</v>
      </c>
      <c r="E17" s="51"/>
      <c r="F17" s="50"/>
      <c r="G17" s="50"/>
      <c r="H17" s="50"/>
      <c r="I17" s="50"/>
      <c r="J17" s="50"/>
      <c r="K17" s="50"/>
      <c r="L17" s="50"/>
      <c r="M17" s="50"/>
      <c r="N17" s="50"/>
      <c r="O17" s="50"/>
      <c r="P17" s="50"/>
      <c r="Q17" s="50"/>
      <c r="R17" s="50"/>
      <c r="S17" s="50"/>
      <c r="T17" s="50"/>
      <c r="U17" s="54" t="str">
        <f ca="1">IF(COUNTIF(OFFSET($E17,0,1):OFFSET(U17,0,-1),"=*")&gt;0,IF($C17="К","-"," - "),IF(COUNTIF(OFFSET($E17,0,1):OFFSET(U17,0,-1),"&lt;4")&gt;0,IF(C17="К","-"," - "),(IFERROR(AVERAGE(OFFSET($E17,0,1):OFFSET(U17,0,-1)),"Очікую"))))</f>
        <v>Очікую</v>
      </c>
      <c r="V17" s="54" t="str">
        <f t="shared" ca="1" si="0"/>
        <v>Очікую</v>
      </c>
      <c r="W17" s="36"/>
      <c r="X17" s="42"/>
    </row>
    <row r="18" spans="1:24" s="12" customFormat="1" ht="15" customHeight="1" x14ac:dyDescent="0.25">
      <c r="A18" s="43"/>
      <c r="B18" s="34"/>
      <c r="C18" s="50"/>
      <c r="D18" s="50">
        <v>9</v>
      </c>
      <c r="E18" s="51"/>
      <c r="F18" s="50"/>
      <c r="G18" s="50"/>
      <c r="H18" s="50"/>
      <c r="I18" s="50"/>
      <c r="J18" s="50"/>
      <c r="K18" s="50"/>
      <c r="L18" s="50"/>
      <c r="M18" s="50"/>
      <c r="N18" s="50"/>
      <c r="O18" s="50"/>
      <c r="P18" s="50"/>
      <c r="Q18" s="50"/>
      <c r="R18" s="50"/>
      <c r="S18" s="50"/>
      <c r="T18" s="50"/>
      <c r="U18" s="54" t="str">
        <f ca="1">IF(COUNTIF(OFFSET($E18,0,1):OFFSET(U18,0,-1),"=*")&gt;0,IF($C18="К","-"," - "),IF(COUNTIF(OFFSET($E18,0,1):OFFSET(U18,0,-1),"&lt;4")&gt;0,IF(C18="К","-"," - "),(IFERROR(AVERAGE(OFFSET($E18,0,1):OFFSET(U18,0,-1)),"Очікую"))))</f>
        <v>Очікую</v>
      </c>
      <c r="V18" s="54" t="str">
        <f t="shared" ca="1" si="0"/>
        <v>Очікую</v>
      </c>
      <c r="W18" s="36"/>
      <c r="X18" s="42"/>
    </row>
    <row r="19" spans="1:24" s="12" customFormat="1" ht="15" customHeight="1" x14ac:dyDescent="0.25">
      <c r="A19" s="43"/>
      <c r="B19" s="34"/>
      <c r="C19" s="50"/>
      <c r="D19" s="50">
        <v>10</v>
      </c>
      <c r="E19" s="51"/>
      <c r="F19" s="50"/>
      <c r="G19" s="50"/>
      <c r="H19" s="50"/>
      <c r="I19" s="50"/>
      <c r="J19" s="50"/>
      <c r="K19" s="50"/>
      <c r="L19" s="50"/>
      <c r="M19" s="50"/>
      <c r="N19" s="50"/>
      <c r="O19" s="50"/>
      <c r="P19" s="50"/>
      <c r="Q19" s="50"/>
      <c r="R19" s="50"/>
      <c r="S19" s="50"/>
      <c r="T19" s="50"/>
      <c r="U19" s="54" t="str">
        <f ca="1">IF(COUNTIF(OFFSET($E19,0,1):OFFSET(U19,0,-1),"=*")&gt;0,IF($C19="К","-"," - "),IF(COUNTIF(OFFSET($E19,0,1):OFFSET(U19,0,-1),"&lt;4")&gt;0,IF(C19="К","-"," - "),(IFERROR(AVERAGE(OFFSET($E19,0,1):OFFSET(U19,0,-1)),"Очікую"))))</f>
        <v>Очікую</v>
      </c>
      <c r="V19" s="54" t="str">
        <f t="shared" ca="1" si="0"/>
        <v>Очікую</v>
      </c>
      <c r="W19" s="36"/>
      <c r="X19" s="42"/>
    </row>
    <row r="20" spans="1:24" s="12" customFormat="1" ht="15" customHeight="1" x14ac:dyDescent="0.25">
      <c r="A20" s="43"/>
      <c r="B20" s="34"/>
      <c r="C20" s="50"/>
      <c r="D20" s="50">
        <v>11</v>
      </c>
      <c r="E20" s="51"/>
      <c r="F20" s="50"/>
      <c r="G20" s="50"/>
      <c r="H20" s="50"/>
      <c r="I20" s="50"/>
      <c r="J20" s="50"/>
      <c r="K20" s="50"/>
      <c r="L20" s="50"/>
      <c r="M20" s="50"/>
      <c r="N20" s="50"/>
      <c r="O20" s="50"/>
      <c r="P20" s="50"/>
      <c r="Q20" s="50"/>
      <c r="R20" s="50"/>
      <c r="S20" s="50"/>
      <c r="T20" s="50"/>
      <c r="U20" s="54" t="str">
        <f ca="1">IF(COUNTIF(OFFSET($E20,0,1):OFFSET(U20,0,-1),"=*")&gt;0,IF($C20="К","-"," - "),IF(COUNTIF(OFFSET($E20,0,1):OFFSET(U20,0,-1),"&lt;4")&gt;0,IF(C20="К","-"," - "),(IFERROR(AVERAGE(OFFSET($E20,0,1):OFFSET(U20,0,-1)),"Очікую"))))</f>
        <v>Очікую</v>
      </c>
      <c r="V20" s="54" t="str">
        <f t="shared" ca="1" si="0"/>
        <v>Очікую</v>
      </c>
      <c r="W20" s="36"/>
      <c r="X20" s="42"/>
    </row>
    <row r="21" spans="1:24" s="12" customFormat="1" ht="15" customHeight="1" x14ac:dyDescent="0.25">
      <c r="A21" s="43"/>
      <c r="B21" s="34"/>
      <c r="C21" s="50"/>
      <c r="D21" s="50">
        <v>12</v>
      </c>
      <c r="E21" s="51"/>
      <c r="F21" s="50"/>
      <c r="G21" s="50"/>
      <c r="H21" s="50"/>
      <c r="I21" s="50"/>
      <c r="J21" s="50"/>
      <c r="K21" s="50"/>
      <c r="L21" s="50"/>
      <c r="M21" s="50"/>
      <c r="N21" s="50"/>
      <c r="O21" s="50"/>
      <c r="P21" s="50"/>
      <c r="Q21" s="50"/>
      <c r="R21" s="50"/>
      <c r="S21" s="50"/>
      <c r="T21" s="50"/>
      <c r="U21" s="54" t="str">
        <f ca="1">IF(COUNTIF(OFFSET($E21,0,1):OFFSET(U21,0,-1),"=*")&gt;0,IF($C21="К","-"," - "),IF(COUNTIF(OFFSET($E21,0,1):OFFSET(U21,0,-1),"&lt;4")&gt;0,IF(C21="К","-"," - "),(IFERROR(AVERAGE(OFFSET($E21,0,1):OFFSET(U21,0,-1)),"Очікую"))))</f>
        <v>Очікую</v>
      </c>
      <c r="V21" s="54" t="str">
        <f t="shared" ca="1" si="0"/>
        <v>Очікую</v>
      </c>
      <c r="W21" s="36"/>
      <c r="X21" s="42"/>
    </row>
    <row r="22" spans="1:24" s="12" customFormat="1" ht="15" customHeight="1" x14ac:dyDescent="0.25">
      <c r="A22" s="43"/>
      <c r="B22" s="34"/>
      <c r="C22" s="50"/>
      <c r="D22" s="50">
        <v>13</v>
      </c>
      <c r="E22" s="51"/>
      <c r="F22" s="50"/>
      <c r="G22" s="50"/>
      <c r="H22" s="50"/>
      <c r="I22" s="50"/>
      <c r="J22" s="50"/>
      <c r="K22" s="50"/>
      <c r="L22" s="50"/>
      <c r="M22" s="50"/>
      <c r="N22" s="50"/>
      <c r="O22" s="50"/>
      <c r="P22" s="50"/>
      <c r="Q22" s="50"/>
      <c r="R22" s="50"/>
      <c r="S22" s="50"/>
      <c r="T22" s="50"/>
      <c r="U22" s="54" t="str">
        <f ca="1">IF(COUNTIF(OFFSET($E22,0,1):OFFSET(U22,0,-1),"=*")&gt;0,IF($C22="К","-"," - "),IF(COUNTIF(OFFSET($E22,0,1):OFFSET(U22,0,-1),"&lt;4")&gt;0,IF(C22="К","-"," - "),(IFERROR(AVERAGE(OFFSET($E22,0,1):OFFSET(U22,0,-1)),"Очікую"))))</f>
        <v>Очікую</v>
      </c>
      <c r="V22" s="54" t="str">
        <f t="shared" ca="1" si="0"/>
        <v>Очікую</v>
      </c>
      <c r="W22" s="36"/>
      <c r="X22" s="42"/>
    </row>
    <row r="23" spans="1:24" s="12" customFormat="1" ht="15" customHeight="1" x14ac:dyDescent="0.25">
      <c r="A23" s="43"/>
      <c r="B23" s="34"/>
      <c r="C23" s="50"/>
      <c r="D23" s="50">
        <v>14</v>
      </c>
      <c r="E23" s="51"/>
      <c r="F23" s="50"/>
      <c r="G23" s="50"/>
      <c r="H23" s="50"/>
      <c r="I23" s="50"/>
      <c r="J23" s="50"/>
      <c r="K23" s="50"/>
      <c r="L23" s="50"/>
      <c r="M23" s="50"/>
      <c r="N23" s="50"/>
      <c r="O23" s="50"/>
      <c r="P23" s="50"/>
      <c r="Q23" s="50"/>
      <c r="R23" s="50"/>
      <c r="S23" s="50"/>
      <c r="T23" s="50"/>
      <c r="U23" s="54" t="str">
        <f ca="1">IF(COUNTIF(OFFSET($E23,0,1):OFFSET(U23,0,-1),"=*")&gt;0,IF($C23="К","-"," - "),IF(COUNTIF(OFFSET($E23,0,1):OFFSET(U23,0,-1),"&lt;4")&gt;0,IF(C23="К","-"," - "),(IFERROR(AVERAGE(OFFSET($E23,0,1):OFFSET(U23,0,-1)),"Очікую"))))</f>
        <v>Очікую</v>
      </c>
      <c r="V23" s="54" t="str">
        <f t="shared" ca="1" si="0"/>
        <v>Очікую</v>
      </c>
      <c r="W23" s="36"/>
      <c r="X23" s="42"/>
    </row>
    <row r="24" spans="1:24" s="12" customFormat="1" ht="15" customHeight="1" x14ac:dyDescent="0.25">
      <c r="A24" s="43"/>
      <c r="B24" s="34"/>
      <c r="C24" s="50"/>
      <c r="D24" s="50">
        <v>15</v>
      </c>
      <c r="E24" s="51"/>
      <c r="F24" s="50"/>
      <c r="G24" s="50"/>
      <c r="H24" s="50"/>
      <c r="I24" s="50"/>
      <c r="J24" s="50"/>
      <c r="K24" s="50"/>
      <c r="L24" s="50"/>
      <c r="M24" s="50"/>
      <c r="N24" s="50"/>
      <c r="O24" s="50"/>
      <c r="P24" s="50"/>
      <c r="Q24" s="50"/>
      <c r="R24" s="50"/>
      <c r="S24" s="50"/>
      <c r="T24" s="50"/>
      <c r="U24" s="54" t="str">
        <f ca="1">IF(COUNTIF(OFFSET($E24,0,1):OFFSET(U24,0,-1),"=*")&gt;0,IF($C24="К","-"," - "),IF(COUNTIF(OFFSET($E24,0,1):OFFSET(U24,0,-1),"&lt;4")&gt;0,IF(C24="К","-"," - "),(IFERROR(AVERAGE(OFFSET($E24,0,1):OFFSET(U24,0,-1)),"Очікую"))))</f>
        <v>Очікую</v>
      </c>
      <c r="V24" s="54" t="str">
        <f t="shared" ca="1" si="0"/>
        <v>Очікую</v>
      </c>
      <c r="W24" s="36"/>
      <c r="X24" s="42"/>
    </row>
    <row r="25" spans="1:24" s="12" customFormat="1" ht="15" customHeight="1" x14ac:dyDescent="0.25">
      <c r="A25" s="43"/>
      <c r="B25" s="34"/>
      <c r="C25" s="50"/>
      <c r="D25" s="50">
        <v>16</v>
      </c>
      <c r="E25" s="51"/>
      <c r="F25" s="50"/>
      <c r="G25" s="50"/>
      <c r="H25" s="50"/>
      <c r="I25" s="50"/>
      <c r="J25" s="50"/>
      <c r="K25" s="50"/>
      <c r="L25" s="50"/>
      <c r="M25" s="50"/>
      <c r="N25" s="50"/>
      <c r="O25" s="50"/>
      <c r="P25" s="50"/>
      <c r="Q25" s="50"/>
      <c r="R25" s="50"/>
      <c r="S25" s="50"/>
      <c r="T25" s="50"/>
      <c r="U25" s="54" t="str">
        <f ca="1">IF(COUNTIF(OFFSET($E25,0,1):OFFSET(U25,0,-1),"=*")&gt;0,IF($C25="К","-"," - "),IF(COUNTIF(OFFSET($E25,0,1):OFFSET(U25,0,-1),"&lt;4")&gt;0,IF(C25="К","-"," - "),(IFERROR(AVERAGE(OFFSET($E25,0,1):OFFSET(U25,0,-1)),"Очікую"))))</f>
        <v>Очікую</v>
      </c>
      <c r="V25" s="54" t="str">
        <f t="shared" ca="1" si="0"/>
        <v>Очікую</v>
      </c>
      <c r="W25" s="36"/>
      <c r="X25" s="42"/>
    </row>
    <row r="26" spans="1:24" s="12" customFormat="1" ht="15" customHeight="1" x14ac:dyDescent="0.25">
      <c r="A26" s="43"/>
      <c r="B26" s="34"/>
      <c r="C26" s="50"/>
      <c r="D26" s="50">
        <v>17</v>
      </c>
      <c r="E26" s="51"/>
      <c r="F26" s="50"/>
      <c r="G26" s="50"/>
      <c r="H26" s="50"/>
      <c r="I26" s="50"/>
      <c r="J26" s="50"/>
      <c r="K26" s="50"/>
      <c r="L26" s="50"/>
      <c r="M26" s="50"/>
      <c r="N26" s="50"/>
      <c r="O26" s="50"/>
      <c r="P26" s="50"/>
      <c r="Q26" s="50"/>
      <c r="R26" s="50"/>
      <c r="S26" s="50"/>
      <c r="T26" s="50"/>
      <c r="U26" s="54" t="str">
        <f ca="1">IF(COUNTIF(OFFSET($E26,0,1):OFFSET(U26,0,-1),"=*")&gt;0,IF($C26="К","-"," - "),IF(COUNTIF(OFFSET($E26,0,1):OFFSET(U26,0,-1),"&lt;4")&gt;0,IF(C26="К","-"," - "),(IFERROR(AVERAGE(OFFSET($E26,0,1):OFFSET(U26,0,-1)),"Очікую"))))</f>
        <v>Очікую</v>
      </c>
      <c r="V26" s="54" t="str">
        <f t="shared" ca="1" si="0"/>
        <v>Очікую</v>
      </c>
      <c r="W26" s="36"/>
      <c r="X26" s="42"/>
    </row>
    <row r="27" spans="1:24" s="12" customFormat="1" ht="15" customHeight="1" x14ac:dyDescent="0.25">
      <c r="A27" s="43"/>
      <c r="B27" s="34"/>
      <c r="C27" s="50"/>
      <c r="D27" s="50">
        <v>18</v>
      </c>
      <c r="E27" s="51"/>
      <c r="F27" s="50"/>
      <c r="G27" s="50"/>
      <c r="H27" s="50"/>
      <c r="I27" s="50"/>
      <c r="J27" s="50"/>
      <c r="K27" s="50"/>
      <c r="L27" s="50"/>
      <c r="M27" s="50"/>
      <c r="N27" s="50"/>
      <c r="O27" s="50"/>
      <c r="P27" s="50"/>
      <c r="Q27" s="50"/>
      <c r="R27" s="50"/>
      <c r="S27" s="50"/>
      <c r="T27" s="50"/>
      <c r="U27" s="54" t="str">
        <f ca="1">IF(COUNTIF(OFFSET($E27,0,1):OFFSET(U27,0,-1),"=*")&gt;0,IF($C27="К","-"," - "),IF(COUNTIF(OFFSET($E27,0,1):OFFSET(U27,0,-1),"&lt;4")&gt;0,IF(C27="К","-"," - "),(IFERROR(AVERAGE(OFFSET($E27,0,1):OFFSET(U27,0,-1)),"Очікую"))))</f>
        <v>Очікую</v>
      </c>
      <c r="V27" s="54" t="str">
        <f t="shared" ca="1" si="0"/>
        <v>Очікую</v>
      </c>
      <c r="W27" s="36"/>
      <c r="X27" s="42"/>
    </row>
    <row r="28" spans="1:24" s="12" customFormat="1" ht="15" customHeight="1" x14ac:dyDescent="0.25">
      <c r="A28" s="43"/>
      <c r="B28" s="34"/>
      <c r="C28" s="50"/>
      <c r="D28" s="50">
        <v>19</v>
      </c>
      <c r="E28" s="51"/>
      <c r="F28" s="50"/>
      <c r="G28" s="50"/>
      <c r="H28" s="50"/>
      <c r="I28" s="50"/>
      <c r="J28" s="50"/>
      <c r="K28" s="50"/>
      <c r="L28" s="50"/>
      <c r="M28" s="50"/>
      <c r="N28" s="50"/>
      <c r="O28" s="50"/>
      <c r="P28" s="50"/>
      <c r="Q28" s="50"/>
      <c r="R28" s="50"/>
      <c r="S28" s="50"/>
      <c r="T28" s="50"/>
      <c r="U28" s="54" t="str">
        <f ca="1">IF(COUNTIF(OFFSET($E28,0,1):OFFSET(U28,0,-1),"=*")&gt;0,IF($C28="К","-"," - "),IF(COUNTIF(OFFSET($E28,0,1):OFFSET(U28,0,-1),"&lt;4")&gt;0,IF(C28="К","-"," - "),(IFERROR(AVERAGE(OFFSET($E28,0,1):OFFSET(U28,0,-1)),"Очікую"))))</f>
        <v>Очікую</v>
      </c>
      <c r="V28" s="54" t="str">
        <f t="shared" ca="1" si="0"/>
        <v>Очікую</v>
      </c>
      <c r="W28" s="36"/>
      <c r="X28" s="42"/>
    </row>
    <row r="29" spans="1:24" s="12" customFormat="1" ht="15" customHeight="1" x14ac:dyDescent="0.25">
      <c r="A29" s="43"/>
      <c r="B29" s="34"/>
      <c r="C29" s="50"/>
      <c r="D29" s="50">
        <v>20</v>
      </c>
      <c r="E29" s="51"/>
      <c r="F29" s="50"/>
      <c r="G29" s="50"/>
      <c r="H29" s="50"/>
      <c r="I29" s="50"/>
      <c r="J29" s="50"/>
      <c r="K29" s="50"/>
      <c r="L29" s="50"/>
      <c r="M29" s="50"/>
      <c r="N29" s="50"/>
      <c r="O29" s="50"/>
      <c r="P29" s="50"/>
      <c r="Q29" s="50"/>
      <c r="R29" s="50"/>
      <c r="S29" s="50"/>
      <c r="T29" s="50"/>
      <c r="U29" s="54" t="str">
        <f ca="1">IF(COUNTIF(OFFSET($E29,0,1):OFFSET(U29,0,-1),"=*")&gt;0,IF($C29="К","-"," - "),IF(COUNTIF(OFFSET($E29,0,1):OFFSET(U29,0,-1),"&lt;4")&gt;0,IF(C29="К","-"," - "),(IFERROR(AVERAGE(OFFSET($E29,0,1):OFFSET(U29,0,-1)),"Очікую"))))</f>
        <v>Очікую</v>
      </c>
      <c r="V29" s="54" t="str">
        <f t="shared" ca="1" si="0"/>
        <v>Очікую</v>
      </c>
      <c r="W29" s="36"/>
      <c r="X29" s="42"/>
    </row>
    <row r="30" spans="1:24" s="12" customFormat="1" ht="15" customHeight="1" x14ac:dyDescent="0.25">
      <c r="A30" s="43"/>
      <c r="B30" s="34"/>
      <c r="C30" s="50"/>
      <c r="D30" s="50">
        <v>21</v>
      </c>
      <c r="E30" s="51"/>
      <c r="F30" s="50"/>
      <c r="G30" s="50"/>
      <c r="H30" s="50"/>
      <c r="I30" s="50"/>
      <c r="J30" s="50"/>
      <c r="K30" s="50"/>
      <c r="L30" s="50"/>
      <c r="M30" s="50"/>
      <c r="N30" s="50"/>
      <c r="O30" s="50"/>
      <c r="P30" s="50"/>
      <c r="Q30" s="50"/>
      <c r="R30" s="50"/>
      <c r="S30" s="50"/>
      <c r="T30" s="50"/>
      <c r="U30" s="54" t="str">
        <f ca="1">IF(COUNTIF(OFFSET($E30,0,1):OFFSET(U30,0,-1),"=*")&gt;0,IF($C30="К","-"," - "),IF(COUNTIF(OFFSET($E30,0,1):OFFSET(U30,0,-1),"&lt;4")&gt;0,IF(C30="К","-"," - "),(IFERROR(AVERAGE(OFFSET($E30,0,1):OFFSET(U30,0,-1)),"Очікую"))))</f>
        <v>Очікую</v>
      </c>
      <c r="V30" s="54" t="str">
        <f t="shared" ca="1" si="0"/>
        <v>Очікую</v>
      </c>
      <c r="W30" s="36"/>
      <c r="X30" s="42"/>
    </row>
    <row r="31" spans="1:24" s="12" customFormat="1" ht="15" customHeight="1" x14ac:dyDescent="0.25">
      <c r="A31" s="43"/>
      <c r="B31" s="34"/>
      <c r="C31" s="50"/>
      <c r="D31" s="50">
        <v>22</v>
      </c>
      <c r="E31" s="51"/>
      <c r="F31" s="50"/>
      <c r="G31" s="50"/>
      <c r="H31" s="50"/>
      <c r="I31" s="50"/>
      <c r="J31" s="50"/>
      <c r="K31" s="50"/>
      <c r="L31" s="50"/>
      <c r="M31" s="50"/>
      <c r="N31" s="50"/>
      <c r="O31" s="50"/>
      <c r="P31" s="50"/>
      <c r="Q31" s="50"/>
      <c r="R31" s="50"/>
      <c r="S31" s="50"/>
      <c r="T31" s="50"/>
      <c r="U31" s="54" t="str">
        <f ca="1">IF(COUNTIF(OFFSET($E31,0,1):OFFSET(U31,0,-1),"=*")&gt;0,IF($C31="К","-"," - "),IF(COUNTIF(OFFSET($E31,0,1):OFFSET(U31,0,-1),"&lt;4")&gt;0,IF(C31="К","-"," - "),(IFERROR(AVERAGE(OFFSET($E31,0,1):OFFSET(U31,0,-1)),"Очікую"))))</f>
        <v>Очікую</v>
      </c>
      <c r="V31" s="54" t="str">
        <f t="shared" ca="1" si="0"/>
        <v>Очікую</v>
      </c>
      <c r="W31" s="36"/>
      <c r="X31" s="42"/>
    </row>
    <row r="32" spans="1:24" s="12" customFormat="1" ht="15" customHeight="1" x14ac:dyDescent="0.25">
      <c r="A32" s="43"/>
      <c r="B32" s="34"/>
      <c r="C32" s="50"/>
      <c r="D32" s="50">
        <v>23</v>
      </c>
      <c r="E32" s="51"/>
      <c r="F32" s="50"/>
      <c r="G32" s="50"/>
      <c r="H32" s="50"/>
      <c r="I32" s="50"/>
      <c r="J32" s="50"/>
      <c r="K32" s="50"/>
      <c r="L32" s="50"/>
      <c r="M32" s="50"/>
      <c r="N32" s="50"/>
      <c r="O32" s="50"/>
      <c r="P32" s="50"/>
      <c r="Q32" s="50"/>
      <c r="R32" s="50"/>
      <c r="S32" s="50"/>
      <c r="T32" s="50"/>
      <c r="U32" s="54" t="str">
        <f ca="1">IF(COUNTIF(OFFSET($E32,0,1):OFFSET(U32,0,-1),"=*")&gt;0,IF($C32="К","-"," - "),IF(COUNTIF(OFFSET($E32,0,1):OFFSET(U32,0,-1),"&lt;4")&gt;0,IF(C32="К","-"," - "),(IFERROR(AVERAGE(OFFSET($E32,0,1):OFFSET(U32,0,-1)),"Очікую"))))</f>
        <v>Очікую</v>
      </c>
      <c r="V32" s="54" t="str">
        <f t="shared" ca="1" si="0"/>
        <v>Очікую</v>
      </c>
      <c r="W32" s="36"/>
      <c r="X32" s="42"/>
    </row>
    <row r="33" spans="1:24" s="12" customFormat="1" ht="15" customHeight="1" x14ac:dyDescent="0.25">
      <c r="A33" s="43"/>
      <c r="B33" s="34"/>
      <c r="C33" s="50"/>
      <c r="D33" s="50">
        <v>24</v>
      </c>
      <c r="E33" s="51"/>
      <c r="F33" s="50"/>
      <c r="G33" s="50"/>
      <c r="H33" s="50"/>
      <c r="I33" s="50"/>
      <c r="J33" s="50"/>
      <c r="K33" s="50"/>
      <c r="L33" s="50"/>
      <c r="M33" s="50"/>
      <c r="N33" s="50"/>
      <c r="O33" s="50"/>
      <c r="P33" s="50"/>
      <c r="Q33" s="50"/>
      <c r="R33" s="50"/>
      <c r="S33" s="50"/>
      <c r="T33" s="50"/>
      <c r="U33" s="54" t="str">
        <f ca="1">IF(COUNTIF(OFFSET($E33,0,1):OFFSET(U33,0,-1),"=*")&gt;0,IF($C33="К","-"," - "),IF(COUNTIF(OFFSET($E33,0,1):OFFSET(U33,0,-1),"&lt;4")&gt;0,IF(C33="К","-"," - "),(IFERROR(AVERAGE(OFFSET($E33,0,1):OFFSET(U33,0,-1)),"Очікую"))))</f>
        <v>Очікую</v>
      </c>
      <c r="V33" s="54" t="str">
        <f t="shared" ca="1" si="0"/>
        <v>Очікую</v>
      </c>
      <c r="W33" s="36"/>
      <c r="X33" s="42"/>
    </row>
    <row r="34" spans="1:24" s="12" customFormat="1" ht="15" customHeight="1" x14ac:dyDescent="0.25">
      <c r="A34" s="43"/>
      <c r="B34" s="34"/>
      <c r="C34" s="50"/>
      <c r="D34" s="50">
        <v>25</v>
      </c>
      <c r="E34" s="51"/>
      <c r="F34" s="50"/>
      <c r="G34" s="50"/>
      <c r="H34" s="50"/>
      <c r="I34" s="50"/>
      <c r="J34" s="50"/>
      <c r="K34" s="50"/>
      <c r="L34" s="50"/>
      <c r="M34" s="50"/>
      <c r="N34" s="50"/>
      <c r="O34" s="50"/>
      <c r="P34" s="50"/>
      <c r="Q34" s="50"/>
      <c r="R34" s="50"/>
      <c r="S34" s="50"/>
      <c r="T34" s="50"/>
      <c r="U34" s="54" t="str">
        <f ca="1">IF(COUNTIF(OFFSET($E34,0,1):OFFSET(U34,0,-1),"=*")&gt;0,IF($C34="К","-"," - "),IF(COUNTIF(OFFSET($E34,0,1):OFFSET(U34,0,-1),"&lt;4")&gt;0,IF(C34="К","-"," - "),(IFERROR(AVERAGE(OFFSET($E34,0,1):OFFSET(U34,0,-1)),"Очікую"))))</f>
        <v>Очікую</v>
      </c>
      <c r="V34" s="54" t="str">
        <f t="shared" ca="1" si="0"/>
        <v>Очікую</v>
      </c>
      <c r="W34" s="36"/>
      <c r="X34" s="42"/>
    </row>
    <row r="35" spans="1:24" s="12" customFormat="1" ht="15" customHeight="1" x14ac:dyDescent="0.25">
      <c r="A35" s="43"/>
      <c r="B35" s="34"/>
      <c r="C35" s="50"/>
      <c r="D35" s="50">
        <v>26</v>
      </c>
      <c r="E35" s="51"/>
      <c r="F35" s="50"/>
      <c r="G35" s="50"/>
      <c r="H35" s="50"/>
      <c r="I35" s="50"/>
      <c r="J35" s="50"/>
      <c r="K35" s="50"/>
      <c r="L35" s="50"/>
      <c r="M35" s="50"/>
      <c r="N35" s="50"/>
      <c r="O35" s="50"/>
      <c r="P35" s="50"/>
      <c r="Q35" s="50"/>
      <c r="R35" s="50"/>
      <c r="S35" s="50"/>
      <c r="T35" s="50"/>
      <c r="U35" s="54" t="str">
        <f ca="1">IF(COUNTIF(OFFSET($E35,0,1):OFFSET(U35,0,-1),"=*")&gt;0,IF($C35="К","-"," - "),IF(COUNTIF(OFFSET($E35,0,1):OFFSET(U35,0,-1),"&lt;4")&gt;0,IF(C35="К","-"," - "),(IFERROR(AVERAGE(OFFSET($E35,0,1):OFFSET(U35,0,-1)),"Очікую"))))</f>
        <v>Очікую</v>
      </c>
      <c r="V35" s="54" t="str">
        <f t="shared" ca="1" si="0"/>
        <v>Очікую</v>
      </c>
      <c r="W35" s="36"/>
      <c r="X35" s="42"/>
    </row>
    <row r="36" spans="1:24" s="12" customFormat="1" ht="15" customHeight="1" x14ac:dyDescent="0.25">
      <c r="A36" s="43"/>
      <c r="B36" s="34"/>
      <c r="C36" s="50"/>
      <c r="D36" s="50">
        <v>27</v>
      </c>
      <c r="E36" s="51"/>
      <c r="F36" s="50"/>
      <c r="G36" s="50"/>
      <c r="H36" s="50"/>
      <c r="I36" s="50"/>
      <c r="J36" s="50"/>
      <c r="K36" s="50"/>
      <c r="L36" s="50"/>
      <c r="M36" s="50"/>
      <c r="N36" s="50"/>
      <c r="O36" s="50"/>
      <c r="P36" s="50"/>
      <c r="Q36" s="50"/>
      <c r="R36" s="50"/>
      <c r="S36" s="50"/>
      <c r="T36" s="50"/>
      <c r="U36" s="54" t="str">
        <f ca="1">IF(COUNTIF(OFFSET($E36,0,1):OFFSET(U36,0,-1),"=*")&gt;0,IF($C36="К","-"," - "),IF(COUNTIF(OFFSET($E36,0,1):OFFSET(U36,0,-1),"&lt;4")&gt;0,IF(C36="К","-"," - "),(IFERROR(AVERAGE(OFFSET($E36,0,1):OFFSET(U36,0,-1)),"Очікую"))))</f>
        <v>Очікую</v>
      </c>
      <c r="V36" s="54" t="str">
        <f t="shared" ca="1" si="0"/>
        <v>Очікую</v>
      </c>
      <c r="W36" s="36"/>
      <c r="X36" s="42"/>
    </row>
    <row r="37" spans="1:24" s="12" customFormat="1" ht="15" customHeight="1" x14ac:dyDescent="0.25">
      <c r="A37" s="43"/>
      <c r="B37" s="34"/>
      <c r="C37" s="50"/>
      <c r="D37" s="50">
        <v>28</v>
      </c>
      <c r="E37" s="51"/>
      <c r="F37" s="50"/>
      <c r="G37" s="50"/>
      <c r="H37" s="50"/>
      <c r="I37" s="50"/>
      <c r="J37" s="50"/>
      <c r="K37" s="50"/>
      <c r="L37" s="50"/>
      <c r="M37" s="50"/>
      <c r="N37" s="50"/>
      <c r="O37" s="50"/>
      <c r="P37" s="50"/>
      <c r="Q37" s="50"/>
      <c r="R37" s="50"/>
      <c r="S37" s="50"/>
      <c r="T37" s="50"/>
      <c r="U37" s="54" t="str">
        <f ca="1">IF(COUNTIF(OFFSET($E37,0,1):OFFSET(U37,0,-1),"=*")&gt;0,IF($C37="К","-"," - "),IF(COUNTIF(OFFSET($E37,0,1):OFFSET(U37,0,-1),"&lt;4")&gt;0,IF(C37="К","-"," - "),(IFERROR(AVERAGE(OFFSET($E37,0,1):OFFSET(U37,0,-1)),"Очікую"))))</f>
        <v>Очікую</v>
      </c>
      <c r="V37" s="54" t="str">
        <f t="shared" ca="1" si="0"/>
        <v>Очікую</v>
      </c>
      <c r="W37" s="36"/>
      <c r="X37" s="42"/>
    </row>
    <row r="38" spans="1:24" s="12" customFormat="1" ht="15" customHeight="1" x14ac:dyDescent="0.25">
      <c r="A38" s="43"/>
      <c r="B38" s="34"/>
      <c r="C38" s="50"/>
      <c r="D38" s="50">
        <v>29</v>
      </c>
      <c r="E38" s="51"/>
      <c r="F38" s="50"/>
      <c r="G38" s="50"/>
      <c r="H38" s="50"/>
      <c r="I38" s="50"/>
      <c r="J38" s="50"/>
      <c r="K38" s="50"/>
      <c r="L38" s="50"/>
      <c r="M38" s="50"/>
      <c r="N38" s="50"/>
      <c r="O38" s="50"/>
      <c r="P38" s="50"/>
      <c r="Q38" s="50"/>
      <c r="R38" s="50"/>
      <c r="S38" s="50"/>
      <c r="T38" s="50"/>
      <c r="U38" s="54" t="str">
        <f ca="1">IF(COUNTIF(OFFSET($E38,0,1):OFFSET(U38,0,-1),"=*")&gt;0,IF($C38="К","-"," - "),IF(COUNTIF(OFFSET($E38,0,1):OFFSET(U38,0,-1),"&lt;4")&gt;0,IF(C38="К","-"," - "),(IFERROR(AVERAGE(OFFSET($E38,0,1):OFFSET(U38,0,-1)),"Очікую"))))</f>
        <v>Очікую</v>
      </c>
      <c r="V38" s="54" t="str">
        <f t="shared" ca="1" si="0"/>
        <v>Очікую</v>
      </c>
      <c r="W38" s="36"/>
      <c r="X38" s="42"/>
    </row>
    <row r="39" spans="1:24" s="12" customFormat="1" ht="15" customHeight="1" x14ac:dyDescent="0.25">
      <c r="A39" s="43"/>
      <c r="B39" s="34"/>
      <c r="C39" s="50"/>
      <c r="D39" s="50">
        <v>30</v>
      </c>
      <c r="E39" s="51"/>
      <c r="F39" s="50"/>
      <c r="G39" s="50"/>
      <c r="H39" s="50"/>
      <c r="I39" s="50"/>
      <c r="J39" s="50"/>
      <c r="K39" s="50"/>
      <c r="L39" s="50"/>
      <c r="M39" s="50"/>
      <c r="N39" s="50"/>
      <c r="O39" s="50"/>
      <c r="P39" s="50"/>
      <c r="Q39" s="50"/>
      <c r="R39" s="50"/>
      <c r="S39" s="50"/>
      <c r="T39" s="50"/>
      <c r="U39" s="54" t="str">
        <f ca="1">IF(COUNTIF(OFFSET($E39,0,1):OFFSET(U39,0,-1),"=*")&gt;0,IF($C39="К","-"," - "),IF(COUNTIF(OFFSET($E39,0,1):OFFSET(U39,0,-1),"&lt;4")&gt;0,IF(C39="К","-"," - "),(IFERROR(AVERAGE(OFFSET($E39,0,1):OFFSET(U39,0,-1)),"Очікую"))))</f>
        <v>Очікую</v>
      </c>
      <c r="V39" s="54" t="str">
        <f t="shared" ca="1" si="0"/>
        <v>Очікую</v>
      </c>
      <c r="W39" s="36"/>
      <c r="X39" s="42"/>
    </row>
    <row r="40" spans="1:24" s="12" customFormat="1" ht="15" customHeight="1" x14ac:dyDescent="0.25">
      <c r="A40" s="43"/>
      <c r="B40" s="34"/>
      <c r="C40" s="47"/>
      <c r="D40" s="47">
        <v>31</v>
      </c>
      <c r="E40" s="48"/>
      <c r="F40" s="47"/>
      <c r="G40" s="47"/>
      <c r="H40" s="47"/>
      <c r="I40" s="47"/>
      <c r="J40" s="47"/>
      <c r="K40" s="47"/>
      <c r="L40" s="47"/>
      <c r="M40" s="47"/>
      <c r="N40" s="47"/>
      <c r="O40" s="47"/>
      <c r="P40" s="47"/>
      <c r="Q40" s="47"/>
      <c r="R40" s="47"/>
      <c r="S40" s="47"/>
      <c r="T40" s="47"/>
      <c r="U40" s="49" t="str">
        <f ca="1">IF(COUNTIF(OFFSET($E40,0,1):OFFSET(U40,0,-1),"=*")&gt;0,IF($C40="К","-"," - "),IF(COUNTIF(OFFSET($E40,0,1):OFFSET(U40,0,-1),"&lt;4")&gt;0,IF(C40="К","-"," - "),(IFERROR(AVERAGE(OFFSET($E40,0,1):OFFSET(U40,0,-1)),"Очікую"))))</f>
        <v>Очікую</v>
      </c>
      <c r="V40" s="49" t="str">
        <f t="shared" ca="1" si="0"/>
        <v>Очікую</v>
      </c>
      <c r="W40" s="36"/>
      <c r="X40" s="42"/>
    </row>
    <row r="41" spans="1:24" s="12" customFormat="1" ht="15" customHeight="1" x14ac:dyDescent="0.25">
      <c r="A41" s="43"/>
      <c r="B41" s="34"/>
      <c r="C41" s="47"/>
      <c r="D41" s="47">
        <v>32</v>
      </c>
      <c r="E41" s="48"/>
      <c r="F41" s="47"/>
      <c r="G41" s="47"/>
      <c r="H41" s="47"/>
      <c r="I41" s="47"/>
      <c r="J41" s="47"/>
      <c r="K41" s="47"/>
      <c r="L41" s="47"/>
      <c r="M41" s="47"/>
      <c r="N41" s="47"/>
      <c r="O41" s="47"/>
      <c r="P41" s="47"/>
      <c r="Q41" s="47"/>
      <c r="R41" s="47"/>
      <c r="S41" s="47"/>
      <c r="T41" s="47"/>
      <c r="U41" s="49" t="str">
        <f ca="1">IF(COUNTIF(OFFSET($E41,0,1):OFFSET(U41,0,-1),"=*")&gt;0,IF($C41="К","-"," - "),IF(COUNTIF(OFFSET($E41,0,1):OFFSET(U41,0,-1),"&lt;4")&gt;0,IF(C41="К","-"," - "),(IFERROR(AVERAGE(OFFSET($E41,0,1):OFFSET(U41,0,-1)),"Очікую"))))</f>
        <v>Очікую</v>
      </c>
      <c r="V41" s="49" t="str">
        <f t="shared" ca="1" si="0"/>
        <v>Очікую</v>
      </c>
      <c r="W41" s="36"/>
      <c r="X41" s="42"/>
    </row>
    <row r="42" spans="1:24" s="12" customFormat="1" ht="15" customHeight="1" x14ac:dyDescent="0.25">
      <c r="A42" s="43"/>
      <c r="B42" s="34"/>
      <c r="C42" s="47"/>
      <c r="D42" s="47">
        <v>33</v>
      </c>
      <c r="E42" s="48"/>
      <c r="F42" s="47"/>
      <c r="G42" s="47"/>
      <c r="H42" s="47"/>
      <c r="I42" s="47"/>
      <c r="J42" s="47"/>
      <c r="K42" s="47"/>
      <c r="L42" s="47"/>
      <c r="M42" s="47"/>
      <c r="N42" s="47"/>
      <c r="O42" s="47"/>
      <c r="P42" s="47"/>
      <c r="Q42" s="47"/>
      <c r="R42" s="47"/>
      <c r="S42" s="47"/>
      <c r="T42" s="47"/>
      <c r="U42" s="49" t="str">
        <f ca="1">IF(COUNTIF(OFFSET($E42,0,1):OFFSET(U42,0,-1),"=*")&gt;0,IF($C42="К","-"," - "),IF(COUNTIF(OFFSET($E42,0,1):OFFSET(U42,0,-1),"&lt;4")&gt;0,IF(C42="К","-"," - "),(IFERROR(AVERAGE(OFFSET($E42,0,1):OFFSET(U42,0,-1)),"Очікую"))))</f>
        <v>Очікую</v>
      </c>
      <c r="V42" s="49" t="str">
        <f t="shared" ca="1" si="0"/>
        <v>Очікую</v>
      </c>
      <c r="W42" s="36"/>
      <c r="X42" s="42"/>
    </row>
    <row r="43" spans="1:24" s="12" customFormat="1" ht="15" customHeight="1" x14ac:dyDescent="0.25">
      <c r="A43" s="43"/>
      <c r="B43" s="34"/>
      <c r="C43" s="47"/>
      <c r="D43" s="47">
        <v>34</v>
      </c>
      <c r="E43" s="48"/>
      <c r="F43" s="47"/>
      <c r="G43" s="47"/>
      <c r="H43" s="47"/>
      <c r="I43" s="47"/>
      <c r="J43" s="47"/>
      <c r="K43" s="47"/>
      <c r="L43" s="47"/>
      <c r="M43" s="47"/>
      <c r="N43" s="47"/>
      <c r="O43" s="47"/>
      <c r="P43" s="47"/>
      <c r="Q43" s="47"/>
      <c r="R43" s="47"/>
      <c r="S43" s="47"/>
      <c r="T43" s="47"/>
      <c r="U43" s="49" t="str">
        <f ca="1">IF(COUNTIF(OFFSET($E43,0,1):OFFSET(U43,0,-1),"=*")&gt;0,IF($C43="К","-"," - "),IF(COUNTIF(OFFSET($E43,0,1):OFFSET(U43,0,-1),"&lt;4")&gt;0,IF(C43="К","-"," - "),(IFERROR(AVERAGE(OFFSET($E43,0,1):OFFSET(U43,0,-1)),"Очікую"))))</f>
        <v>Очікую</v>
      </c>
      <c r="V43" s="49" t="str">
        <f t="shared" ca="1" si="0"/>
        <v>Очікую</v>
      </c>
      <c r="W43" s="36"/>
      <c r="X43" s="42"/>
    </row>
    <row r="44" spans="1:24" s="12" customFormat="1" ht="15" customHeight="1" x14ac:dyDescent="0.25">
      <c r="A44" s="43"/>
      <c r="B44" s="34"/>
      <c r="C44" s="47"/>
      <c r="D44" s="47">
        <v>35</v>
      </c>
      <c r="E44" s="48"/>
      <c r="F44" s="47"/>
      <c r="G44" s="47"/>
      <c r="H44" s="47"/>
      <c r="I44" s="47"/>
      <c r="J44" s="47"/>
      <c r="K44" s="47"/>
      <c r="L44" s="47"/>
      <c r="M44" s="47"/>
      <c r="N44" s="47"/>
      <c r="O44" s="47"/>
      <c r="P44" s="47"/>
      <c r="Q44" s="47"/>
      <c r="R44" s="47"/>
      <c r="S44" s="47"/>
      <c r="T44" s="47"/>
      <c r="U44" s="49" t="str">
        <f ca="1">IF(COUNTIF(OFFSET($E44,0,1):OFFSET(U44,0,-1),"=*")&gt;0,IF($C44="К","-"," - "),IF(COUNTIF(OFFSET($E44,0,1):OFFSET(U44,0,-1),"&lt;4")&gt;0,IF(C44="К","-"," - "),(IFERROR(AVERAGE(OFFSET($E44,0,1):OFFSET(U44,0,-1)),"Очікую"))))</f>
        <v>Очікую</v>
      </c>
      <c r="V44" s="49" t="str">
        <f t="shared" ca="1" si="0"/>
        <v>Очікую</v>
      </c>
      <c r="W44" s="36"/>
      <c r="X44" s="42"/>
    </row>
    <row r="45" spans="1:24" s="12" customFormat="1" ht="15" customHeight="1" x14ac:dyDescent="0.25">
      <c r="A45" s="43"/>
      <c r="B45" s="34"/>
      <c r="C45" s="47"/>
      <c r="D45" s="47">
        <v>36</v>
      </c>
      <c r="E45" s="48"/>
      <c r="F45" s="47"/>
      <c r="G45" s="47"/>
      <c r="H45" s="47"/>
      <c r="I45" s="47"/>
      <c r="J45" s="47"/>
      <c r="K45" s="47"/>
      <c r="L45" s="47"/>
      <c r="M45" s="47"/>
      <c r="N45" s="47"/>
      <c r="O45" s="47"/>
      <c r="P45" s="47"/>
      <c r="Q45" s="47"/>
      <c r="R45" s="47"/>
      <c r="S45" s="47"/>
      <c r="T45" s="47"/>
      <c r="U45" s="49" t="str">
        <f ca="1">IF(COUNTIF(OFFSET($E45,0,1):OFFSET(U45,0,-1),"=*")&gt;0,IF($C45="К","-"," - "),IF(COUNTIF(OFFSET($E45,0,1):OFFSET(U45,0,-1),"&lt;4")&gt;0,IF(C45="К","-"," - "),(IFERROR(AVERAGE(OFFSET($E45,0,1):OFFSET(U45,0,-1)),"Очікую"))))</f>
        <v>Очікую</v>
      </c>
      <c r="V45" s="49" t="str">
        <f t="shared" ca="1" si="0"/>
        <v>Очікую</v>
      </c>
      <c r="W45" s="36"/>
      <c r="X45" s="42"/>
    </row>
    <row r="46" spans="1:24" s="12" customFormat="1" ht="15" customHeight="1" x14ac:dyDescent="0.25">
      <c r="A46" s="43"/>
      <c r="B46" s="34"/>
      <c r="C46" s="47"/>
      <c r="D46" s="47">
        <v>37</v>
      </c>
      <c r="E46" s="48"/>
      <c r="F46" s="47"/>
      <c r="G46" s="47"/>
      <c r="H46" s="47"/>
      <c r="I46" s="47"/>
      <c r="J46" s="47"/>
      <c r="K46" s="47"/>
      <c r="L46" s="47"/>
      <c r="M46" s="47"/>
      <c r="N46" s="47"/>
      <c r="O46" s="47"/>
      <c r="P46" s="47"/>
      <c r="Q46" s="47"/>
      <c r="R46" s="47"/>
      <c r="S46" s="47"/>
      <c r="T46" s="47"/>
      <c r="U46" s="49" t="str">
        <f ca="1">IF(COUNTIF(OFFSET($E46,0,1):OFFSET(U46,0,-1),"=*")&gt;0,IF($C46="К","-"," - "),IF(COUNTIF(OFFSET($E46,0,1):OFFSET(U46,0,-1),"&lt;4")&gt;0,IF(C46="К","-"," - "),(IFERROR(AVERAGE(OFFSET($E46,0,1):OFFSET(U46,0,-1)),"Очікую"))))</f>
        <v>Очікую</v>
      </c>
      <c r="V46" s="49" t="str">
        <f t="shared" ca="1" si="0"/>
        <v>Очікую</v>
      </c>
      <c r="W46" s="36"/>
      <c r="X46" s="42"/>
    </row>
    <row r="47" spans="1:24" s="12" customFormat="1" ht="15" customHeight="1" x14ac:dyDescent="0.25">
      <c r="A47" s="43"/>
      <c r="B47" s="34"/>
      <c r="C47" s="47"/>
      <c r="D47" s="47">
        <v>38</v>
      </c>
      <c r="E47" s="48"/>
      <c r="F47" s="47"/>
      <c r="G47" s="47"/>
      <c r="H47" s="47"/>
      <c r="I47" s="47"/>
      <c r="J47" s="47"/>
      <c r="K47" s="47"/>
      <c r="L47" s="47"/>
      <c r="M47" s="47"/>
      <c r="N47" s="47"/>
      <c r="O47" s="47"/>
      <c r="P47" s="47"/>
      <c r="Q47" s="47"/>
      <c r="R47" s="47"/>
      <c r="S47" s="47"/>
      <c r="T47" s="47"/>
      <c r="U47" s="49" t="str">
        <f ca="1">IF(COUNTIF(OFFSET($E47,0,1):OFFSET(U47,0,-1),"=*")&gt;0,IF($C47="К","-"," - "),IF(COUNTIF(OFFSET($E47,0,1):OFFSET(U47,0,-1),"&lt;4")&gt;0,IF(C47="К","-"," - "),(IFERROR(AVERAGE(OFFSET($E47,0,1):OFFSET(U47,0,-1)),"Очікую"))))</f>
        <v>Очікую</v>
      </c>
      <c r="V47" s="49" t="str">
        <f t="shared" ca="1" si="0"/>
        <v>Очікую</v>
      </c>
      <c r="W47" s="36"/>
      <c r="X47" s="42"/>
    </row>
    <row r="48" spans="1:24" s="12" customFormat="1" ht="15" customHeight="1" x14ac:dyDescent="0.25">
      <c r="A48" s="43"/>
      <c r="B48" s="34"/>
      <c r="C48" s="47"/>
      <c r="D48" s="47">
        <v>39</v>
      </c>
      <c r="E48" s="48"/>
      <c r="F48" s="47"/>
      <c r="G48" s="47"/>
      <c r="H48" s="47"/>
      <c r="I48" s="47"/>
      <c r="J48" s="47"/>
      <c r="K48" s="47"/>
      <c r="L48" s="47"/>
      <c r="M48" s="47"/>
      <c r="N48" s="47"/>
      <c r="O48" s="47"/>
      <c r="P48" s="47"/>
      <c r="Q48" s="47"/>
      <c r="R48" s="47"/>
      <c r="S48" s="47"/>
      <c r="T48" s="47"/>
      <c r="U48" s="49" t="str">
        <f ca="1">IF(COUNTIF(OFFSET($E48,0,1):OFFSET(U48,0,-1),"=*")&gt;0,IF($C48="К","-"," - "),IF(COUNTIF(OFFSET($E48,0,1):OFFSET(U48,0,-1),"&lt;4")&gt;0,IF(C48="К","-"," - "),(IFERROR(AVERAGE(OFFSET($E48,0,1):OFFSET(U48,0,-1)),"Очікую"))))</f>
        <v>Очікую</v>
      </c>
      <c r="V48" s="49" t="str">
        <f t="shared" ca="1" si="0"/>
        <v>Очікую</v>
      </c>
      <c r="W48" s="36"/>
      <c r="X48" s="42"/>
    </row>
    <row r="49" spans="1:24" s="12" customFormat="1" ht="15" customHeight="1" x14ac:dyDescent="0.25">
      <c r="A49" s="43"/>
      <c r="B49" s="34"/>
      <c r="C49" s="47"/>
      <c r="D49" s="47">
        <v>40</v>
      </c>
      <c r="E49" s="48"/>
      <c r="F49" s="47"/>
      <c r="G49" s="47"/>
      <c r="H49" s="47"/>
      <c r="I49" s="47"/>
      <c r="J49" s="47"/>
      <c r="K49" s="47"/>
      <c r="L49" s="47"/>
      <c r="M49" s="47"/>
      <c r="N49" s="47"/>
      <c r="O49" s="47"/>
      <c r="P49" s="47"/>
      <c r="Q49" s="47"/>
      <c r="R49" s="47"/>
      <c r="S49" s="47"/>
      <c r="T49" s="47"/>
      <c r="U49" s="49" t="str">
        <f ca="1">IF(COUNTIF(OFFSET($E49,0,1):OFFSET(U49,0,-1),"=*")&gt;0,IF($C49="К","-"," - "),IF(COUNTIF(OFFSET($E49,0,1):OFFSET(U49,0,-1),"&lt;4")&gt;0,IF(C49="К","-"," - "),(IFERROR(AVERAGE(OFFSET($E49,0,1):OFFSET(U49,0,-1)),"Очікую"))))</f>
        <v>Очікую</v>
      </c>
      <c r="V49" s="49" t="str">
        <f t="shared" ca="1" si="0"/>
        <v>Очікую</v>
      </c>
      <c r="W49" s="36"/>
      <c r="X49" s="42"/>
    </row>
    <row r="50" spans="1:24" s="12" customFormat="1" ht="15" customHeight="1" x14ac:dyDescent="0.25">
      <c r="A50" s="43"/>
      <c r="B50" s="34"/>
      <c r="C50" s="47"/>
      <c r="D50" s="47">
        <v>41</v>
      </c>
      <c r="E50" s="48"/>
      <c r="F50" s="47"/>
      <c r="G50" s="47"/>
      <c r="H50" s="47"/>
      <c r="I50" s="47"/>
      <c r="J50" s="47"/>
      <c r="K50" s="47"/>
      <c r="L50" s="47"/>
      <c r="M50" s="47"/>
      <c r="N50" s="47"/>
      <c r="O50" s="47"/>
      <c r="P50" s="47"/>
      <c r="Q50" s="47"/>
      <c r="R50" s="47"/>
      <c r="S50" s="47"/>
      <c r="T50" s="47"/>
      <c r="U50" s="49" t="str">
        <f ca="1">IF(COUNTIF(OFFSET($E50,0,1):OFFSET(U50,0,-1),"=*")&gt;0,IF($C50="К","-"," - "),IF(COUNTIF(OFFSET($E50,0,1):OFFSET(U50,0,-1),"&lt;4")&gt;0,IF(C50="К","-"," - "),(IFERROR(AVERAGE(OFFSET($E50,0,1):OFFSET(U50,0,-1)),"Очікую"))))</f>
        <v>Очікую</v>
      </c>
      <c r="V50" s="49" t="str">
        <f t="shared" ca="1" si="0"/>
        <v>Очікую</v>
      </c>
      <c r="W50" s="36"/>
      <c r="X50" s="42"/>
    </row>
    <row r="51" spans="1:24" s="12" customFormat="1" ht="15" customHeight="1" x14ac:dyDescent="0.25">
      <c r="A51" s="43"/>
      <c r="B51" s="34"/>
      <c r="C51" s="47"/>
      <c r="D51" s="47">
        <v>42</v>
      </c>
      <c r="E51" s="48"/>
      <c r="F51" s="47"/>
      <c r="G51" s="47"/>
      <c r="H51" s="47"/>
      <c r="I51" s="47"/>
      <c r="J51" s="47"/>
      <c r="K51" s="47"/>
      <c r="L51" s="47"/>
      <c r="M51" s="47"/>
      <c r="N51" s="47"/>
      <c r="O51" s="47"/>
      <c r="P51" s="47"/>
      <c r="Q51" s="47"/>
      <c r="R51" s="47"/>
      <c r="S51" s="47"/>
      <c r="T51" s="47"/>
      <c r="U51" s="49" t="str">
        <f ca="1">IF(COUNTIF(OFFSET($E51,0,1):OFFSET(U51,0,-1),"=*")&gt;0,IF($C51="К","-"," - "),IF(COUNTIF(OFFSET($E51,0,1):OFFSET(U51,0,-1),"&lt;4")&gt;0,IF(C51="К","-"," - "),(IFERROR(AVERAGE(OFFSET($E51,0,1):OFFSET(U51,0,-1)),"Очікую"))))</f>
        <v>Очікую</v>
      </c>
      <c r="V51" s="49" t="str">
        <f t="shared" ca="1" si="0"/>
        <v>Очікую</v>
      </c>
      <c r="W51" s="36"/>
      <c r="X51" s="42"/>
    </row>
    <row r="52" spans="1:24" s="12" customFormat="1" ht="15" customHeight="1" x14ac:dyDescent="0.25">
      <c r="A52" s="43"/>
      <c r="B52" s="34"/>
      <c r="C52" s="47"/>
      <c r="D52" s="47">
        <v>43</v>
      </c>
      <c r="E52" s="48"/>
      <c r="F52" s="47"/>
      <c r="G52" s="47"/>
      <c r="H52" s="47"/>
      <c r="I52" s="47"/>
      <c r="J52" s="47"/>
      <c r="K52" s="47"/>
      <c r="L52" s="47"/>
      <c r="M52" s="47"/>
      <c r="N52" s="47"/>
      <c r="O52" s="47"/>
      <c r="P52" s="47"/>
      <c r="Q52" s="47"/>
      <c r="R52" s="47"/>
      <c r="S52" s="47"/>
      <c r="T52" s="47"/>
      <c r="U52" s="49" t="str">
        <f ca="1">IF(COUNTIF(OFFSET($E52,0,1):OFFSET(U52,0,-1),"=*")&gt;0,IF($C52="К","-"," - "),IF(COUNTIF(OFFSET($E52,0,1):OFFSET(U52,0,-1),"&lt;4")&gt;0,IF(C52="К","-"," - "),(IFERROR(AVERAGE(OFFSET($E52,0,1):OFFSET(U52,0,-1)),"Очікую"))))</f>
        <v>Очікую</v>
      </c>
      <c r="V52" s="49" t="str">
        <f t="shared" ca="1" si="0"/>
        <v>Очікую</v>
      </c>
      <c r="W52" s="36"/>
      <c r="X52" s="42"/>
    </row>
    <row r="53" spans="1:24" s="12" customFormat="1" ht="15" customHeight="1" x14ac:dyDescent="0.25">
      <c r="A53" s="43"/>
      <c r="B53" s="34"/>
      <c r="C53" s="47"/>
      <c r="D53" s="47">
        <v>44</v>
      </c>
      <c r="E53" s="48"/>
      <c r="F53" s="47"/>
      <c r="G53" s="47"/>
      <c r="H53" s="47"/>
      <c r="I53" s="47"/>
      <c r="J53" s="47"/>
      <c r="K53" s="47"/>
      <c r="L53" s="47"/>
      <c r="M53" s="47"/>
      <c r="N53" s="47"/>
      <c r="O53" s="47"/>
      <c r="P53" s="47"/>
      <c r="Q53" s="47"/>
      <c r="R53" s="47"/>
      <c r="S53" s="47"/>
      <c r="T53" s="47"/>
      <c r="U53" s="49" t="str">
        <f ca="1">IF(COUNTIF(OFFSET($E53,0,1):OFFSET(U53,0,-1),"=*")&gt;0,IF($C53="К","-"," - "),IF(COUNTIF(OFFSET($E53,0,1):OFFSET(U53,0,-1),"&lt;4")&gt;0,IF(C53="К","-"," - "),(IFERROR(AVERAGE(OFFSET($E53,0,1):OFFSET(U53,0,-1)),"Очікую"))))</f>
        <v>Очікую</v>
      </c>
      <c r="V53" s="49" t="str">
        <f t="shared" ca="1" si="0"/>
        <v>Очікую</v>
      </c>
      <c r="W53" s="36"/>
      <c r="X53" s="42"/>
    </row>
    <row r="54" spans="1:24" s="12" customFormat="1" ht="15" customHeight="1" x14ac:dyDescent="0.25">
      <c r="A54" s="43"/>
      <c r="B54" s="34"/>
      <c r="C54" s="47"/>
      <c r="D54" s="47">
        <v>45</v>
      </c>
      <c r="E54" s="48"/>
      <c r="F54" s="47"/>
      <c r="G54" s="47"/>
      <c r="H54" s="47"/>
      <c r="I54" s="47"/>
      <c r="J54" s="47"/>
      <c r="K54" s="47"/>
      <c r="L54" s="47"/>
      <c r="M54" s="47"/>
      <c r="N54" s="47"/>
      <c r="O54" s="47"/>
      <c r="P54" s="47"/>
      <c r="Q54" s="47"/>
      <c r="R54" s="47"/>
      <c r="S54" s="47"/>
      <c r="T54" s="47"/>
      <c r="U54" s="49" t="str">
        <f ca="1">IF(COUNTIF(OFFSET($E54,0,1):OFFSET(U54,0,-1),"=*")&gt;0,IF($C54="К","-"," - "),IF(COUNTIF(OFFSET($E54,0,1):OFFSET(U54,0,-1),"&lt;4")&gt;0,IF(C54="К","-"," - "),(IFERROR(AVERAGE(OFFSET($E54,0,1):OFFSET(U54,0,-1)),"Очікую"))))</f>
        <v>Очікую</v>
      </c>
      <c r="V54" s="49" t="str">
        <f t="shared" ca="1" si="0"/>
        <v>Очікую</v>
      </c>
      <c r="W54" s="36"/>
      <c r="X54" s="42"/>
    </row>
    <row r="55" spans="1:24" s="12" customFormat="1" ht="15" customHeight="1" x14ac:dyDescent="0.25">
      <c r="A55" s="43"/>
      <c r="B55" s="34"/>
      <c r="C55" s="47"/>
      <c r="D55" s="47">
        <v>46</v>
      </c>
      <c r="E55" s="48"/>
      <c r="F55" s="47"/>
      <c r="G55" s="47"/>
      <c r="H55" s="47"/>
      <c r="I55" s="47"/>
      <c r="J55" s="47"/>
      <c r="K55" s="47"/>
      <c r="L55" s="47"/>
      <c r="M55" s="47"/>
      <c r="N55" s="47"/>
      <c r="O55" s="47"/>
      <c r="P55" s="47"/>
      <c r="Q55" s="47"/>
      <c r="R55" s="47"/>
      <c r="S55" s="47"/>
      <c r="T55" s="47"/>
      <c r="U55" s="49" t="str">
        <f ca="1">IF(COUNTIF(OFFSET($E55,0,1):OFFSET(U55,0,-1),"=*")&gt;0,IF($C55="К","-"," - "),IF(COUNTIF(OFFSET($E55,0,1):OFFSET(U55,0,-1),"&lt;4")&gt;0,IF(C55="К","-"," - "),(IFERROR(AVERAGE(OFFSET($E55,0,1):OFFSET(U55,0,-1)),"Очікую"))))</f>
        <v>Очікую</v>
      </c>
      <c r="V55" s="49" t="str">
        <f t="shared" ca="1" si="0"/>
        <v>Очікую</v>
      </c>
      <c r="W55" s="36"/>
      <c r="X55" s="42"/>
    </row>
    <row r="56" spans="1:24" s="12" customFormat="1" ht="15" customHeight="1" x14ac:dyDescent="0.25">
      <c r="A56" s="43"/>
      <c r="B56" s="34"/>
      <c r="C56" s="47"/>
      <c r="D56" s="47">
        <v>47</v>
      </c>
      <c r="E56" s="48"/>
      <c r="F56" s="47"/>
      <c r="G56" s="47"/>
      <c r="H56" s="47"/>
      <c r="I56" s="47"/>
      <c r="J56" s="47"/>
      <c r="K56" s="47"/>
      <c r="L56" s="47"/>
      <c r="M56" s="47"/>
      <c r="N56" s="47"/>
      <c r="O56" s="47"/>
      <c r="P56" s="47"/>
      <c r="Q56" s="47"/>
      <c r="R56" s="47"/>
      <c r="S56" s="47"/>
      <c r="T56" s="47"/>
      <c r="U56" s="49" t="str">
        <f ca="1">IF(COUNTIF(OFFSET($E56,0,1):OFFSET(U56,0,-1),"=*")&gt;0,IF($C56="К","-"," - "),IF(COUNTIF(OFFSET($E56,0,1):OFFSET(U56,0,-1),"&lt;4")&gt;0,IF(C56="К","-"," - "),(IFERROR(AVERAGE(OFFSET($E56,0,1):OFFSET(U56,0,-1)),"Очікую"))))</f>
        <v>Очікую</v>
      </c>
      <c r="V56" s="49" t="str">
        <f t="shared" ca="1" si="0"/>
        <v>Очікую</v>
      </c>
      <c r="W56" s="36"/>
      <c r="X56" s="42"/>
    </row>
    <row r="57" spans="1:24" s="12" customFormat="1" ht="15" customHeight="1" x14ac:dyDescent="0.25">
      <c r="A57" s="43"/>
      <c r="B57" s="34"/>
      <c r="C57" s="47"/>
      <c r="D57" s="47">
        <v>48</v>
      </c>
      <c r="E57" s="48"/>
      <c r="F57" s="47"/>
      <c r="G57" s="47"/>
      <c r="H57" s="47"/>
      <c r="I57" s="47"/>
      <c r="J57" s="47"/>
      <c r="K57" s="47"/>
      <c r="L57" s="47"/>
      <c r="M57" s="47"/>
      <c r="N57" s="47"/>
      <c r="O57" s="47"/>
      <c r="P57" s="47"/>
      <c r="Q57" s="47"/>
      <c r="R57" s="47"/>
      <c r="S57" s="47"/>
      <c r="T57" s="47"/>
      <c r="U57" s="49" t="str">
        <f ca="1">IF(COUNTIF(OFFSET($E57,0,1):OFFSET(U57,0,-1),"=*")&gt;0,IF($C57="К","-"," - "),IF(COUNTIF(OFFSET($E57,0,1):OFFSET(U57,0,-1),"&lt;4")&gt;0,IF(C57="К","-"," - "),(IFERROR(AVERAGE(OFFSET($E57,0,1):OFFSET(U57,0,-1)),"Очікую"))))</f>
        <v>Очікую</v>
      </c>
      <c r="V57" s="49" t="str">
        <f t="shared" ca="1" si="0"/>
        <v>Очікую</v>
      </c>
      <c r="W57" s="36"/>
      <c r="X57" s="42"/>
    </row>
    <row r="58" spans="1:24" s="12" customFormat="1" ht="15" customHeight="1" x14ac:dyDescent="0.25">
      <c r="A58" s="43"/>
      <c r="B58" s="34"/>
      <c r="C58" s="47"/>
      <c r="D58" s="47">
        <v>49</v>
      </c>
      <c r="E58" s="48"/>
      <c r="F58" s="47"/>
      <c r="G58" s="47"/>
      <c r="H58" s="47"/>
      <c r="I58" s="47"/>
      <c r="J58" s="47"/>
      <c r="K58" s="47"/>
      <c r="L58" s="47"/>
      <c r="M58" s="47"/>
      <c r="N58" s="47"/>
      <c r="O58" s="47"/>
      <c r="P58" s="47"/>
      <c r="Q58" s="47"/>
      <c r="R58" s="47"/>
      <c r="S58" s="47"/>
      <c r="T58" s="47"/>
      <c r="U58" s="49" t="str">
        <f ca="1">IF(COUNTIF(OFFSET($E58,0,1):OFFSET(U58,0,-1),"=*")&gt;0,IF($C58="К","-"," - "),IF(COUNTIF(OFFSET($E58,0,1):OFFSET(U58,0,-1),"&lt;4")&gt;0,IF(C58="К","-"," - "),(IFERROR(AVERAGE(OFFSET($E58,0,1):OFFSET(U58,0,-1)),"Очікую"))))</f>
        <v>Очікую</v>
      </c>
      <c r="V58" s="49" t="str">
        <f t="shared" ca="1" si="0"/>
        <v>Очікую</v>
      </c>
      <c r="W58" s="36"/>
      <c r="X58" s="42"/>
    </row>
    <row r="59" spans="1:24" s="12" customFormat="1" ht="15" customHeight="1" x14ac:dyDescent="0.25">
      <c r="A59" s="43"/>
      <c r="B59" s="34"/>
      <c r="C59" s="47"/>
      <c r="D59" s="47">
        <v>50</v>
      </c>
      <c r="E59" s="48"/>
      <c r="F59" s="47"/>
      <c r="G59" s="47"/>
      <c r="H59" s="47"/>
      <c r="I59" s="47"/>
      <c r="J59" s="47"/>
      <c r="K59" s="47"/>
      <c r="L59" s="47"/>
      <c r="M59" s="47"/>
      <c r="N59" s="47"/>
      <c r="O59" s="47"/>
      <c r="P59" s="47"/>
      <c r="Q59" s="47"/>
      <c r="R59" s="47"/>
      <c r="S59" s="47"/>
      <c r="T59" s="47"/>
      <c r="U59" s="49" t="str">
        <f ca="1">IF(COUNTIF(OFFSET($E59,0,1):OFFSET(U59,0,-1),"=*")&gt;0,IF($C59="К","-"," - "),IF(COUNTIF(OFFSET($E59,0,1):OFFSET(U59,0,-1),"&lt;4")&gt;0,IF(C59="К","-"," - "),(IFERROR(AVERAGE(OFFSET($E59,0,1):OFFSET(U59,0,-1)),"Очікую"))))</f>
        <v>Очікую</v>
      </c>
      <c r="V59" s="49" t="str">
        <f t="shared" ca="1" si="0"/>
        <v>Очікую</v>
      </c>
      <c r="W59" s="36"/>
      <c r="X59" s="42"/>
    </row>
    <row r="60" spans="1:24" s="12" customFormat="1" ht="15" customHeight="1" x14ac:dyDescent="0.25">
      <c r="A60" s="43"/>
      <c r="B60" s="34"/>
      <c r="C60" s="47"/>
      <c r="D60" s="47">
        <v>51</v>
      </c>
      <c r="E60" s="48"/>
      <c r="F60" s="47"/>
      <c r="G60" s="47"/>
      <c r="H60" s="47"/>
      <c r="I60" s="47"/>
      <c r="J60" s="47"/>
      <c r="K60" s="47"/>
      <c r="L60" s="47"/>
      <c r="M60" s="47"/>
      <c r="N60" s="47"/>
      <c r="O60" s="47"/>
      <c r="P60" s="47"/>
      <c r="Q60" s="47"/>
      <c r="R60" s="47"/>
      <c r="S60" s="47"/>
      <c r="T60" s="47"/>
      <c r="U60" s="49" t="str">
        <f ca="1">IF(COUNTIF(OFFSET($E60,0,1):OFFSET(U60,0,-1),"=*")&gt;0,IF($C60="К","-"," - "),IF(COUNTIF(OFFSET($E60,0,1):OFFSET(U60,0,-1),"&lt;4")&gt;0,IF(C60="К","-"," - "),(IFERROR(AVERAGE(OFFSET($E60,0,1):OFFSET(U60,0,-1)),"Очікую"))))</f>
        <v>Очікую</v>
      </c>
      <c r="V60" s="49" t="str">
        <f t="shared" ca="1" si="0"/>
        <v>Очікую</v>
      </c>
      <c r="W60" s="36"/>
      <c r="X60" s="42"/>
    </row>
    <row r="61" spans="1:24" s="12" customFormat="1" ht="15" customHeight="1" x14ac:dyDescent="0.25">
      <c r="A61" s="43"/>
      <c r="B61" s="34"/>
      <c r="C61" s="47"/>
      <c r="D61" s="47">
        <v>52</v>
      </c>
      <c r="E61" s="48"/>
      <c r="F61" s="47"/>
      <c r="G61" s="47"/>
      <c r="H61" s="47"/>
      <c r="I61" s="47"/>
      <c r="J61" s="47"/>
      <c r="K61" s="47"/>
      <c r="L61" s="47"/>
      <c r="M61" s="47"/>
      <c r="N61" s="47"/>
      <c r="O61" s="47"/>
      <c r="P61" s="47"/>
      <c r="Q61" s="47"/>
      <c r="R61" s="47"/>
      <c r="S61" s="47"/>
      <c r="T61" s="47"/>
      <c r="U61" s="49" t="str">
        <f ca="1">IF(COUNTIF(OFFSET($E61,0,1):OFFSET(U61,0,-1),"=*")&gt;0,IF($C61="К","-"," - "),IF(COUNTIF(OFFSET($E61,0,1):OFFSET(U61,0,-1),"&lt;4")&gt;0,IF(C61="К","-"," - "),(IFERROR(AVERAGE(OFFSET($E61,0,1):OFFSET(U61,0,-1)),"Очікую"))))</f>
        <v>Очікую</v>
      </c>
      <c r="V61" s="49" t="str">
        <f t="shared" ca="1" si="0"/>
        <v>Очікую</v>
      </c>
      <c r="W61" s="36"/>
      <c r="X61" s="42"/>
    </row>
    <row r="62" spans="1:24" s="12" customFormat="1" ht="15" customHeight="1" x14ac:dyDescent="0.25">
      <c r="A62" s="43"/>
      <c r="B62" s="34"/>
      <c r="C62" s="47"/>
      <c r="D62" s="47">
        <v>53</v>
      </c>
      <c r="E62" s="48"/>
      <c r="F62" s="47"/>
      <c r="G62" s="47"/>
      <c r="H62" s="47"/>
      <c r="I62" s="47"/>
      <c r="J62" s="47"/>
      <c r="K62" s="47"/>
      <c r="L62" s="47"/>
      <c r="M62" s="47"/>
      <c r="N62" s="47"/>
      <c r="O62" s="47"/>
      <c r="P62" s="47"/>
      <c r="Q62" s="47"/>
      <c r="R62" s="47"/>
      <c r="S62" s="47"/>
      <c r="T62" s="47"/>
      <c r="U62" s="49" t="str">
        <f ca="1">IF(COUNTIF(OFFSET($E62,0,1):OFFSET(U62,0,-1),"=*")&gt;0,IF($C62="К","-"," - "),IF(COUNTIF(OFFSET($E62,0,1):OFFSET(U62,0,-1),"&lt;4")&gt;0,IF(C62="К","-"," - "),(IFERROR(AVERAGE(OFFSET($E62,0,1):OFFSET(U62,0,-1)),"Очікую"))))</f>
        <v>Очікую</v>
      </c>
      <c r="V62" s="49" t="str">
        <f t="shared" ca="1" si="0"/>
        <v>Очікую</v>
      </c>
      <c r="W62" s="36"/>
      <c r="X62" s="42"/>
    </row>
    <row r="63" spans="1:24" s="12" customFormat="1" ht="15" customHeight="1" x14ac:dyDescent="0.25">
      <c r="A63" s="43"/>
      <c r="B63" s="34"/>
      <c r="C63" s="47"/>
      <c r="D63" s="47">
        <v>54</v>
      </c>
      <c r="E63" s="48"/>
      <c r="F63" s="47"/>
      <c r="G63" s="47"/>
      <c r="H63" s="47"/>
      <c r="I63" s="47"/>
      <c r="J63" s="47"/>
      <c r="K63" s="47"/>
      <c r="L63" s="47"/>
      <c r="M63" s="47"/>
      <c r="N63" s="47"/>
      <c r="O63" s="47"/>
      <c r="P63" s="47"/>
      <c r="Q63" s="47"/>
      <c r="R63" s="47"/>
      <c r="S63" s="47"/>
      <c r="T63" s="47"/>
      <c r="U63" s="49" t="str">
        <f ca="1">IF(COUNTIF(OFFSET($E63,0,1):OFFSET(U63,0,-1),"=*")&gt;0,IF($C63="К","-"," - "),IF(COUNTIF(OFFSET($E63,0,1):OFFSET(U63,0,-1),"&lt;4")&gt;0,IF(C63="К","-"," - "),(IFERROR(AVERAGE(OFFSET($E63,0,1):OFFSET(U63,0,-1)),"Очікую"))))</f>
        <v>Очікую</v>
      </c>
      <c r="V63" s="49" t="str">
        <f t="shared" ca="1" si="0"/>
        <v>Очікую</v>
      </c>
      <c r="W63" s="36"/>
      <c r="X63" s="42"/>
    </row>
    <row r="64" spans="1:24" s="12" customFormat="1" ht="15" customHeight="1" x14ac:dyDescent="0.25">
      <c r="A64" s="43"/>
      <c r="B64" s="34"/>
      <c r="C64" s="47"/>
      <c r="D64" s="47">
        <v>55</v>
      </c>
      <c r="E64" s="48"/>
      <c r="F64" s="47"/>
      <c r="G64" s="47"/>
      <c r="H64" s="47"/>
      <c r="I64" s="47"/>
      <c r="J64" s="47"/>
      <c r="K64" s="47"/>
      <c r="L64" s="47"/>
      <c r="M64" s="47"/>
      <c r="N64" s="47"/>
      <c r="O64" s="47"/>
      <c r="P64" s="47"/>
      <c r="Q64" s="47"/>
      <c r="R64" s="47"/>
      <c r="S64" s="47"/>
      <c r="T64" s="47"/>
      <c r="U64" s="49" t="str">
        <f ca="1">IF(COUNTIF(OFFSET($E64,0,1):OFFSET(U64,0,-1),"=*")&gt;0,IF($C64="К","-"," - "),IF(COUNTIF(OFFSET($E64,0,1):OFFSET(U64,0,-1),"&lt;4")&gt;0,IF(C64="К","-"," - "),(IFERROR(AVERAGE(OFFSET($E64,0,1):OFFSET(U64,0,-1)),"Очікую"))))</f>
        <v>Очікую</v>
      </c>
      <c r="V64" s="49" t="str">
        <f t="shared" ca="1" si="0"/>
        <v>Очікую</v>
      </c>
      <c r="W64" s="36"/>
      <c r="X64" s="42"/>
    </row>
    <row r="65" spans="1:24" s="12" customFormat="1" ht="15" customHeight="1" x14ac:dyDescent="0.25">
      <c r="A65" s="43"/>
      <c r="B65" s="34"/>
      <c r="C65" s="47"/>
      <c r="D65" s="47">
        <v>56</v>
      </c>
      <c r="E65" s="48"/>
      <c r="F65" s="47"/>
      <c r="G65" s="47"/>
      <c r="H65" s="47"/>
      <c r="I65" s="47"/>
      <c r="J65" s="47"/>
      <c r="K65" s="47"/>
      <c r="L65" s="47"/>
      <c r="M65" s="47"/>
      <c r="N65" s="47"/>
      <c r="O65" s="47"/>
      <c r="P65" s="47"/>
      <c r="Q65" s="47"/>
      <c r="R65" s="47"/>
      <c r="S65" s="47"/>
      <c r="T65" s="47"/>
      <c r="U65" s="49" t="str">
        <f ca="1">IF(COUNTIF(OFFSET($E65,0,1):OFFSET(U65,0,-1),"=*")&gt;0,IF($C65="К","-"," - "),IF(COUNTIF(OFFSET($E65,0,1):OFFSET(U65,0,-1),"&lt;4")&gt;0,IF(C65="К","-"," - "),(IFERROR(AVERAGE(OFFSET($E65,0,1):OFFSET(U65,0,-1)),"Очікую"))))</f>
        <v>Очікую</v>
      </c>
      <c r="V65" s="49" t="str">
        <f t="shared" ca="1" si="0"/>
        <v>Очікую</v>
      </c>
      <c r="W65" s="36"/>
      <c r="X65" s="42"/>
    </row>
    <row r="66" spans="1:24" s="12" customFormat="1" ht="15" customHeight="1" x14ac:dyDescent="0.25">
      <c r="A66" s="43"/>
      <c r="B66" s="34"/>
      <c r="C66" s="47"/>
      <c r="D66" s="47">
        <v>57</v>
      </c>
      <c r="E66" s="48"/>
      <c r="F66" s="47"/>
      <c r="G66" s="47"/>
      <c r="H66" s="47"/>
      <c r="I66" s="47"/>
      <c r="J66" s="47"/>
      <c r="K66" s="47"/>
      <c r="L66" s="47"/>
      <c r="M66" s="47"/>
      <c r="N66" s="47"/>
      <c r="O66" s="47"/>
      <c r="P66" s="47"/>
      <c r="Q66" s="47"/>
      <c r="R66" s="47"/>
      <c r="S66" s="47"/>
      <c r="T66" s="47"/>
      <c r="U66" s="49" t="str">
        <f ca="1">IF(COUNTIF(OFFSET($E66,0,1):OFFSET(U66,0,-1),"=*")&gt;0,IF($C66="К","-"," - "),IF(COUNTIF(OFFSET($E66,0,1):OFFSET(U66,0,-1),"&lt;4")&gt;0,IF(C66="К","-"," - "),(IFERROR(AVERAGE(OFFSET($E66,0,1):OFFSET(U66,0,-1)),"Очікую"))))</f>
        <v>Очікую</v>
      </c>
      <c r="V66" s="49" t="str">
        <f t="shared" ca="1" si="0"/>
        <v>Очікую</v>
      </c>
      <c r="W66" s="36"/>
      <c r="X66" s="42"/>
    </row>
    <row r="67" spans="1:24" s="12" customFormat="1" ht="15" customHeight="1" x14ac:dyDescent="0.25">
      <c r="A67" s="43"/>
      <c r="B67" s="34"/>
      <c r="C67" s="47"/>
      <c r="D67" s="47">
        <v>58</v>
      </c>
      <c r="E67" s="48"/>
      <c r="F67" s="47"/>
      <c r="G67" s="47"/>
      <c r="H67" s="47"/>
      <c r="I67" s="47"/>
      <c r="J67" s="47"/>
      <c r="K67" s="47"/>
      <c r="L67" s="47"/>
      <c r="M67" s="47"/>
      <c r="N67" s="47"/>
      <c r="O67" s="47"/>
      <c r="P67" s="47"/>
      <c r="Q67" s="47"/>
      <c r="R67" s="47"/>
      <c r="S67" s="47"/>
      <c r="T67" s="47"/>
      <c r="U67" s="49" t="str">
        <f ca="1">IF(COUNTIF(OFFSET($E67,0,1):OFFSET(U67,0,-1),"=*")&gt;0,IF($C67="К","-"," - "),IF(COUNTIF(OFFSET($E67,0,1):OFFSET(U67,0,-1),"&lt;4")&gt;0,IF(C67="К","-"," - "),(IFERROR(AVERAGE(OFFSET($E67,0,1):OFFSET(U67,0,-1)),"Очікую"))))</f>
        <v>Очікую</v>
      </c>
      <c r="V67" s="49" t="str">
        <f t="shared" ca="1" si="0"/>
        <v>Очікую</v>
      </c>
      <c r="W67" s="36"/>
      <c r="X67" s="42"/>
    </row>
    <row r="68" spans="1:24" s="12" customFormat="1" ht="15" customHeight="1" x14ac:dyDescent="0.25">
      <c r="A68" s="43"/>
      <c r="B68" s="34"/>
      <c r="C68" s="47"/>
      <c r="D68" s="47">
        <v>59</v>
      </c>
      <c r="E68" s="48"/>
      <c r="F68" s="47"/>
      <c r="G68" s="47"/>
      <c r="H68" s="47"/>
      <c r="I68" s="47"/>
      <c r="J68" s="47"/>
      <c r="K68" s="47"/>
      <c r="L68" s="47"/>
      <c r="M68" s="47"/>
      <c r="N68" s="47"/>
      <c r="O68" s="47"/>
      <c r="P68" s="47"/>
      <c r="Q68" s="47"/>
      <c r="R68" s="47"/>
      <c r="S68" s="47"/>
      <c r="T68" s="47"/>
      <c r="U68" s="49" t="str">
        <f ca="1">IF(COUNTIF(OFFSET($E68,0,1):OFFSET(U68,0,-1),"=*")&gt;0,IF($C68="К","-"," - "),IF(COUNTIF(OFFSET($E68,0,1):OFFSET(U68,0,-1),"&lt;4")&gt;0,IF(C68="К","-"," - "),(IFERROR(AVERAGE(OFFSET($E68,0,1):OFFSET(U68,0,-1)),"Очікую"))))</f>
        <v>Очікую</v>
      </c>
      <c r="V68" s="49" t="str">
        <f t="shared" ca="1" si="0"/>
        <v>Очікую</v>
      </c>
      <c r="W68" s="36"/>
      <c r="X68" s="42"/>
    </row>
    <row r="69" spans="1:24" s="12" customFormat="1" ht="15" customHeight="1" x14ac:dyDescent="0.25">
      <c r="A69" s="43"/>
      <c r="B69" s="34"/>
      <c r="C69" s="47"/>
      <c r="D69" s="47">
        <v>60</v>
      </c>
      <c r="E69" s="48"/>
      <c r="F69" s="47"/>
      <c r="G69" s="47"/>
      <c r="H69" s="47"/>
      <c r="I69" s="47"/>
      <c r="J69" s="47"/>
      <c r="K69" s="47"/>
      <c r="L69" s="47"/>
      <c r="M69" s="47"/>
      <c r="N69" s="47"/>
      <c r="O69" s="47"/>
      <c r="P69" s="47"/>
      <c r="Q69" s="47"/>
      <c r="R69" s="47"/>
      <c r="S69" s="47"/>
      <c r="T69" s="47"/>
      <c r="U69" s="49" t="str">
        <f ca="1">IF(COUNTIF(OFFSET($E69,0,1):OFFSET(U69,0,-1),"=*")&gt;0,IF($C69="К","-"," - "),IF(COUNTIF(OFFSET($E69,0,1):OFFSET(U69,0,-1),"&lt;4")&gt;0,IF(C69="К","-"," - "),(IFERROR(AVERAGE(OFFSET($E69,0,1):OFFSET(U69,0,-1)),"Очікую"))))</f>
        <v>Очікую</v>
      </c>
      <c r="V69" s="49" t="str">
        <f t="shared" ca="1" si="0"/>
        <v>Очікую</v>
      </c>
      <c r="W69" s="36"/>
      <c r="X69" s="42"/>
    </row>
    <row r="70" spans="1:24" s="12" customFormat="1" ht="15" customHeight="1" x14ac:dyDescent="0.25">
      <c r="A70" s="43"/>
      <c r="B70" s="34"/>
      <c r="C70" s="47"/>
      <c r="D70" s="47">
        <v>61</v>
      </c>
      <c r="E70" s="48"/>
      <c r="F70" s="47"/>
      <c r="G70" s="47"/>
      <c r="H70" s="47"/>
      <c r="I70" s="47"/>
      <c r="J70" s="47"/>
      <c r="K70" s="47"/>
      <c r="L70" s="47"/>
      <c r="M70" s="47"/>
      <c r="N70" s="47"/>
      <c r="O70" s="47"/>
      <c r="P70" s="47"/>
      <c r="Q70" s="47"/>
      <c r="R70" s="47"/>
      <c r="S70" s="47"/>
      <c r="T70" s="47"/>
      <c r="U70" s="49" t="str">
        <f ca="1">IF(COUNTIF(OFFSET($E70,0,1):OFFSET(U70,0,-1),"=*")&gt;0,IF($C70="К","-"," - "),IF(COUNTIF(OFFSET($E70,0,1):OFFSET(U70,0,-1),"&lt;4")&gt;0,IF(C70="К","-"," - "),(IFERROR(AVERAGE(OFFSET($E70,0,1):OFFSET(U70,0,-1)),"Очікую"))))</f>
        <v>Очікую</v>
      </c>
      <c r="V70" s="49" t="str">
        <f t="shared" ca="1" si="0"/>
        <v>Очікую</v>
      </c>
      <c r="W70" s="36"/>
      <c r="X70" s="42"/>
    </row>
    <row r="71" spans="1:24" s="12" customFormat="1" ht="15" customHeight="1" x14ac:dyDescent="0.25">
      <c r="A71" s="43"/>
      <c r="B71" s="34"/>
      <c r="C71" s="47"/>
      <c r="D71" s="47">
        <v>62</v>
      </c>
      <c r="E71" s="48"/>
      <c r="F71" s="47"/>
      <c r="G71" s="47"/>
      <c r="H71" s="47"/>
      <c r="I71" s="47"/>
      <c r="J71" s="47"/>
      <c r="K71" s="47"/>
      <c r="L71" s="47"/>
      <c r="M71" s="47"/>
      <c r="N71" s="47"/>
      <c r="O71" s="47"/>
      <c r="P71" s="47"/>
      <c r="Q71" s="47"/>
      <c r="R71" s="47"/>
      <c r="S71" s="47"/>
      <c r="T71" s="47"/>
      <c r="U71" s="49" t="str">
        <f ca="1">IF(COUNTIF(OFFSET($E71,0,1):OFFSET(U71,0,-1),"=*")&gt;0,IF($C71="К","-"," - "),IF(COUNTIF(OFFSET($E71,0,1):OFFSET(U71,0,-1),"&lt;4")&gt;0,IF(C71="К","-"," - "),(IFERROR(AVERAGE(OFFSET($E71,0,1):OFFSET(U71,0,-1)),"Очікую"))))</f>
        <v>Очікую</v>
      </c>
      <c r="V71" s="49" t="str">
        <f t="shared" ca="1" si="0"/>
        <v>Очікую</v>
      </c>
      <c r="W71" s="36"/>
      <c r="X71" s="42"/>
    </row>
    <row r="72" spans="1:24" s="12" customFormat="1" ht="15" customHeight="1" x14ac:dyDescent="0.25">
      <c r="A72" s="43"/>
      <c r="B72" s="34"/>
      <c r="C72" s="47"/>
      <c r="D72" s="47">
        <v>63</v>
      </c>
      <c r="E72" s="48"/>
      <c r="F72" s="47"/>
      <c r="G72" s="47"/>
      <c r="H72" s="47"/>
      <c r="I72" s="47"/>
      <c r="J72" s="47"/>
      <c r="K72" s="47"/>
      <c r="L72" s="47"/>
      <c r="M72" s="47"/>
      <c r="N72" s="47"/>
      <c r="O72" s="47"/>
      <c r="P72" s="47"/>
      <c r="Q72" s="47"/>
      <c r="R72" s="47"/>
      <c r="S72" s="47"/>
      <c r="T72" s="47"/>
      <c r="U72" s="49" t="str">
        <f ca="1">IF(COUNTIF(OFFSET($E72,0,1):OFFSET(U72,0,-1),"=*")&gt;0,IF($C72="К","-"," - "),IF(COUNTIF(OFFSET($E72,0,1):OFFSET(U72,0,-1),"&lt;4")&gt;0,IF(C72="К","-"," - "),(IFERROR(AVERAGE(OFFSET($E72,0,1):OFFSET(U72,0,-1)),"Очікую"))))</f>
        <v>Очікую</v>
      </c>
      <c r="V72" s="49" t="str">
        <f t="shared" ca="1" si="0"/>
        <v>Очікую</v>
      </c>
      <c r="W72" s="36"/>
      <c r="X72" s="42"/>
    </row>
    <row r="73" spans="1:24" s="12" customFormat="1" ht="15" customHeight="1" x14ac:dyDescent="0.25">
      <c r="A73" s="43"/>
      <c r="B73" s="34"/>
      <c r="C73" s="47"/>
      <c r="D73" s="47">
        <v>64</v>
      </c>
      <c r="E73" s="48"/>
      <c r="F73" s="47"/>
      <c r="G73" s="47"/>
      <c r="H73" s="47"/>
      <c r="I73" s="47"/>
      <c r="J73" s="47"/>
      <c r="K73" s="47"/>
      <c r="L73" s="47"/>
      <c r="M73" s="47"/>
      <c r="N73" s="47"/>
      <c r="O73" s="47"/>
      <c r="P73" s="47"/>
      <c r="Q73" s="47"/>
      <c r="R73" s="47"/>
      <c r="S73" s="47"/>
      <c r="T73" s="47"/>
      <c r="U73" s="49" t="str">
        <f ca="1">IF(COUNTIF(OFFSET($E73,0,1):OFFSET(U73,0,-1),"=*")&gt;0,IF($C73="К","-"," - "),IF(COUNTIF(OFFSET($E73,0,1):OFFSET(U73,0,-1),"&lt;4")&gt;0,IF(C73="К","-"," - "),(IFERROR(AVERAGE(OFFSET($E73,0,1):OFFSET(U73,0,-1)),"Очікую"))))</f>
        <v>Очікую</v>
      </c>
      <c r="V73" s="49" t="str">
        <f t="shared" ca="1" si="0"/>
        <v>Очікую</v>
      </c>
      <c r="W73" s="36"/>
      <c r="X73" s="42"/>
    </row>
    <row r="74" spans="1:24" s="12" customFormat="1" ht="15" customHeight="1" x14ac:dyDescent="0.25">
      <c r="A74" s="43"/>
      <c r="B74" s="34"/>
      <c r="C74" s="47"/>
      <c r="D74" s="47">
        <v>65</v>
      </c>
      <c r="E74" s="48"/>
      <c r="F74" s="47"/>
      <c r="G74" s="47"/>
      <c r="H74" s="47"/>
      <c r="I74" s="47"/>
      <c r="J74" s="47"/>
      <c r="K74" s="47"/>
      <c r="L74" s="47"/>
      <c r="M74" s="47"/>
      <c r="N74" s="47"/>
      <c r="O74" s="47"/>
      <c r="P74" s="47"/>
      <c r="Q74" s="47"/>
      <c r="R74" s="47"/>
      <c r="S74" s="47"/>
      <c r="T74" s="47"/>
      <c r="U74" s="49" t="str">
        <f ca="1">IF(COUNTIF(OFFSET($E74,0,1):OFFSET(U74,0,-1),"=*")&gt;0,IF($C74="К","-"," - "),IF(COUNTIF(OFFSET($E74,0,1):OFFSET(U74,0,-1),"&lt;4")&gt;0,IF(C74="К","-"," - "),(IFERROR(AVERAGE(OFFSET($E74,0,1):OFFSET(U74,0,-1)),"Очікую"))))</f>
        <v>Очікую</v>
      </c>
      <c r="V74" s="49" t="str">
        <f t="shared" ca="1" si="0"/>
        <v>Очікую</v>
      </c>
      <c r="W74" s="36"/>
      <c r="X74" s="42"/>
    </row>
    <row r="75" spans="1:24" s="12" customFormat="1" ht="15" customHeight="1" x14ac:dyDescent="0.25">
      <c r="A75" s="43"/>
      <c r="B75" s="34"/>
      <c r="C75" s="47"/>
      <c r="D75" s="47">
        <v>66</v>
      </c>
      <c r="E75" s="48"/>
      <c r="F75" s="47"/>
      <c r="G75" s="47"/>
      <c r="H75" s="47"/>
      <c r="I75" s="47"/>
      <c r="J75" s="47"/>
      <c r="K75" s="47"/>
      <c r="L75" s="47"/>
      <c r="M75" s="47"/>
      <c r="N75" s="47"/>
      <c r="O75" s="47"/>
      <c r="P75" s="47"/>
      <c r="Q75" s="47"/>
      <c r="R75" s="47"/>
      <c r="S75" s="47"/>
      <c r="T75" s="47"/>
      <c r="U75" s="49" t="str">
        <f ca="1">IF(COUNTIF(OFFSET($E75,0,1):OFFSET(U75,0,-1),"=*")&gt;0,IF($C75="К","-"," - "),IF(COUNTIF(OFFSET($E75,0,1):OFFSET(U75,0,-1),"&lt;4")&gt;0,IF(C75="К","-"," - "),(IFERROR(AVERAGE(OFFSET($E75,0,1):OFFSET(U75,0,-1)),"Очікую"))))</f>
        <v>Очікую</v>
      </c>
      <c r="V75" s="49" t="str">
        <f t="shared" ref="V75:V109" ca="1" si="1">IFERROR(U75/12*90,"Очікую")</f>
        <v>Очікую</v>
      </c>
      <c r="W75" s="36"/>
      <c r="X75" s="42"/>
    </row>
    <row r="76" spans="1:24" s="12" customFormat="1" ht="15" customHeight="1" x14ac:dyDescent="0.25">
      <c r="A76" s="43"/>
      <c r="B76" s="34"/>
      <c r="C76" s="47"/>
      <c r="D76" s="47">
        <v>67</v>
      </c>
      <c r="E76" s="48"/>
      <c r="F76" s="47"/>
      <c r="G76" s="47"/>
      <c r="H76" s="47"/>
      <c r="I76" s="47"/>
      <c r="J76" s="47"/>
      <c r="K76" s="47"/>
      <c r="L76" s="47"/>
      <c r="M76" s="47"/>
      <c r="N76" s="47"/>
      <c r="O76" s="47"/>
      <c r="P76" s="47"/>
      <c r="Q76" s="47"/>
      <c r="R76" s="47"/>
      <c r="S76" s="47"/>
      <c r="T76" s="47"/>
      <c r="U76" s="49" t="str">
        <f ca="1">IF(COUNTIF(OFFSET($E76,0,1):OFFSET(U76,0,-1),"=*")&gt;0,IF($C76="К","-"," - "),IF(COUNTIF(OFFSET($E76,0,1):OFFSET(U76,0,-1),"&lt;4")&gt;0,IF(C76="К","-"," - "),(IFERROR(AVERAGE(OFFSET($E76,0,1):OFFSET(U76,0,-1)),"Очікую"))))</f>
        <v>Очікую</v>
      </c>
      <c r="V76" s="49" t="str">
        <f t="shared" ca="1" si="1"/>
        <v>Очікую</v>
      </c>
      <c r="W76" s="36"/>
      <c r="X76" s="42"/>
    </row>
    <row r="77" spans="1:24" s="12" customFormat="1" ht="15" customHeight="1" x14ac:dyDescent="0.25">
      <c r="A77" s="43"/>
      <c r="B77" s="34"/>
      <c r="C77" s="47"/>
      <c r="D77" s="47">
        <v>68</v>
      </c>
      <c r="E77" s="48"/>
      <c r="F77" s="47"/>
      <c r="G77" s="47"/>
      <c r="H77" s="47"/>
      <c r="I77" s="47"/>
      <c r="J77" s="47"/>
      <c r="K77" s="47"/>
      <c r="L77" s="47"/>
      <c r="M77" s="47"/>
      <c r="N77" s="47"/>
      <c r="O77" s="47"/>
      <c r="P77" s="47"/>
      <c r="Q77" s="47"/>
      <c r="R77" s="47"/>
      <c r="S77" s="47"/>
      <c r="T77" s="47"/>
      <c r="U77" s="49" t="str">
        <f ca="1">IF(COUNTIF(OFFSET($E77,0,1):OFFSET(U77,0,-1),"=*")&gt;0,IF($C77="К","-"," - "),IF(COUNTIF(OFFSET($E77,0,1):OFFSET(U77,0,-1),"&lt;4")&gt;0,IF(C77="К","-"," - "),(IFERROR(AVERAGE(OFFSET($E77,0,1):OFFSET(U77,0,-1)),"Очікую"))))</f>
        <v>Очікую</v>
      </c>
      <c r="V77" s="49" t="str">
        <f t="shared" ca="1" si="1"/>
        <v>Очікую</v>
      </c>
      <c r="W77" s="36"/>
      <c r="X77" s="42"/>
    </row>
    <row r="78" spans="1:24" s="12" customFormat="1" ht="15" customHeight="1" x14ac:dyDescent="0.25">
      <c r="A78" s="43"/>
      <c r="B78" s="34"/>
      <c r="C78" s="47"/>
      <c r="D78" s="47">
        <v>69</v>
      </c>
      <c r="E78" s="48"/>
      <c r="F78" s="47"/>
      <c r="G78" s="47"/>
      <c r="H78" s="47"/>
      <c r="I78" s="47"/>
      <c r="J78" s="47"/>
      <c r="K78" s="47"/>
      <c r="L78" s="47"/>
      <c r="M78" s="47"/>
      <c r="N78" s="47"/>
      <c r="O78" s="47"/>
      <c r="P78" s="47"/>
      <c r="Q78" s="47"/>
      <c r="R78" s="47"/>
      <c r="S78" s="47"/>
      <c r="T78" s="47"/>
      <c r="U78" s="49" t="str">
        <f ca="1">IF(COUNTIF(OFFSET($E78,0,1):OFFSET(U78,0,-1),"=*")&gt;0,IF($C78="К","-"," - "),IF(COUNTIF(OFFSET($E78,0,1):OFFSET(U78,0,-1),"&lt;4")&gt;0,IF(C78="К","-"," - "),(IFERROR(AVERAGE(OFFSET($E78,0,1):OFFSET(U78,0,-1)),"Очікую"))))</f>
        <v>Очікую</v>
      </c>
      <c r="V78" s="49" t="str">
        <f t="shared" ca="1" si="1"/>
        <v>Очікую</v>
      </c>
      <c r="W78" s="36"/>
      <c r="X78" s="42"/>
    </row>
    <row r="79" spans="1:24" s="12" customFormat="1" ht="15" customHeight="1" x14ac:dyDescent="0.25">
      <c r="A79" s="43"/>
      <c r="B79" s="34"/>
      <c r="C79" s="47"/>
      <c r="D79" s="47">
        <v>70</v>
      </c>
      <c r="E79" s="48"/>
      <c r="F79" s="47"/>
      <c r="G79" s="47"/>
      <c r="H79" s="47"/>
      <c r="I79" s="47"/>
      <c r="J79" s="47"/>
      <c r="K79" s="47"/>
      <c r="L79" s="47"/>
      <c r="M79" s="47"/>
      <c r="N79" s="47"/>
      <c r="O79" s="47"/>
      <c r="P79" s="47"/>
      <c r="Q79" s="47"/>
      <c r="R79" s="47"/>
      <c r="S79" s="47"/>
      <c r="T79" s="47"/>
      <c r="U79" s="49" t="str">
        <f ca="1">IF(COUNTIF(OFFSET($E79,0,1):OFFSET(U79,0,-1),"=*")&gt;0,IF($C79="К","-"," - "),IF(COUNTIF(OFFSET($E79,0,1):OFFSET(U79,0,-1),"&lt;4")&gt;0,IF(C79="К","-"," - "),(IFERROR(AVERAGE(OFFSET($E79,0,1):OFFSET(U79,0,-1)),"Очікую"))))</f>
        <v>Очікую</v>
      </c>
      <c r="V79" s="49" t="str">
        <f t="shared" ca="1" si="1"/>
        <v>Очікую</v>
      </c>
      <c r="W79" s="36"/>
      <c r="X79" s="42"/>
    </row>
    <row r="80" spans="1:24" s="12" customFormat="1" ht="15" customHeight="1" x14ac:dyDescent="0.25">
      <c r="A80" s="43"/>
      <c r="B80" s="34"/>
      <c r="C80" s="47"/>
      <c r="D80" s="47">
        <v>71</v>
      </c>
      <c r="E80" s="48"/>
      <c r="F80" s="47"/>
      <c r="G80" s="47"/>
      <c r="H80" s="47"/>
      <c r="I80" s="47"/>
      <c r="J80" s="47"/>
      <c r="K80" s="47"/>
      <c r="L80" s="47"/>
      <c r="M80" s="47"/>
      <c r="N80" s="47"/>
      <c r="O80" s="47"/>
      <c r="P80" s="47"/>
      <c r="Q80" s="47"/>
      <c r="R80" s="47"/>
      <c r="S80" s="47"/>
      <c r="T80" s="47"/>
      <c r="U80" s="49" t="str">
        <f ca="1">IF(COUNTIF(OFFSET($E80,0,1):OFFSET(U80,0,-1),"=*")&gt;0,IF($C80="К","-"," - "),IF(COUNTIF(OFFSET($E80,0,1):OFFSET(U80,0,-1),"&lt;4")&gt;0,IF(C80="К","-"," - "),(IFERROR(AVERAGE(OFFSET($E80,0,1):OFFSET(U80,0,-1)),"Очікую"))))</f>
        <v>Очікую</v>
      </c>
      <c r="V80" s="49" t="str">
        <f t="shared" ca="1" si="1"/>
        <v>Очікую</v>
      </c>
      <c r="W80" s="36"/>
      <c r="X80" s="42"/>
    </row>
    <row r="81" spans="1:24" s="12" customFormat="1" ht="15" customHeight="1" x14ac:dyDescent="0.25">
      <c r="A81" s="43"/>
      <c r="B81" s="34"/>
      <c r="C81" s="47"/>
      <c r="D81" s="47">
        <v>72</v>
      </c>
      <c r="E81" s="48"/>
      <c r="F81" s="47"/>
      <c r="G81" s="47"/>
      <c r="H81" s="47"/>
      <c r="I81" s="47"/>
      <c r="J81" s="47"/>
      <c r="K81" s="47"/>
      <c r="L81" s="47"/>
      <c r="M81" s="47"/>
      <c r="N81" s="47"/>
      <c r="O81" s="47"/>
      <c r="P81" s="47"/>
      <c r="Q81" s="47"/>
      <c r="R81" s="47"/>
      <c r="S81" s="47"/>
      <c r="T81" s="47"/>
      <c r="U81" s="49" t="str">
        <f ca="1">IF(COUNTIF(OFFSET($E81,0,1):OFFSET(U81,0,-1),"=*")&gt;0,IF($C81="К","-"," - "),IF(COUNTIF(OFFSET($E81,0,1):OFFSET(U81,0,-1),"&lt;4")&gt;0,IF(C81="К","-"," - "),(IFERROR(AVERAGE(OFFSET($E81,0,1):OFFSET(U81,0,-1)),"Очікую"))))</f>
        <v>Очікую</v>
      </c>
      <c r="V81" s="49" t="str">
        <f t="shared" ca="1" si="1"/>
        <v>Очікую</v>
      </c>
      <c r="W81" s="36"/>
      <c r="X81" s="42"/>
    </row>
    <row r="82" spans="1:24" s="12" customFormat="1" ht="15" customHeight="1" x14ac:dyDescent="0.25">
      <c r="A82" s="43"/>
      <c r="B82" s="34"/>
      <c r="C82" s="47"/>
      <c r="D82" s="47">
        <v>73</v>
      </c>
      <c r="E82" s="48"/>
      <c r="F82" s="47"/>
      <c r="G82" s="47"/>
      <c r="H82" s="47"/>
      <c r="I82" s="47"/>
      <c r="J82" s="47"/>
      <c r="K82" s="47"/>
      <c r="L82" s="47"/>
      <c r="M82" s="47"/>
      <c r="N82" s="47"/>
      <c r="O82" s="47"/>
      <c r="P82" s="47"/>
      <c r="Q82" s="47"/>
      <c r="R82" s="47"/>
      <c r="S82" s="47"/>
      <c r="T82" s="47"/>
      <c r="U82" s="49" t="str">
        <f ca="1">IF(COUNTIF(OFFSET($E82,0,1):OFFSET(U82,0,-1),"=*")&gt;0,IF($C82="К","-"," - "),IF(COUNTIF(OFFSET($E82,0,1):OFFSET(U82,0,-1),"&lt;4")&gt;0,IF(C82="К","-"," - "),(IFERROR(AVERAGE(OFFSET($E82,0,1):OFFSET(U82,0,-1)),"Очікую"))))</f>
        <v>Очікую</v>
      </c>
      <c r="V82" s="49" t="str">
        <f t="shared" ca="1" si="1"/>
        <v>Очікую</v>
      </c>
      <c r="W82" s="36"/>
      <c r="X82" s="42"/>
    </row>
    <row r="83" spans="1:24" s="12" customFormat="1" ht="15" customHeight="1" x14ac:dyDescent="0.25">
      <c r="A83" s="43"/>
      <c r="B83" s="34"/>
      <c r="C83" s="47"/>
      <c r="D83" s="47">
        <v>74</v>
      </c>
      <c r="E83" s="48"/>
      <c r="F83" s="47"/>
      <c r="G83" s="47"/>
      <c r="H83" s="47"/>
      <c r="I83" s="47"/>
      <c r="J83" s="47"/>
      <c r="K83" s="47"/>
      <c r="L83" s="47"/>
      <c r="M83" s="47"/>
      <c r="N83" s="47"/>
      <c r="O83" s="47"/>
      <c r="P83" s="47"/>
      <c r="Q83" s="47"/>
      <c r="R83" s="47"/>
      <c r="S83" s="47"/>
      <c r="T83" s="47"/>
      <c r="U83" s="49" t="str">
        <f ca="1">IF(COUNTIF(OFFSET($E83,0,1):OFFSET(U83,0,-1),"=*")&gt;0,IF($C83="К","-"," - "),IF(COUNTIF(OFFSET($E83,0,1):OFFSET(U83,0,-1),"&lt;4")&gt;0,IF(C83="К","-"," - "),(IFERROR(AVERAGE(OFFSET($E83,0,1):OFFSET(U83,0,-1)),"Очікую"))))</f>
        <v>Очікую</v>
      </c>
      <c r="V83" s="49" t="str">
        <f t="shared" ca="1" si="1"/>
        <v>Очікую</v>
      </c>
      <c r="W83" s="36"/>
      <c r="X83" s="42"/>
    </row>
    <row r="84" spans="1:24" s="12" customFormat="1" ht="15" customHeight="1" x14ac:dyDescent="0.25">
      <c r="A84" s="43"/>
      <c r="B84" s="34"/>
      <c r="C84" s="47"/>
      <c r="D84" s="47">
        <v>75</v>
      </c>
      <c r="E84" s="48"/>
      <c r="F84" s="47"/>
      <c r="G84" s="47"/>
      <c r="H84" s="47"/>
      <c r="I84" s="47"/>
      <c r="J84" s="47"/>
      <c r="K84" s="47"/>
      <c r="L84" s="47"/>
      <c r="M84" s="47"/>
      <c r="N84" s="47"/>
      <c r="O84" s="47"/>
      <c r="P84" s="47"/>
      <c r="Q84" s="47"/>
      <c r="R84" s="47"/>
      <c r="S84" s="47"/>
      <c r="T84" s="47"/>
      <c r="U84" s="49" t="str">
        <f ca="1">IF(COUNTIF(OFFSET($E84,0,1):OFFSET(U84,0,-1),"=*")&gt;0,IF($C84="К","-"," - "),IF(COUNTIF(OFFSET($E84,0,1):OFFSET(U84,0,-1),"&lt;4")&gt;0,IF(C84="К","-"," - "),(IFERROR(AVERAGE(OFFSET($E84,0,1):OFFSET(U84,0,-1)),"Очікую"))))</f>
        <v>Очікую</v>
      </c>
      <c r="V84" s="49" t="str">
        <f t="shared" ca="1" si="1"/>
        <v>Очікую</v>
      </c>
      <c r="W84" s="36"/>
      <c r="X84" s="42"/>
    </row>
    <row r="85" spans="1:24" s="12" customFormat="1" ht="15" customHeight="1" x14ac:dyDescent="0.25">
      <c r="A85" s="43"/>
      <c r="B85" s="34"/>
      <c r="C85" s="47"/>
      <c r="D85" s="47">
        <v>76</v>
      </c>
      <c r="E85" s="48"/>
      <c r="F85" s="47"/>
      <c r="G85" s="47"/>
      <c r="H85" s="47"/>
      <c r="I85" s="47"/>
      <c r="J85" s="47"/>
      <c r="K85" s="47"/>
      <c r="L85" s="47"/>
      <c r="M85" s="47"/>
      <c r="N85" s="47"/>
      <c r="O85" s="47"/>
      <c r="P85" s="47"/>
      <c r="Q85" s="47"/>
      <c r="R85" s="47"/>
      <c r="S85" s="47"/>
      <c r="T85" s="47"/>
      <c r="U85" s="49" t="str">
        <f ca="1">IF(COUNTIF(OFFSET($E85,0,1):OFFSET(U85,0,-1),"=*")&gt;0,IF($C85="К","-"," - "),IF(COUNTIF(OFFSET($E85,0,1):OFFSET(U85,0,-1),"&lt;4")&gt;0,IF(C85="К","-"," - "),(IFERROR(AVERAGE(OFFSET($E85,0,1):OFFSET(U85,0,-1)),"Очікую"))))</f>
        <v>Очікую</v>
      </c>
      <c r="V85" s="49" t="str">
        <f t="shared" ca="1" si="1"/>
        <v>Очікую</v>
      </c>
      <c r="W85" s="36"/>
      <c r="X85" s="42"/>
    </row>
    <row r="86" spans="1:24" s="12" customFormat="1" ht="15" customHeight="1" x14ac:dyDescent="0.25">
      <c r="A86" s="43"/>
      <c r="B86" s="34"/>
      <c r="C86" s="47"/>
      <c r="D86" s="47">
        <v>77</v>
      </c>
      <c r="E86" s="48"/>
      <c r="F86" s="47"/>
      <c r="G86" s="47"/>
      <c r="H86" s="47"/>
      <c r="I86" s="47"/>
      <c r="J86" s="47"/>
      <c r="K86" s="47"/>
      <c r="L86" s="47"/>
      <c r="M86" s="47"/>
      <c r="N86" s="47"/>
      <c r="O86" s="47"/>
      <c r="P86" s="47"/>
      <c r="Q86" s="47"/>
      <c r="R86" s="47"/>
      <c r="S86" s="47"/>
      <c r="T86" s="47"/>
      <c r="U86" s="49" t="str">
        <f ca="1">IF(COUNTIF(OFFSET($E86,0,1):OFFSET(U86,0,-1),"=*")&gt;0,IF($C86="К","-"," - "),IF(COUNTIF(OFFSET($E86,0,1):OFFSET(U86,0,-1),"&lt;4")&gt;0,IF(C86="К","-"," - "),(IFERROR(AVERAGE(OFFSET($E86,0,1):OFFSET(U86,0,-1)),"Очікую"))))</f>
        <v>Очікую</v>
      </c>
      <c r="V86" s="49" t="str">
        <f t="shared" ca="1" si="1"/>
        <v>Очікую</v>
      </c>
      <c r="W86" s="36"/>
      <c r="X86" s="42"/>
    </row>
    <row r="87" spans="1:24" s="12" customFormat="1" ht="15" customHeight="1" x14ac:dyDescent="0.25">
      <c r="A87" s="43"/>
      <c r="B87" s="34"/>
      <c r="C87" s="47"/>
      <c r="D87" s="47">
        <v>78</v>
      </c>
      <c r="E87" s="48"/>
      <c r="F87" s="47"/>
      <c r="G87" s="47"/>
      <c r="H87" s="47"/>
      <c r="I87" s="47"/>
      <c r="J87" s="47"/>
      <c r="K87" s="47"/>
      <c r="L87" s="47"/>
      <c r="M87" s="47"/>
      <c r="N87" s="47"/>
      <c r="O87" s="47"/>
      <c r="P87" s="47"/>
      <c r="Q87" s="47"/>
      <c r="R87" s="47"/>
      <c r="S87" s="47"/>
      <c r="T87" s="47"/>
      <c r="U87" s="49" t="str">
        <f ca="1">IF(COUNTIF(OFFSET($E87,0,1):OFFSET(U87,0,-1),"=*")&gt;0,IF($C87="К","-"," - "),IF(COUNTIF(OFFSET($E87,0,1):OFFSET(U87,0,-1),"&lt;4")&gt;0,IF(C87="К","-"," - "),(IFERROR(AVERAGE(OFFSET($E87,0,1):OFFSET(U87,0,-1)),"Очікую"))))</f>
        <v>Очікую</v>
      </c>
      <c r="V87" s="49" t="str">
        <f t="shared" ca="1" si="1"/>
        <v>Очікую</v>
      </c>
      <c r="W87" s="36"/>
      <c r="X87" s="42"/>
    </row>
    <row r="88" spans="1:24" s="12" customFormat="1" ht="15" customHeight="1" x14ac:dyDescent="0.25">
      <c r="A88" s="43"/>
      <c r="B88" s="34"/>
      <c r="C88" s="47"/>
      <c r="D88" s="47">
        <v>79</v>
      </c>
      <c r="E88" s="48"/>
      <c r="F88" s="47"/>
      <c r="G88" s="47"/>
      <c r="H88" s="47"/>
      <c r="I88" s="47"/>
      <c r="J88" s="47"/>
      <c r="K88" s="47"/>
      <c r="L88" s="47"/>
      <c r="M88" s="47"/>
      <c r="N88" s="47"/>
      <c r="O88" s="47"/>
      <c r="P88" s="47"/>
      <c r="Q88" s="47"/>
      <c r="R88" s="47"/>
      <c r="S88" s="47"/>
      <c r="T88" s="47"/>
      <c r="U88" s="49" t="str">
        <f ca="1">IF(COUNTIF(OFFSET($E88,0,1):OFFSET(U88,0,-1),"=*")&gt;0,IF($C88="К","-"," - "),IF(COUNTIF(OFFSET($E88,0,1):OFFSET(U88,0,-1),"&lt;4")&gt;0,IF(C88="К","-"," - "),(IFERROR(AVERAGE(OFFSET($E88,0,1):OFFSET(U88,0,-1)),"Очікую"))))</f>
        <v>Очікую</v>
      </c>
      <c r="V88" s="49" t="str">
        <f t="shared" ca="1" si="1"/>
        <v>Очікую</v>
      </c>
      <c r="W88" s="36"/>
      <c r="X88" s="42"/>
    </row>
    <row r="89" spans="1:24" s="12" customFormat="1" ht="15" customHeight="1" x14ac:dyDescent="0.25">
      <c r="A89" s="43"/>
      <c r="B89" s="34"/>
      <c r="C89" s="47"/>
      <c r="D89" s="47">
        <v>80</v>
      </c>
      <c r="E89" s="48"/>
      <c r="F89" s="47"/>
      <c r="G89" s="47"/>
      <c r="H89" s="47"/>
      <c r="I89" s="47"/>
      <c r="J89" s="47"/>
      <c r="K89" s="47"/>
      <c r="L89" s="47"/>
      <c r="M89" s="47"/>
      <c r="N89" s="47"/>
      <c r="O89" s="47"/>
      <c r="P89" s="47"/>
      <c r="Q89" s="47"/>
      <c r="R89" s="47"/>
      <c r="S89" s="47"/>
      <c r="T89" s="47"/>
      <c r="U89" s="49" t="str">
        <f ca="1">IF(COUNTIF(OFFSET($E89,0,1):OFFSET(U89,0,-1),"=*")&gt;0,IF($C89="К","-"," - "),IF(COUNTIF(OFFSET($E89,0,1):OFFSET(U89,0,-1),"&lt;4")&gt;0,IF(C89="К","-"," - "),(IFERROR(AVERAGE(OFFSET($E89,0,1):OFFSET(U89,0,-1)),"Очікую"))))</f>
        <v>Очікую</v>
      </c>
      <c r="V89" s="49" t="str">
        <f t="shared" ca="1" si="1"/>
        <v>Очікую</v>
      </c>
      <c r="W89" s="36"/>
      <c r="X89" s="42"/>
    </row>
    <row r="90" spans="1:24" s="12" customFormat="1" ht="15" customHeight="1" x14ac:dyDescent="0.25">
      <c r="A90" s="43"/>
      <c r="B90" s="34"/>
      <c r="C90" s="47"/>
      <c r="D90" s="47">
        <v>81</v>
      </c>
      <c r="E90" s="48"/>
      <c r="F90" s="47"/>
      <c r="G90" s="47"/>
      <c r="H90" s="47"/>
      <c r="I90" s="47"/>
      <c r="J90" s="47"/>
      <c r="K90" s="47"/>
      <c r="L90" s="47"/>
      <c r="M90" s="47"/>
      <c r="N90" s="47"/>
      <c r="O90" s="47"/>
      <c r="P90" s="47"/>
      <c r="Q90" s="47"/>
      <c r="R90" s="47"/>
      <c r="S90" s="47"/>
      <c r="T90" s="47"/>
      <c r="U90" s="49" t="str">
        <f ca="1">IF(COUNTIF(OFFSET($E90,0,1):OFFSET(U90,0,-1),"=*")&gt;0,IF($C90="К","-"," - "),IF(COUNTIF(OFFSET($E90,0,1):OFFSET(U90,0,-1),"&lt;4")&gt;0,IF(C90="К","-"," - "),(IFERROR(AVERAGE(OFFSET($E90,0,1):OFFSET(U90,0,-1)),"Очікую"))))</f>
        <v>Очікую</v>
      </c>
      <c r="V90" s="49" t="str">
        <f t="shared" ca="1" si="1"/>
        <v>Очікую</v>
      </c>
      <c r="W90" s="36"/>
      <c r="X90" s="42"/>
    </row>
    <row r="91" spans="1:24" s="12" customFormat="1" ht="15" customHeight="1" x14ac:dyDescent="0.25">
      <c r="A91" s="43"/>
      <c r="B91" s="34"/>
      <c r="C91" s="47"/>
      <c r="D91" s="47">
        <v>82</v>
      </c>
      <c r="E91" s="48"/>
      <c r="F91" s="47"/>
      <c r="G91" s="47"/>
      <c r="H91" s="47"/>
      <c r="I91" s="47"/>
      <c r="J91" s="47"/>
      <c r="K91" s="47"/>
      <c r="L91" s="47"/>
      <c r="M91" s="47"/>
      <c r="N91" s="47"/>
      <c r="O91" s="47"/>
      <c r="P91" s="47"/>
      <c r="Q91" s="47"/>
      <c r="R91" s="47"/>
      <c r="S91" s="47"/>
      <c r="T91" s="47"/>
      <c r="U91" s="49" t="str">
        <f ca="1">IF(COUNTIF(OFFSET($E91,0,1):OFFSET(U91,0,-1),"=*")&gt;0,IF($C91="К","-"," - "),IF(COUNTIF(OFFSET($E91,0,1):OFFSET(U91,0,-1),"&lt;4")&gt;0,IF(C91="К","-"," - "),(IFERROR(AVERAGE(OFFSET($E91,0,1):OFFSET(U91,0,-1)),"Очікую"))))</f>
        <v>Очікую</v>
      </c>
      <c r="V91" s="49" t="str">
        <f t="shared" ca="1" si="1"/>
        <v>Очікую</v>
      </c>
      <c r="W91" s="36"/>
      <c r="X91" s="42"/>
    </row>
    <row r="92" spans="1:24" s="12" customFormat="1" ht="15" customHeight="1" x14ac:dyDescent="0.25">
      <c r="A92" s="43"/>
      <c r="B92" s="34"/>
      <c r="C92" s="47"/>
      <c r="D92" s="47">
        <v>83</v>
      </c>
      <c r="E92" s="48"/>
      <c r="F92" s="47"/>
      <c r="G92" s="47"/>
      <c r="H92" s="47"/>
      <c r="I92" s="47"/>
      <c r="J92" s="47"/>
      <c r="K92" s="47"/>
      <c r="L92" s="47"/>
      <c r="M92" s="47"/>
      <c r="N92" s="47"/>
      <c r="O92" s="47"/>
      <c r="P92" s="47"/>
      <c r="Q92" s="47"/>
      <c r="R92" s="47"/>
      <c r="S92" s="47"/>
      <c r="T92" s="47"/>
      <c r="U92" s="49" t="str">
        <f ca="1">IF(COUNTIF(OFFSET($E92,0,1):OFFSET(U92,0,-1),"=*")&gt;0,IF($C92="К","-"," - "),IF(COUNTIF(OFFSET($E92,0,1):OFFSET(U92,0,-1),"&lt;4")&gt;0,IF(C92="К","-"," - "),(IFERROR(AVERAGE(OFFSET($E92,0,1):OFFSET(U92,0,-1)),"Очікую"))))</f>
        <v>Очікую</v>
      </c>
      <c r="V92" s="49" t="str">
        <f t="shared" ca="1" si="1"/>
        <v>Очікую</v>
      </c>
      <c r="W92" s="36"/>
      <c r="X92" s="42"/>
    </row>
    <row r="93" spans="1:24" s="12" customFormat="1" ht="15" customHeight="1" x14ac:dyDescent="0.25">
      <c r="A93" s="43"/>
      <c r="B93" s="34"/>
      <c r="C93" s="47"/>
      <c r="D93" s="47">
        <v>84</v>
      </c>
      <c r="E93" s="48"/>
      <c r="F93" s="47"/>
      <c r="G93" s="47"/>
      <c r="H93" s="47"/>
      <c r="I93" s="47"/>
      <c r="J93" s="47"/>
      <c r="K93" s="47"/>
      <c r="L93" s="47"/>
      <c r="M93" s="47"/>
      <c r="N93" s="47"/>
      <c r="O93" s="47"/>
      <c r="P93" s="47"/>
      <c r="Q93" s="47"/>
      <c r="R93" s="47"/>
      <c r="S93" s="47"/>
      <c r="T93" s="47"/>
      <c r="U93" s="49" t="str">
        <f ca="1">IF(COUNTIF(OFFSET($E93,0,1):OFFSET(U93,0,-1),"=*")&gt;0,IF($C93="К","-"," - "),IF(COUNTIF(OFFSET($E93,0,1):OFFSET(U93,0,-1),"&lt;4")&gt;0,IF(C93="К","-"," - "),(IFERROR(AVERAGE(OFFSET($E93,0,1):OFFSET(U93,0,-1)),"Очікую"))))</f>
        <v>Очікую</v>
      </c>
      <c r="V93" s="49" t="str">
        <f t="shared" ca="1" si="1"/>
        <v>Очікую</v>
      </c>
      <c r="W93" s="36"/>
      <c r="X93" s="42"/>
    </row>
    <row r="94" spans="1:24" s="12" customFormat="1" ht="15" customHeight="1" x14ac:dyDescent="0.25">
      <c r="A94" s="43"/>
      <c r="B94" s="34"/>
      <c r="C94" s="47"/>
      <c r="D94" s="47">
        <v>85</v>
      </c>
      <c r="E94" s="48"/>
      <c r="F94" s="47"/>
      <c r="G94" s="47"/>
      <c r="H94" s="47"/>
      <c r="I94" s="47"/>
      <c r="J94" s="47"/>
      <c r="K94" s="47"/>
      <c r="L94" s="47"/>
      <c r="M94" s="47"/>
      <c r="N94" s="47"/>
      <c r="O94" s="47"/>
      <c r="P94" s="47"/>
      <c r="Q94" s="47"/>
      <c r="R94" s="47"/>
      <c r="S94" s="47"/>
      <c r="T94" s="47"/>
      <c r="U94" s="49" t="str">
        <f ca="1">IF(COUNTIF(OFFSET($E94,0,1):OFFSET(U94,0,-1),"=*")&gt;0,IF($C94="К","-"," - "),IF(COUNTIF(OFFSET($E94,0,1):OFFSET(U94,0,-1),"&lt;4")&gt;0,IF(C94="К","-"," - "),(IFERROR(AVERAGE(OFFSET($E94,0,1):OFFSET(U94,0,-1)),"Очікую"))))</f>
        <v>Очікую</v>
      </c>
      <c r="V94" s="49" t="str">
        <f t="shared" ca="1" si="1"/>
        <v>Очікую</v>
      </c>
      <c r="W94" s="36"/>
      <c r="X94" s="42"/>
    </row>
    <row r="95" spans="1:24" s="12" customFormat="1" ht="15" customHeight="1" x14ac:dyDescent="0.25">
      <c r="A95" s="43"/>
      <c r="B95" s="34"/>
      <c r="C95" s="47"/>
      <c r="D95" s="47">
        <v>86</v>
      </c>
      <c r="E95" s="48"/>
      <c r="F95" s="47"/>
      <c r="G95" s="47"/>
      <c r="H95" s="47"/>
      <c r="I95" s="47"/>
      <c r="J95" s="47"/>
      <c r="K95" s="47"/>
      <c r="L95" s="47"/>
      <c r="M95" s="47"/>
      <c r="N95" s="47"/>
      <c r="O95" s="47"/>
      <c r="P95" s="47"/>
      <c r="Q95" s="47"/>
      <c r="R95" s="47"/>
      <c r="S95" s="47"/>
      <c r="T95" s="47"/>
      <c r="U95" s="49" t="str">
        <f ca="1">IF(COUNTIF(OFFSET($E95,0,1):OFFSET(U95,0,-1),"=*")&gt;0,IF($C95="К","-"," - "),IF(COUNTIF(OFFSET($E95,0,1):OFFSET(U95,0,-1),"&lt;4")&gt;0,IF(C95="К","-"," - "),(IFERROR(AVERAGE(OFFSET($E95,0,1):OFFSET(U95,0,-1)),"Очікую"))))</f>
        <v>Очікую</v>
      </c>
      <c r="V95" s="49" t="str">
        <f t="shared" ca="1" si="1"/>
        <v>Очікую</v>
      </c>
      <c r="W95" s="36"/>
      <c r="X95" s="42"/>
    </row>
    <row r="96" spans="1:24" s="12" customFormat="1" ht="15" customHeight="1" x14ac:dyDescent="0.25">
      <c r="A96" s="43"/>
      <c r="B96" s="34"/>
      <c r="C96" s="47"/>
      <c r="D96" s="47">
        <v>87</v>
      </c>
      <c r="E96" s="48"/>
      <c r="F96" s="47"/>
      <c r="G96" s="47"/>
      <c r="H96" s="47"/>
      <c r="I96" s="47"/>
      <c r="J96" s="47"/>
      <c r="K96" s="47"/>
      <c r="L96" s="47"/>
      <c r="M96" s="47"/>
      <c r="N96" s="47"/>
      <c r="O96" s="47"/>
      <c r="P96" s="47"/>
      <c r="Q96" s="47"/>
      <c r="R96" s="47"/>
      <c r="S96" s="47"/>
      <c r="T96" s="47"/>
      <c r="U96" s="49" t="str">
        <f ca="1">IF(COUNTIF(OFFSET($E96,0,1):OFFSET(U96,0,-1),"=*")&gt;0,IF($C96="К","-"," - "),IF(COUNTIF(OFFSET($E96,0,1):OFFSET(U96,0,-1),"&lt;4")&gt;0,IF(C96="К","-"," - "),(IFERROR(AVERAGE(OFFSET($E96,0,1):OFFSET(U96,0,-1)),"Очікую"))))</f>
        <v>Очікую</v>
      </c>
      <c r="V96" s="49" t="str">
        <f t="shared" ca="1" si="1"/>
        <v>Очікую</v>
      </c>
      <c r="W96" s="36"/>
      <c r="X96" s="42"/>
    </row>
    <row r="97" spans="1:24" s="12" customFormat="1" ht="15" customHeight="1" x14ac:dyDescent="0.25">
      <c r="A97" s="43"/>
      <c r="B97" s="34"/>
      <c r="C97" s="47"/>
      <c r="D97" s="47">
        <v>88</v>
      </c>
      <c r="E97" s="48"/>
      <c r="F97" s="47"/>
      <c r="G97" s="47"/>
      <c r="H97" s="47"/>
      <c r="I97" s="47"/>
      <c r="J97" s="47"/>
      <c r="K97" s="47"/>
      <c r="L97" s="47"/>
      <c r="M97" s="47"/>
      <c r="N97" s="47"/>
      <c r="O97" s="47"/>
      <c r="P97" s="47"/>
      <c r="Q97" s="47"/>
      <c r="R97" s="47"/>
      <c r="S97" s="47"/>
      <c r="T97" s="47"/>
      <c r="U97" s="49" t="str">
        <f ca="1">IF(COUNTIF(OFFSET($E97,0,1):OFFSET(U97,0,-1),"=*")&gt;0,IF($C97="К","-"," - "),IF(COUNTIF(OFFSET($E97,0,1):OFFSET(U97,0,-1),"&lt;4")&gt;0,IF(C97="К","-"," - "),(IFERROR(AVERAGE(OFFSET($E97,0,1):OFFSET(U97,0,-1)),"Очікую"))))</f>
        <v>Очікую</v>
      </c>
      <c r="V97" s="49" t="str">
        <f t="shared" ca="1" si="1"/>
        <v>Очікую</v>
      </c>
      <c r="W97" s="36"/>
      <c r="X97" s="42"/>
    </row>
    <row r="98" spans="1:24" s="12" customFormat="1" ht="15" customHeight="1" x14ac:dyDescent="0.25">
      <c r="A98" s="43"/>
      <c r="B98" s="34"/>
      <c r="C98" s="47"/>
      <c r="D98" s="47">
        <v>89</v>
      </c>
      <c r="E98" s="48"/>
      <c r="F98" s="47"/>
      <c r="G98" s="47"/>
      <c r="H98" s="47"/>
      <c r="I98" s="47"/>
      <c r="J98" s="47"/>
      <c r="K98" s="47"/>
      <c r="L98" s="47"/>
      <c r="M98" s="47"/>
      <c r="N98" s="47"/>
      <c r="O98" s="47"/>
      <c r="P98" s="47"/>
      <c r="Q98" s="47"/>
      <c r="R98" s="47"/>
      <c r="S98" s="47"/>
      <c r="T98" s="47"/>
      <c r="U98" s="49" t="str">
        <f ca="1">IF(COUNTIF(OFFSET($E98,0,1):OFFSET(U98,0,-1),"=*")&gt;0,IF($C98="К","-"," - "),IF(COUNTIF(OFFSET($E98,0,1):OFFSET(U98,0,-1),"&lt;4")&gt;0,IF(C98="К","-"," - "),(IFERROR(AVERAGE(OFFSET($E98,0,1):OFFSET(U98,0,-1)),"Очікую"))))</f>
        <v>Очікую</v>
      </c>
      <c r="V98" s="49" t="str">
        <f t="shared" ca="1" si="1"/>
        <v>Очікую</v>
      </c>
      <c r="W98" s="36"/>
      <c r="X98" s="42"/>
    </row>
    <row r="99" spans="1:24" s="12" customFormat="1" ht="15" customHeight="1" x14ac:dyDescent="0.25">
      <c r="A99" s="43"/>
      <c r="B99" s="34"/>
      <c r="C99" s="47"/>
      <c r="D99" s="47">
        <v>90</v>
      </c>
      <c r="E99" s="48"/>
      <c r="F99" s="47"/>
      <c r="G99" s="47"/>
      <c r="H99" s="47"/>
      <c r="I99" s="47"/>
      <c r="J99" s="47"/>
      <c r="K99" s="47"/>
      <c r="L99" s="47"/>
      <c r="M99" s="47"/>
      <c r="N99" s="47"/>
      <c r="O99" s="47"/>
      <c r="P99" s="47"/>
      <c r="Q99" s="47"/>
      <c r="R99" s="47"/>
      <c r="S99" s="47"/>
      <c r="T99" s="47"/>
      <c r="U99" s="49" t="str">
        <f ca="1">IF(COUNTIF(OFFSET($E99,0,1):OFFSET(U99,0,-1),"=*")&gt;0,IF($C99="К","-"," - "),IF(COUNTIF(OFFSET($E99,0,1):OFFSET(U99,0,-1),"&lt;4")&gt;0,IF(C99="К","-"," - "),(IFERROR(AVERAGE(OFFSET($E99,0,1):OFFSET(U99,0,-1)),"Очікую"))))</f>
        <v>Очікую</v>
      </c>
      <c r="V99" s="49" t="str">
        <f t="shared" ca="1" si="1"/>
        <v>Очікую</v>
      </c>
      <c r="W99" s="36"/>
      <c r="X99" s="42"/>
    </row>
    <row r="100" spans="1:24" s="12" customFormat="1" ht="15" customHeight="1" x14ac:dyDescent="0.25">
      <c r="A100" s="43"/>
      <c r="B100" s="34"/>
      <c r="C100" s="47"/>
      <c r="D100" s="47">
        <v>91</v>
      </c>
      <c r="E100" s="48"/>
      <c r="F100" s="47"/>
      <c r="G100" s="47"/>
      <c r="H100" s="47"/>
      <c r="I100" s="47"/>
      <c r="J100" s="47"/>
      <c r="K100" s="47"/>
      <c r="L100" s="47"/>
      <c r="M100" s="47"/>
      <c r="N100" s="47"/>
      <c r="O100" s="47"/>
      <c r="P100" s="47"/>
      <c r="Q100" s="47"/>
      <c r="R100" s="47"/>
      <c r="S100" s="47"/>
      <c r="T100" s="47"/>
      <c r="U100" s="49" t="str">
        <f ca="1">IF(COUNTIF(OFFSET($E100,0,1):OFFSET(U100,0,-1),"=*")&gt;0,IF($C100="К","-"," - "),IF(COUNTIF(OFFSET($E100,0,1):OFFSET(U100,0,-1),"&lt;4")&gt;0,IF(C100="К","-"," - "),(IFERROR(AVERAGE(OFFSET($E100,0,1):OFFSET(U100,0,-1)),"Очікую"))))</f>
        <v>Очікую</v>
      </c>
      <c r="V100" s="49" t="str">
        <f t="shared" ca="1" si="1"/>
        <v>Очікую</v>
      </c>
      <c r="W100" s="36"/>
      <c r="X100" s="42"/>
    </row>
    <row r="101" spans="1:24" s="12" customFormat="1" ht="15" customHeight="1" x14ac:dyDescent="0.25">
      <c r="A101" s="43"/>
      <c r="B101" s="34"/>
      <c r="C101" s="47"/>
      <c r="D101" s="47">
        <v>92</v>
      </c>
      <c r="E101" s="48"/>
      <c r="F101" s="47"/>
      <c r="G101" s="47"/>
      <c r="H101" s="47"/>
      <c r="I101" s="47"/>
      <c r="J101" s="47"/>
      <c r="K101" s="47"/>
      <c r="L101" s="47"/>
      <c r="M101" s="47"/>
      <c r="N101" s="47"/>
      <c r="O101" s="47"/>
      <c r="P101" s="47"/>
      <c r="Q101" s="47"/>
      <c r="R101" s="47"/>
      <c r="S101" s="47"/>
      <c r="T101" s="47"/>
      <c r="U101" s="49" t="str">
        <f ca="1">IF(COUNTIF(OFFSET($E101,0,1):OFFSET(U101,0,-1),"=*")&gt;0,IF($C101="К","-"," - "),IF(COUNTIF(OFFSET($E101,0,1):OFFSET(U101,0,-1),"&lt;4")&gt;0,IF(C101="К","-"," - "),(IFERROR(AVERAGE(OFFSET($E101,0,1):OFFSET(U101,0,-1)),"Очікую"))))</f>
        <v>Очікую</v>
      </c>
      <c r="V101" s="49" t="str">
        <f t="shared" ca="1" si="1"/>
        <v>Очікую</v>
      </c>
      <c r="W101" s="36"/>
      <c r="X101" s="42"/>
    </row>
    <row r="102" spans="1:24" s="12" customFormat="1" ht="15" customHeight="1" x14ac:dyDescent="0.25">
      <c r="A102" s="43"/>
      <c r="B102" s="34"/>
      <c r="C102" s="47"/>
      <c r="D102" s="47">
        <v>93</v>
      </c>
      <c r="E102" s="48"/>
      <c r="F102" s="47"/>
      <c r="G102" s="47"/>
      <c r="H102" s="47"/>
      <c r="I102" s="47"/>
      <c r="J102" s="47"/>
      <c r="K102" s="47"/>
      <c r="L102" s="47"/>
      <c r="M102" s="47"/>
      <c r="N102" s="47"/>
      <c r="O102" s="47"/>
      <c r="P102" s="47"/>
      <c r="Q102" s="47"/>
      <c r="R102" s="47"/>
      <c r="S102" s="47"/>
      <c r="T102" s="47"/>
      <c r="U102" s="49" t="str">
        <f ca="1">IF(COUNTIF(OFFSET($E102,0,1):OFFSET(U102,0,-1),"=*")&gt;0,IF($C102="К","-"," - "),IF(COUNTIF(OFFSET($E102,0,1):OFFSET(U102,0,-1),"&lt;4")&gt;0,IF(C102="К","-"," - "),(IFERROR(AVERAGE(OFFSET($E102,0,1):OFFSET(U102,0,-1)),"Очікую"))))</f>
        <v>Очікую</v>
      </c>
      <c r="V102" s="49" t="str">
        <f t="shared" ca="1" si="1"/>
        <v>Очікую</v>
      </c>
      <c r="W102" s="36"/>
      <c r="X102" s="42"/>
    </row>
    <row r="103" spans="1:24" s="12" customFormat="1" ht="15" customHeight="1" x14ac:dyDescent="0.25">
      <c r="A103" s="43"/>
      <c r="B103" s="34"/>
      <c r="C103" s="47"/>
      <c r="D103" s="47">
        <v>94</v>
      </c>
      <c r="E103" s="48"/>
      <c r="F103" s="47"/>
      <c r="G103" s="47"/>
      <c r="H103" s="47"/>
      <c r="I103" s="47"/>
      <c r="J103" s="47"/>
      <c r="K103" s="47"/>
      <c r="L103" s="47"/>
      <c r="M103" s="47"/>
      <c r="N103" s="47"/>
      <c r="O103" s="47"/>
      <c r="P103" s="47"/>
      <c r="Q103" s="47"/>
      <c r="R103" s="47"/>
      <c r="S103" s="47"/>
      <c r="T103" s="47"/>
      <c r="U103" s="49" t="str">
        <f ca="1">IF(COUNTIF(OFFSET($E103,0,1):OFFSET(U103,0,-1),"=*")&gt;0,IF($C103="К","-"," - "),IF(COUNTIF(OFFSET($E103,0,1):OFFSET(U103,0,-1),"&lt;4")&gt;0,IF(C103="К","-"," - "),(IFERROR(AVERAGE(OFFSET($E103,0,1):OFFSET(U103,0,-1)),"Очікую"))))</f>
        <v>Очікую</v>
      </c>
      <c r="V103" s="49" t="str">
        <f t="shared" ca="1" si="1"/>
        <v>Очікую</v>
      </c>
      <c r="W103" s="36"/>
      <c r="X103" s="42"/>
    </row>
    <row r="104" spans="1:24" s="12" customFormat="1" ht="15" customHeight="1" x14ac:dyDescent="0.25">
      <c r="A104" s="43"/>
      <c r="B104" s="34"/>
      <c r="C104" s="47"/>
      <c r="D104" s="47">
        <v>95</v>
      </c>
      <c r="E104" s="48"/>
      <c r="F104" s="47"/>
      <c r="G104" s="47"/>
      <c r="H104" s="47"/>
      <c r="I104" s="47"/>
      <c r="J104" s="47"/>
      <c r="K104" s="47"/>
      <c r="L104" s="47"/>
      <c r="M104" s="47"/>
      <c r="N104" s="47"/>
      <c r="O104" s="47"/>
      <c r="P104" s="47"/>
      <c r="Q104" s="47"/>
      <c r="R104" s="47"/>
      <c r="S104" s="47"/>
      <c r="T104" s="47"/>
      <c r="U104" s="49" t="str">
        <f ca="1">IF(COUNTIF(OFFSET($E104,0,1):OFFSET(U104,0,-1),"=*")&gt;0,IF($C104="К","-"," - "),IF(COUNTIF(OFFSET($E104,0,1):OFFSET(U104,0,-1),"&lt;4")&gt;0,IF(C104="К","-"," - "),(IFERROR(AVERAGE(OFFSET($E104,0,1):OFFSET(U104,0,-1)),"Очікую"))))</f>
        <v>Очікую</v>
      </c>
      <c r="V104" s="49" t="str">
        <f t="shared" ca="1" si="1"/>
        <v>Очікую</v>
      </c>
      <c r="W104" s="36"/>
      <c r="X104" s="42"/>
    </row>
    <row r="105" spans="1:24" s="12" customFormat="1" ht="15" customHeight="1" x14ac:dyDescent="0.25">
      <c r="A105" s="43"/>
      <c r="B105" s="34"/>
      <c r="C105" s="47"/>
      <c r="D105" s="47">
        <v>96</v>
      </c>
      <c r="E105" s="48"/>
      <c r="F105" s="47"/>
      <c r="G105" s="47"/>
      <c r="H105" s="47"/>
      <c r="I105" s="47"/>
      <c r="J105" s="47"/>
      <c r="K105" s="47"/>
      <c r="L105" s="47"/>
      <c r="M105" s="47"/>
      <c r="N105" s="47"/>
      <c r="O105" s="47"/>
      <c r="P105" s="47"/>
      <c r="Q105" s="47"/>
      <c r="R105" s="47"/>
      <c r="S105" s="47"/>
      <c r="T105" s="47"/>
      <c r="U105" s="49" t="str">
        <f ca="1">IF(COUNTIF(OFFSET($E105,0,1):OFFSET(U105,0,-1),"=*")&gt;0,IF($C105="К","-"," - "),IF(COUNTIF(OFFSET($E105,0,1):OFFSET(U105,0,-1),"&lt;4")&gt;0,IF(C105="К","-"," - "),(IFERROR(AVERAGE(OFFSET($E105,0,1):OFFSET(U105,0,-1)),"Очікую"))))</f>
        <v>Очікую</v>
      </c>
      <c r="V105" s="49" t="str">
        <f t="shared" ca="1" si="1"/>
        <v>Очікую</v>
      </c>
      <c r="W105" s="36"/>
      <c r="X105" s="42"/>
    </row>
    <row r="106" spans="1:24" s="12" customFormat="1" ht="15" customHeight="1" x14ac:dyDescent="0.25">
      <c r="A106" s="43"/>
      <c r="B106" s="34"/>
      <c r="C106" s="47"/>
      <c r="D106" s="47">
        <v>97</v>
      </c>
      <c r="E106" s="48"/>
      <c r="F106" s="47"/>
      <c r="G106" s="47"/>
      <c r="H106" s="47"/>
      <c r="I106" s="47"/>
      <c r="J106" s="47"/>
      <c r="K106" s="47"/>
      <c r="L106" s="47"/>
      <c r="M106" s="47"/>
      <c r="N106" s="47"/>
      <c r="O106" s="47"/>
      <c r="P106" s="47"/>
      <c r="Q106" s="47"/>
      <c r="R106" s="47"/>
      <c r="S106" s="47"/>
      <c r="T106" s="47"/>
      <c r="U106" s="49" t="str">
        <f ca="1">IF(COUNTIF(OFFSET($E106,0,1):OFFSET(U106,0,-1),"=*")&gt;0,IF($C106="К","-"," - "),IF(COUNTIF(OFFSET($E106,0,1):OFFSET(U106,0,-1),"&lt;4")&gt;0,IF(C106="К","-"," - "),(IFERROR(AVERAGE(OFFSET($E106,0,1):OFFSET(U106,0,-1)),"Очікую"))))</f>
        <v>Очікую</v>
      </c>
      <c r="V106" s="49" t="str">
        <f t="shared" ca="1" si="1"/>
        <v>Очікую</v>
      </c>
      <c r="W106" s="36"/>
      <c r="X106" s="42"/>
    </row>
    <row r="107" spans="1:24" s="12" customFormat="1" ht="15" customHeight="1" x14ac:dyDescent="0.25">
      <c r="A107" s="43"/>
      <c r="B107" s="34"/>
      <c r="C107" s="47"/>
      <c r="D107" s="47">
        <v>98</v>
      </c>
      <c r="E107" s="48"/>
      <c r="F107" s="47"/>
      <c r="G107" s="47"/>
      <c r="H107" s="47"/>
      <c r="I107" s="47"/>
      <c r="J107" s="47"/>
      <c r="K107" s="47"/>
      <c r="L107" s="47"/>
      <c r="M107" s="47"/>
      <c r="N107" s="47"/>
      <c r="O107" s="47"/>
      <c r="P107" s="47"/>
      <c r="Q107" s="47"/>
      <c r="R107" s="47"/>
      <c r="S107" s="47"/>
      <c r="T107" s="47"/>
      <c r="U107" s="49" t="str">
        <f ca="1">IF(COUNTIF(OFFSET($E107,0,1):OFFSET(U107,0,-1),"=*")&gt;0,IF($C107="К","-"," - "),IF(COUNTIF(OFFSET($E107,0,1):OFFSET(U107,0,-1),"&lt;4")&gt;0,IF(C107="К","-"," - "),(IFERROR(AVERAGE(OFFSET($E107,0,1):OFFSET(U107,0,-1)),"Очікую"))))</f>
        <v>Очікую</v>
      </c>
      <c r="V107" s="49" t="str">
        <f t="shared" ca="1" si="1"/>
        <v>Очікую</v>
      </c>
      <c r="W107" s="36"/>
      <c r="X107" s="42"/>
    </row>
    <row r="108" spans="1:24" s="12" customFormat="1" ht="15" customHeight="1" x14ac:dyDescent="0.25">
      <c r="A108" s="43"/>
      <c r="B108" s="34"/>
      <c r="C108" s="47"/>
      <c r="D108" s="47">
        <v>99</v>
      </c>
      <c r="E108" s="48"/>
      <c r="F108" s="47"/>
      <c r="G108" s="47"/>
      <c r="H108" s="47"/>
      <c r="I108" s="47"/>
      <c r="J108" s="47"/>
      <c r="K108" s="47"/>
      <c r="L108" s="47"/>
      <c r="M108" s="47"/>
      <c r="N108" s="47"/>
      <c r="O108" s="47"/>
      <c r="P108" s="47"/>
      <c r="Q108" s="47"/>
      <c r="R108" s="47"/>
      <c r="S108" s="47"/>
      <c r="T108" s="47"/>
      <c r="U108" s="49" t="str">
        <f ca="1">IF(COUNTIF(OFFSET($E108,0,1):OFFSET(U108,0,-1),"=*")&gt;0,IF($C108="К","-"," - "),IF(COUNTIF(OFFSET($E108,0,1):OFFSET(U108,0,-1),"&lt;4")&gt;0,IF(C108="К","-"," - "),(IFERROR(AVERAGE(OFFSET($E108,0,1):OFFSET(U108,0,-1)),"Очікую"))))</f>
        <v>Очікую</v>
      </c>
      <c r="V108" s="49" t="str">
        <f t="shared" ca="1" si="1"/>
        <v>Очікую</v>
      </c>
      <c r="W108" s="36"/>
      <c r="X108" s="42"/>
    </row>
    <row r="109" spans="1:24" s="12" customFormat="1" ht="15" customHeight="1" x14ac:dyDescent="0.25">
      <c r="A109" s="43"/>
      <c r="B109" s="34"/>
      <c r="C109" s="47"/>
      <c r="D109" s="47">
        <v>100</v>
      </c>
      <c r="E109" s="48"/>
      <c r="F109" s="47"/>
      <c r="G109" s="47"/>
      <c r="H109" s="47"/>
      <c r="I109" s="47"/>
      <c r="J109" s="47"/>
      <c r="K109" s="47"/>
      <c r="L109" s="47"/>
      <c r="M109" s="47"/>
      <c r="N109" s="47"/>
      <c r="O109" s="47"/>
      <c r="P109" s="47"/>
      <c r="Q109" s="47"/>
      <c r="R109" s="47"/>
      <c r="S109" s="47"/>
      <c r="T109" s="47"/>
      <c r="U109" s="49" t="str">
        <f ca="1">IF(COUNTIF(OFFSET($E109,0,1):OFFSET(U109,0,-1),"=*")&gt;0,IF($C109="К","-"," - "),IF(COUNTIF(OFFSET($E109,0,1):OFFSET(U109,0,-1),"&lt;4")&gt;0,IF(C109="К","-"," - "),(IFERROR(AVERAGE(OFFSET($E109,0,1):OFFSET(U109,0,-1)),"Очікую"))))</f>
        <v>Очікую</v>
      </c>
      <c r="V109" s="49" t="str">
        <f t="shared" ca="1" si="1"/>
        <v>Очікую</v>
      </c>
      <c r="W109" s="36"/>
      <c r="X109" s="42"/>
    </row>
    <row r="110" spans="1:24" ht="15" customHeight="1" x14ac:dyDescent="0.25">
      <c r="A110" s="43"/>
      <c r="B110" s="34"/>
      <c r="C110" s="27"/>
      <c r="D110" s="27"/>
      <c r="E110" s="28" t="s">
        <v>9</v>
      </c>
      <c r="F110" s="5" t="str">
        <f ca="1">З1!F115</f>
        <v>Очікую</v>
      </c>
      <c r="G110" s="27"/>
      <c r="H110" s="29"/>
      <c r="I110" s="27"/>
      <c r="J110" s="27"/>
      <c r="K110" s="27"/>
      <c r="L110" s="27"/>
      <c r="M110" s="27"/>
      <c r="N110" s="27"/>
      <c r="O110" s="27"/>
      <c r="P110" s="30"/>
      <c r="Q110" s="29"/>
      <c r="R110" s="27"/>
      <c r="S110" s="27"/>
      <c r="T110" s="27"/>
      <c r="U110" s="27"/>
      <c r="V110" s="27"/>
      <c r="W110" s="35"/>
      <c r="X110" s="42"/>
    </row>
    <row r="111" spans="1:24" ht="15" customHeight="1" x14ac:dyDescent="0.3">
      <c r="A111" s="43"/>
      <c r="B111" s="34"/>
      <c r="C111" s="27"/>
      <c r="D111" s="27"/>
      <c r="E111" s="28" t="s">
        <v>10</v>
      </c>
      <c r="F111" s="5" t="str">
        <f ca="1">З1!F116</f>
        <v>Очікую</v>
      </c>
      <c r="G111" s="27"/>
      <c r="H111" s="64" t="s">
        <v>11</v>
      </c>
      <c r="I111" s="64"/>
      <c r="J111" s="64"/>
      <c r="K111" s="64"/>
      <c r="L111" s="64"/>
      <c r="M111" s="7"/>
      <c r="N111" s="7"/>
      <c r="O111" s="7"/>
      <c r="P111" s="65" t="s">
        <v>81</v>
      </c>
      <c r="Q111" s="65"/>
      <c r="R111" s="65"/>
      <c r="S111" s="65"/>
      <c r="T111" s="65"/>
      <c r="U111" s="65"/>
      <c r="V111" s="27"/>
      <c r="W111" s="35"/>
      <c r="X111" s="42"/>
    </row>
    <row r="112" spans="1:24" ht="15" customHeight="1" x14ac:dyDescent="0.25">
      <c r="A112" s="43"/>
      <c r="B112" s="34"/>
      <c r="C112" s="27"/>
      <c r="D112" s="27"/>
      <c r="E112" s="28" t="s">
        <v>12</v>
      </c>
      <c r="F112" s="5">
        <f>З1!F117</f>
        <v>0</v>
      </c>
      <c r="G112" s="27"/>
      <c r="H112" s="11"/>
      <c r="I112" s="7"/>
      <c r="J112" s="7"/>
      <c r="K112" s="7"/>
      <c r="L112" s="7"/>
      <c r="M112" s="7"/>
      <c r="N112" s="7"/>
      <c r="O112" s="7"/>
      <c r="P112" s="11"/>
      <c r="Q112" s="11"/>
      <c r="R112" s="7"/>
      <c r="S112" s="7"/>
      <c r="T112" s="7"/>
      <c r="U112" s="7"/>
      <c r="V112" s="27"/>
      <c r="W112" s="35"/>
      <c r="X112" s="42"/>
    </row>
    <row r="113" spans="1:24" ht="15" customHeight="1" x14ac:dyDescent="0.3">
      <c r="A113" s="43"/>
      <c r="B113" s="34"/>
      <c r="C113" s="27"/>
      <c r="D113" s="27"/>
      <c r="E113" s="28" t="s">
        <v>13</v>
      </c>
      <c r="F113" s="5" t="str">
        <f ca="1">З1!F118</f>
        <v>Очікую</v>
      </c>
      <c r="G113" s="27"/>
      <c r="H113" s="65" t="s">
        <v>14</v>
      </c>
      <c r="I113" s="65"/>
      <c r="J113" s="65"/>
      <c r="K113" s="65"/>
      <c r="L113" s="65"/>
      <c r="M113" s="7"/>
      <c r="N113" s="7"/>
      <c r="O113" s="7"/>
      <c r="P113" s="65" t="s">
        <v>15</v>
      </c>
      <c r="Q113" s="65"/>
      <c r="R113" s="65"/>
      <c r="S113" s="65"/>
      <c r="T113" s="65"/>
      <c r="U113" s="65"/>
      <c r="V113" s="27"/>
      <c r="W113" s="35"/>
      <c r="X113" s="42"/>
    </row>
    <row r="114" spans="1:24" ht="12" customHeight="1" thickBot="1" x14ac:dyDescent="0.3">
      <c r="A114" s="43"/>
      <c r="B114" s="37"/>
      <c r="C114" s="38"/>
      <c r="D114" s="38"/>
      <c r="E114" s="38"/>
      <c r="F114" s="38"/>
      <c r="G114" s="38"/>
      <c r="H114" s="38"/>
      <c r="I114" s="38"/>
      <c r="J114" s="38"/>
      <c r="K114" s="38"/>
      <c r="L114" s="38"/>
      <c r="M114" s="38"/>
      <c r="N114" s="38"/>
      <c r="O114" s="38"/>
      <c r="P114" s="38"/>
      <c r="Q114" s="38"/>
      <c r="R114" s="38"/>
      <c r="S114" s="38"/>
      <c r="T114" s="38"/>
      <c r="U114" s="38"/>
      <c r="V114" s="38"/>
      <c r="W114" s="39"/>
      <c r="X114" s="42"/>
    </row>
    <row r="115" spans="1:24" ht="12" customHeight="1" x14ac:dyDescent="0.25">
      <c r="A115" s="41"/>
      <c r="B115" s="17"/>
      <c r="C115" s="17"/>
      <c r="D115" s="17"/>
      <c r="E115" s="17"/>
      <c r="F115" s="17"/>
      <c r="G115" s="17"/>
      <c r="H115" s="17"/>
      <c r="I115" s="17"/>
      <c r="J115" s="17"/>
      <c r="K115" s="17"/>
      <c r="L115" s="17"/>
      <c r="M115" s="17"/>
      <c r="N115" s="17"/>
      <c r="O115" s="17"/>
      <c r="P115" s="17"/>
      <c r="Q115" s="17"/>
      <c r="R115" s="17"/>
      <c r="S115" s="17"/>
      <c r="T115" s="17"/>
      <c r="U115" s="17"/>
      <c r="V115" s="17"/>
      <c r="W115" s="17"/>
      <c r="X115" s="42"/>
    </row>
    <row r="116" spans="1:24" ht="0" hidden="1" customHeight="1" x14ac:dyDescent="0.25">
      <c r="A116" s="44"/>
      <c r="X116" s="44"/>
    </row>
    <row r="117" spans="1:24" ht="0" hidden="1" customHeight="1" x14ac:dyDescent="0.25">
      <c r="A117" s="44"/>
      <c r="X117" s="44"/>
    </row>
    <row r="118" spans="1:24" ht="0" hidden="1" customHeight="1" x14ac:dyDescent="0.25">
      <c r="A118" s="44"/>
      <c r="X118" s="44"/>
    </row>
    <row r="119" spans="1:24" ht="0" hidden="1" customHeight="1" x14ac:dyDescent="0.25">
      <c r="A119" s="44"/>
      <c r="X119" s="44"/>
    </row>
    <row r="120" spans="1:24" ht="0" hidden="1"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row>
  </sheetData>
  <sheetProtection insertRows="0" deleteRows="0"/>
  <mergeCells count="13">
    <mergeCell ref="H111:L111"/>
    <mergeCell ref="P111:U111"/>
    <mergeCell ref="H113:L113"/>
    <mergeCell ref="P113:U113"/>
    <mergeCell ref="C8:C9"/>
    <mergeCell ref="D8:D9"/>
    <mergeCell ref="E8:E9"/>
    <mergeCell ref="F8:V8"/>
    <mergeCell ref="C3:V3"/>
    <mergeCell ref="C4:V4"/>
    <mergeCell ref="C5:V5"/>
    <mergeCell ref="C6:V6"/>
    <mergeCell ref="C7:V7"/>
  </mergeCells>
  <printOptions horizontalCentered="1"/>
  <pageMargins left="0.19685039370078741" right="0.19685039370078741" top="0.19685039370078741" bottom="0.19685039370078741" header="0" footer="0"/>
  <pageSetup paperSize="9" scale="3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26B0A"/>
    <pageSetUpPr fitToPage="1"/>
  </sheetPr>
  <dimension ref="A1:BI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2" width="11.28515625" style="1" customWidth="1"/>
    <col min="23" max="24" width="2.7109375" style="1" customWidth="1"/>
    <col min="25" max="30" width="14.42578125" style="1" hidden="1" customWidth="1"/>
    <col min="31" max="31" width="14.85546875" style="1" hidden="1" customWidth="1"/>
    <col min="32" max="45" width="3.7109375" style="1" hidden="1" customWidth="1"/>
    <col min="46" max="61" width="5.7109375" style="1" hidden="1" customWidth="1"/>
    <col min="62" max="16384" width="14.42578125" style="1" hidden="1"/>
  </cols>
  <sheetData>
    <row r="1" spans="1:24"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c r="X1" s="41"/>
    </row>
    <row r="2" spans="1:24" ht="12" customHeight="1" x14ac:dyDescent="0.25">
      <c r="A2" s="43"/>
      <c r="B2" s="31"/>
      <c r="C2" s="32"/>
      <c r="D2" s="32"/>
      <c r="E2" s="32"/>
      <c r="F2" s="32"/>
      <c r="G2" s="32"/>
      <c r="H2" s="32"/>
      <c r="I2" s="32"/>
      <c r="J2" s="32"/>
      <c r="K2" s="32"/>
      <c r="L2" s="32"/>
      <c r="M2" s="32"/>
      <c r="N2" s="32"/>
      <c r="O2" s="32"/>
      <c r="P2" s="32"/>
      <c r="Q2" s="32"/>
      <c r="R2" s="32"/>
      <c r="S2" s="32"/>
      <c r="T2" s="32"/>
      <c r="U2" s="32"/>
      <c r="V2" s="32"/>
      <c r="W2" s="33"/>
      <c r="X2" s="42"/>
    </row>
    <row r="3" spans="1:24" s="2" customFormat="1" ht="54.95" customHeight="1" x14ac:dyDescent="0.3">
      <c r="A3" s="43"/>
      <c r="B3" s="34"/>
      <c r="C3" s="74" t="s">
        <v>19</v>
      </c>
      <c r="D3" s="74"/>
      <c r="E3" s="74"/>
      <c r="F3" s="74"/>
      <c r="G3" s="74"/>
      <c r="H3" s="74"/>
      <c r="I3" s="74"/>
      <c r="J3" s="74"/>
      <c r="K3" s="74"/>
      <c r="L3" s="74"/>
      <c r="M3" s="74"/>
      <c r="N3" s="74"/>
      <c r="O3" s="74"/>
      <c r="P3" s="74"/>
      <c r="Q3" s="74"/>
      <c r="R3" s="74"/>
      <c r="S3" s="74"/>
      <c r="T3" s="74"/>
      <c r="U3" s="74"/>
      <c r="V3" s="74"/>
      <c r="W3" s="35"/>
      <c r="X3" s="42"/>
    </row>
    <row r="4" spans="1:24" s="3" customFormat="1" ht="15" customHeight="1" x14ac:dyDescent="0.25">
      <c r="A4" s="43"/>
      <c r="B4" s="34"/>
      <c r="C4" s="75" t="s">
        <v>38</v>
      </c>
      <c r="D4" s="75"/>
      <c r="E4" s="75"/>
      <c r="F4" s="75"/>
      <c r="G4" s="75"/>
      <c r="H4" s="75"/>
      <c r="I4" s="75"/>
      <c r="J4" s="75"/>
      <c r="K4" s="75"/>
      <c r="L4" s="75"/>
      <c r="M4" s="75"/>
      <c r="N4" s="75"/>
      <c r="O4" s="75"/>
      <c r="P4" s="75"/>
      <c r="Q4" s="75"/>
      <c r="R4" s="75"/>
      <c r="S4" s="75"/>
      <c r="T4" s="75"/>
      <c r="U4" s="75"/>
      <c r="V4" s="75"/>
      <c r="W4" s="35"/>
      <c r="X4" s="42"/>
    </row>
    <row r="5" spans="1:24" s="2" customFormat="1" ht="15" customHeight="1" x14ac:dyDescent="0.25">
      <c r="A5" s="43"/>
      <c r="B5" s="34"/>
      <c r="C5" s="76" t="s">
        <v>35</v>
      </c>
      <c r="D5" s="76"/>
      <c r="E5" s="76"/>
      <c r="F5" s="76"/>
      <c r="G5" s="76"/>
      <c r="H5" s="76"/>
      <c r="I5" s="76"/>
      <c r="J5" s="76"/>
      <c r="K5" s="76"/>
      <c r="L5" s="76"/>
      <c r="M5" s="76"/>
      <c r="N5" s="76"/>
      <c r="O5" s="76"/>
      <c r="P5" s="76"/>
      <c r="Q5" s="76"/>
      <c r="R5" s="76"/>
      <c r="S5" s="76"/>
      <c r="T5" s="76"/>
      <c r="U5" s="76"/>
      <c r="V5" s="76"/>
      <c r="W5" s="35"/>
      <c r="X5" s="42"/>
    </row>
    <row r="6" spans="1:24" s="2" customFormat="1" ht="15" customHeight="1" x14ac:dyDescent="0.25">
      <c r="A6" s="43"/>
      <c r="B6" s="34"/>
      <c r="C6" s="76" t="s">
        <v>37</v>
      </c>
      <c r="D6" s="76"/>
      <c r="E6" s="76"/>
      <c r="F6" s="76"/>
      <c r="G6" s="76"/>
      <c r="H6" s="76"/>
      <c r="I6" s="76"/>
      <c r="J6" s="76"/>
      <c r="K6" s="76"/>
      <c r="L6" s="76"/>
      <c r="M6" s="76"/>
      <c r="N6" s="76"/>
      <c r="O6" s="76"/>
      <c r="P6" s="76"/>
      <c r="Q6" s="76"/>
      <c r="R6" s="76"/>
      <c r="S6" s="76"/>
      <c r="T6" s="76"/>
      <c r="U6" s="76"/>
      <c r="V6" s="76"/>
      <c r="W6" s="35"/>
      <c r="X6" s="42"/>
    </row>
    <row r="7" spans="1:24" s="2" customFormat="1" ht="15" customHeight="1" x14ac:dyDescent="0.25">
      <c r="A7" s="43"/>
      <c r="B7" s="34"/>
      <c r="C7" s="77" t="s">
        <v>36</v>
      </c>
      <c r="D7" s="77"/>
      <c r="E7" s="77"/>
      <c r="F7" s="77"/>
      <c r="G7" s="77"/>
      <c r="H7" s="77"/>
      <c r="I7" s="77"/>
      <c r="J7" s="77"/>
      <c r="K7" s="77"/>
      <c r="L7" s="77"/>
      <c r="M7" s="77"/>
      <c r="N7" s="77"/>
      <c r="O7" s="77"/>
      <c r="P7" s="77"/>
      <c r="Q7" s="77"/>
      <c r="R7" s="77"/>
      <c r="S7" s="77"/>
      <c r="T7" s="77"/>
      <c r="U7" s="77"/>
      <c r="V7" s="77"/>
      <c r="W7" s="35"/>
      <c r="X7" s="42"/>
    </row>
    <row r="8" spans="1:24" ht="15" customHeight="1" x14ac:dyDescent="0.25">
      <c r="A8" s="43"/>
      <c r="B8" s="34"/>
      <c r="C8" s="71" t="s">
        <v>0</v>
      </c>
      <c r="D8" s="73" t="s">
        <v>1</v>
      </c>
      <c r="E8" s="73" t="s">
        <v>2</v>
      </c>
      <c r="F8" s="72" t="s">
        <v>17</v>
      </c>
      <c r="G8" s="72"/>
      <c r="H8" s="72"/>
      <c r="I8" s="72"/>
      <c r="J8" s="72"/>
      <c r="K8" s="72"/>
      <c r="L8" s="72"/>
      <c r="M8" s="72"/>
      <c r="N8" s="72"/>
      <c r="O8" s="72"/>
      <c r="P8" s="72"/>
      <c r="Q8" s="72"/>
      <c r="R8" s="72"/>
      <c r="S8" s="72"/>
      <c r="T8" s="72"/>
      <c r="U8" s="72"/>
      <c r="V8" s="72"/>
      <c r="W8" s="35"/>
      <c r="X8" s="42"/>
    </row>
    <row r="9" spans="1:24" ht="125.1" customHeight="1" x14ac:dyDescent="0.25">
      <c r="A9" s="43"/>
      <c r="B9" s="34"/>
      <c r="C9" s="72"/>
      <c r="D9" s="72"/>
      <c r="E9" s="72"/>
      <c r="F9" s="53" t="s">
        <v>20</v>
      </c>
      <c r="G9" s="53" t="s">
        <v>21</v>
      </c>
      <c r="H9" s="53" t="s">
        <v>22</v>
      </c>
      <c r="I9" s="53" t="s">
        <v>23</v>
      </c>
      <c r="J9" s="53" t="s">
        <v>24</v>
      </c>
      <c r="K9" s="53" t="s">
        <v>25</v>
      </c>
      <c r="L9" s="53" t="s">
        <v>26</v>
      </c>
      <c r="M9" s="53" t="s">
        <v>27</v>
      </c>
      <c r="N9" s="53" t="s">
        <v>28</v>
      </c>
      <c r="O9" s="53" t="s">
        <v>29</v>
      </c>
      <c r="P9" s="53" t="s">
        <v>30</v>
      </c>
      <c r="Q9" s="53" t="s">
        <v>31</v>
      </c>
      <c r="R9" s="53" t="s">
        <v>32</v>
      </c>
      <c r="S9" s="53" t="s">
        <v>33</v>
      </c>
      <c r="T9" s="53" t="s">
        <v>34</v>
      </c>
      <c r="U9" s="6" t="s">
        <v>3</v>
      </c>
      <c r="V9" s="6" t="s">
        <v>39</v>
      </c>
      <c r="W9" s="35"/>
      <c r="X9" s="42"/>
    </row>
    <row r="10" spans="1:24" s="12" customFormat="1" ht="15" customHeight="1" x14ac:dyDescent="0.25">
      <c r="A10" s="43"/>
      <c r="B10" s="34"/>
      <c r="C10" s="50"/>
      <c r="D10" s="50">
        <v>1</v>
      </c>
      <c r="E10" s="51"/>
      <c r="F10" s="50"/>
      <c r="G10" s="50"/>
      <c r="H10" s="50"/>
      <c r="I10" s="50"/>
      <c r="J10" s="50"/>
      <c r="K10" s="50"/>
      <c r="L10" s="50"/>
      <c r="M10" s="50"/>
      <c r="N10" s="50"/>
      <c r="O10" s="50"/>
      <c r="P10" s="50"/>
      <c r="Q10" s="50"/>
      <c r="R10" s="50"/>
      <c r="S10" s="50"/>
      <c r="T10" s="50"/>
      <c r="U10" s="54" t="str">
        <f ca="1">IF(COUNTIF(OFFSET($E10,0,1):OFFSET(U10,0,-1),"=*")&gt;0,IF($C10="К","-"," - "),IF(COUNTIF(OFFSET($E10,0,1):OFFSET(U10,0,-1),"&lt;4")&gt;0,IF(C10="К","-"," - "),(IFERROR(AVERAGE(OFFSET($E10,0,1):OFFSET(U10,0,-1)),"Очікую"))))</f>
        <v>Очікую</v>
      </c>
      <c r="V10" s="54" t="str">
        <f t="shared" ref="V10:V38" ca="1" si="0">IFERROR(U10/12*90,"Очікую")</f>
        <v>Очікую</v>
      </c>
      <c r="W10" s="36"/>
      <c r="X10" s="42"/>
    </row>
    <row r="11" spans="1:24" s="12" customFormat="1" ht="15" customHeight="1" x14ac:dyDescent="0.25">
      <c r="A11" s="43"/>
      <c r="B11" s="34"/>
      <c r="C11" s="50"/>
      <c r="D11" s="50">
        <v>2</v>
      </c>
      <c r="E11" s="51"/>
      <c r="F11" s="50"/>
      <c r="G11" s="50"/>
      <c r="H11" s="50"/>
      <c r="I11" s="50"/>
      <c r="J11" s="50"/>
      <c r="K11" s="50"/>
      <c r="L11" s="50"/>
      <c r="M11" s="50"/>
      <c r="N11" s="50"/>
      <c r="O11" s="50"/>
      <c r="P11" s="50"/>
      <c r="Q11" s="50"/>
      <c r="R11" s="50"/>
      <c r="S11" s="50"/>
      <c r="T11" s="50"/>
      <c r="U11" s="54" t="str">
        <f ca="1">IF(COUNTIF(OFFSET($E11,0,1):OFFSET(U11,0,-1),"=*")&gt;0,IF($C11="К","-"," - "),IF(COUNTIF(OFFSET($E11,0,1):OFFSET(U11,0,-1),"&lt;4")&gt;0,IF(C11="К","-"," - "),(IFERROR(AVERAGE(OFFSET($E11,0,1):OFFSET(U11,0,-1)),"Очікую"))))</f>
        <v>Очікую</v>
      </c>
      <c r="V11" s="54" t="str">
        <f t="shared" ca="1" si="0"/>
        <v>Очікую</v>
      </c>
      <c r="W11" s="36"/>
      <c r="X11" s="42"/>
    </row>
    <row r="12" spans="1:24" s="12" customFormat="1" ht="15" customHeight="1" x14ac:dyDescent="0.25">
      <c r="A12" s="43"/>
      <c r="B12" s="34"/>
      <c r="C12" s="50"/>
      <c r="D12" s="50">
        <v>3</v>
      </c>
      <c r="E12" s="51"/>
      <c r="F12" s="50"/>
      <c r="G12" s="50"/>
      <c r="H12" s="50"/>
      <c r="I12" s="50"/>
      <c r="J12" s="50"/>
      <c r="K12" s="50"/>
      <c r="L12" s="50"/>
      <c r="M12" s="50"/>
      <c r="N12" s="50"/>
      <c r="O12" s="50"/>
      <c r="P12" s="50"/>
      <c r="Q12" s="50"/>
      <c r="R12" s="50"/>
      <c r="S12" s="50"/>
      <c r="T12" s="50"/>
      <c r="U12" s="54" t="str">
        <f ca="1">IF(COUNTIF(OFFSET($E12,0,1):OFFSET(U12,0,-1),"=*")&gt;0,IF($C12="К","-"," - "),IF(COUNTIF(OFFSET($E12,0,1):OFFSET(U12,0,-1),"&lt;4")&gt;0,IF(C12="К","-"," - "),(IFERROR(AVERAGE(OFFSET($E12,0,1):OFFSET(U12,0,-1)),"Очікую"))))</f>
        <v>Очікую</v>
      </c>
      <c r="V12" s="54" t="str">
        <f t="shared" ca="1" si="0"/>
        <v>Очікую</v>
      </c>
      <c r="W12" s="36"/>
      <c r="X12" s="42"/>
    </row>
    <row r="13" spans="1:24" s="12" customFormat="1" ht="15" customHeight="1" x14ac:dyDescent="0.25">
      <c r="A13" s="43"/>
      <c r="B13" s="34"/>
      <c r="C13" s="50"/>
      <c r="D13" s="50">
        <v>4</v>
      </c>
      <c r="E13" s="51"/>
      <c r="F13" s="50"/>
      <c r="G13" s="50"/>
      <c r="H13" s="50"/>
      <c r="I13" s="50"/>
      <c r="J13" s="50"/>
      <c r="K13" s="50"/>
      <c r="L13" s="50"/>
      <c r="M13" s="50"/>
      <c r="N13" s="50"/>
      <c r="O13" s="50"/>
      <c r="P13" s="50"/>
      <c r="Q13" s="50"/>
      <c r="R13" s="50"/>
      <c r="S13" s="50"/>
      <c r="T13" s="50"/>
      <c r="U13" s="54" t="str">
        <f ca="1">IF(COUNTIF(OFFSET($E13,0,1):OFFSET(U13,0,-1),"=*")&gt;0,IF($C13="К","-"," - "),IF(COUNTIF(OFFSET($E13,0,1):OFFSET(U13,0,-1),"&lt;4")&gt;0,IF(C13="К","-"," - "),(IFERROR(AVERAGE(OFFSET($E13,0,1):OFFSET(U13,0,-1)),"Очікую"))))</f>
        <v>Очікую</v>
      </c>
      <c r="V13" s="54" t="str">
        <f t="shared" ca="1" si="0"/>
        <v>Очікую</v>
      </c>
      <c r="W13" s="36"/>
      <c r="X13" s="42"/>
    </row>
    <row r="14" spans="1:24" s="12" customFormat="1" ht="15" customHeight="1" x14ac:dyDescent="0.25">
      <c r="A14" s="43"/>
      <c r="B14" s="34"/>
      <c r="C14" s="50"/>
      <c r="D14" s="50">
        <v>5</v>
      </c>
      <c r="E14" s="51"/>
      <c r="F14" s="50"/>
      <c r="G14" s="50"/>
      <c r="H14" s="50"/>
      <c r="I14" s="50"/>
      <c r="J14" s="50"/>
      <c r="K14" s="50"/>
      <c r="L14" s="50"/>
      <c r="M14" s="50"/>
      <c r="N14" s="50"/>
      <c r="O14" s="50"/>
      <c r="P14" s="50"/>
      <c r="Q14" s="50"/>
      <c r="R14" s="50"/>
      <c r="S14" s="50"/>
      <c r="T14" s="50"/>
      <c r="U14" s="54" t="str">
        <f ca="1">IF(COUNTIF(OFFSET($E14,0,1):OFFSET(U14,0,-1),"=*")&gt;0,IF($C14="К","-"," - "),IF(COUNTIF(OFFSET($E14,0,1):OFFSET(U14,0,-1),"&lt;4")&gt;0,IF(C14="К","-"," - "),(IFERROR(AVERAGE(OFFSET($E14,0,1):OFFSET(U14,0,-1)),"Очікую"))))</f>
        <v>Очікую</v>
      </c>
      <c r="V14" s="54" t="str">
        <f t="shared" ca="1" si="0"/>
        <v>Очікую</v>
      </c>
      <c r="W14" s="36"/>
      <c r="X14" s="42"/>
    </row>
    <row r="15" spans="1:24" s="12" customFormat="1" ht="15" customHeight="1" x14ac:dyDescent="0.25">
      <c r="A15" s="43"/>
      <c r="B15" s="34"/>
      <c r="C15" s="50"/>
      <c r="D15" s="50">
        <v>6</v>
      </c>
      <c r="E15" s="51"/>
      <c r="F15" s="50"/>
      <c r="G15" s="50"/>
      <c r="H15" s="50"/>
      <c r="I15" s="50"/>
      <c r="J15" s="50"/>
      <c r="K15" s="50"/>
      <c r="L15" s="50"/>
      <c r="M15" s="50"/>
      <c r="N15" s="50"/>
      <c r="O15" s="50"/>
      <c r="P15" s="50"/>
      <c r="Q15" s="50"/>
      <c r="R15" s="50"/>
      <c r="S15" s="50"/>
      <c r="T15" s="50"/>
      <c r="U15" s="54" t="str">
        <f ca="1">IF(COUNTIF(OFFSET($E15,0,1):OFFSET(U15,0,-1),"=*")&gt;0,IF($C15="К","-"," - "),IF(COUNTIF(OFFSET($E15,0,1):OFFSET(U15,0,-1),"&lt;4")&gt;0,IF(C15="К","-"," - "),(IFERROR(AVERAGE(OFFSET($E15,0,1):OFFSET(U15,0,-1)),"Очікую"))))</f>
        <v>Очікую</v>
      </c>
      <c r="V15" s="54" t="str">
        <f t="shared" ca="1" si="0"/>
        <v>Очікую</v>
      </c>
      <c r="W15" s="36"/>
      <c r="X15" s="42"/>
    </row>
    <row r="16" spans="1:24" s="12" customFormat="1" ht="15" customHeight="1" x14ac:dyDescent="0.25">
      <c r="A16" s="43"/>
      <c r="B16" s="34"/>
      <c r="C16" s="50"/>
      <c r="D16" s="50">
        <v>7</v>
      </c>
      <c r="E16" s="51"/>
      <c r="F16" s="50"/>
      <c r="G16" s="50"/>
      <c r="H16" s="50"/>
      <c r="I16" s="50"/>
      <c r="J16" s="50"/>
      <c r="K16" s="50"/>
      <c r="L16" s="50"/>
      <c r="M16" s="50"/>
      <c r="N16" s="50"/>
      <c r="O16" s="50"/>
      <c r="P16" s="50"/>
      <c r="Q16" s="50"/>
      <c r="R16" s="50"/>
      <c r="S16" s="50"/>
      <c r="T16" s="50"/>
      <c r="U16" s="54" t="str">
        <f ca="1">IF(COUNTIF(OFFSET($E16,0,1):OFFSET(U16,0,-1),"=*")&gt;0,IF($C16="К","-"," - "),IF(COUNTIF(OFFSET($E16,0,1):OFFSET(U16,0,-1),"&lt;4")&gt;0,IF(C16="К","-"," - "),(IFERROR(AVERAGE(OFFSET($E16,0,1):OFFSET(U16,0,-1)),"Очікую"))))</f>
        <v>Очікую</v>
      </c>
      <c r="V16" s="54" t="str">
        <f t="shared" ca="1" si="0"/>
        <v>Очікую</v>
      </c>
      <c r="W16" s="36"/>
      <c r="X16" s="42"/>
    </row>
    <row r="17" spans="1:24" s="12" customFormat="1" ht="15" customHeight="1" x14ac:dyDescent="0.25">
      <c r="A17" s="43"/>
      <c r="B17" s="34"/>
      <c r="C17" s="50"/>
      <c r="D17" s="50">
        <v>8</v>
      </c>
      <c r="E17" s="51"/>
      <c r="F17" s="50"/>
      <c r="G17" s="50"/>
      <c r="H17" s="50"/>
      <c r="I17" s="50"/>
      <c r="J17" s="50"/>
      <c r="K17" s="50"/>
      <c r="L17" s="50"/>
      <c r="M17" s="50"/>
      <c r="N17" s="50"/>
      <c r="O17" s="50"/>
      <c r="P17" s="50"/>
      <c r="Q17" s="50"/>
      <c r="R17" s="50"/>
      <c r="S17" s="50"/>
      <c r="T17" s="50"/>
      <c r="U17" s="54" t="str">
        <f ca="1">IF(COUNTIF(OFFSET($E17,0,1):OFFSET(U17,0,-1),"=*")&gt;0,IF($C17="К","-"," - "),IF(COUNTIF(OFFSET($E17,0,1):OFFSET(U17,0,-1),"&lt;4")&gt;0,IF(C17="К","-"," - "),(IFERROR(AVERAGE(OFFSET($E17,0,1):OFFSET(U17,0,-1)),"Очікую"))))</f>
        <v>Очікую</v>
      </c>
      <c r="V17" s="54" t="str">
        <f t="shared" ca="1" si="0"/>
        <v>Очікую</v>
      </c>
      <c r="W17" s="36"/>
      <c r="X17" s="42"/>
    </row>
    <row r="18" spans="1:24" s="12" customFormat="1" ht="15" customHeight="1" x14ac:dyDescent="0.25">
      <c r="A18" s="43"/>
      <c r="B18" s="34"/>
      <c r="C18" s="50"/>
      <c r="D18" s="50">
        <v>9</v>
      </c>
      <c r="E18" s="51"/>
      <c r="F18" s="50"/>
      <c r="G18" s="50"/>
      <c r="H18" s="50"/>
      <c r="I18" s="50"/>
      <c r="J18" s="50"/>
      <c r="K18" s="50"/>
      <c r="L18" s="50"/>
      <c r="M18" s="50"/>
      <c r="N18" s="50"/>
      <c r="O18" s="50"/>
      <c r="P18" s="50"/>
      <c r="Q18" s="50"/>
      <c r="R18" s="50"/>
      <c r="S18" s="50"/>
      <c r="T18" s="50"/>
      <c r="U18" s="54" t="str">
        <f ca="1">IF(COUNTIF(OFFSET($E18,0,1):OFFSET(U18,0,-1),"=*")&gt;0,IF($C18="К","-"," - "),IF(COUNTIF(OFFSET($E18,0,1):OFFSET(U18,0,-1),"&lt;4")&gt;0,IF(C18="К","-"," - "),(IFERROR(AVERAGE(OFFSET($E18,0,1):OFFSET(U18,0,-1)),"Очікую"))))</f>
        <v>Очікую</v>
      </c>
      <c r="V18" s="54" t="str">
        <f t="shared" ca="1" si="0"/>
        <v>Очікую</v>
      </c>
      <c r="W18" s="36"/>
      <c r="X18" s="42"/>
    </row>
    <row r="19" spans="1:24" s="12" customFormat="1" ht="15" customHeight="1" x14ac:dyDescent="0.25">
      <c r="A19" s="43"/>
      <c r="B19" s="34"/>
      <c r="C19" s="50"/>
      <c r="D19" s="50">
        <v>10</v>
      </c>
      <c r="E19" s="51"/>
      <c r="F19" s="50"/>
      <c r="G19" s="50"/>
      <c r="H19" s="50"/>
      <c r="I19" s="50"/>
      <c r="J19" s="50"/>
      <c r="K19" s="50"/>
      <c r="L19" s="50"/>
      <c r="M19" s="50"/>
      <c r="N19" s="50"/>
      <c r="O19" s="50"/>
      <c r="P19" s="50"/>
      <c r="Q19" s="50"/>
      <c r="R19" s="50"/>
      <c r="S19" s="50"/>
      <c r="T19" s="50"/>
      <c r="U19" s="54" t="str">
        <f ca="1">IF(COUNTIF(OFFSET($E19,0,1):OFFSET(U19,0,-1),"=*")&gt;0,IF($C19="К","-"," - "),IF(COUNTIF(OFFSET($E19,0,1):OFFSET(U19,0,-1),"&lt;4")&gt;0,IF(C19="К","-"," - "),(IFERROR(AVERAGE(OFFSET($E19,0,1):OFFSET(U19,0,-1)),"Очікую"))))</f>
        <v>Очікую</v>
      </c>
      <c r="V19" s="54" t="str">
        <f t="shared" ca="1" si="0"/>
        <v>Очікую</v>
      </c>
      <c r="W19" s="36"/>
      <c r="X19" s="42"/>
    </row>
    <row r="20" spans="1:24" s="12" customFormat="1" ht="15" customHeight="1" x14ac:dyDescent="0.25">
      <c r="A20" s="43"/>
      <c r="B20" s="34"/>
      <c r="C20" s="50"/>
      <c r="D20" s="50">
        <v>11</v>
      </c>
      <c r="E20" s="51"/>
      <c r="F20" s="50"/>
      <c r="G20" s="50"/>
      <c r="H20" s="50"/>
      <c r="I20" s="50"/>
      <c r="J20" s="50"/>
      <c r="K20" s="50"/>
      <c r="L20" s="50"/>
      <c r="M20" s="50"/>
      <c r="N20" s="50"/>
      <c r="O20" s="50"/>
      <c r="P20" s="50"/>
      <c r="Q20" s="50"/>
      <c r="R20" s="50"/>
      <c r="S20" s="50"/>
      <c r="T20" s="50"/>
      <c r="U20" s="54" t="str">
        <f ca="1">IF(COUNTIF(OFFSET($E20,0,1):OFFSET(U20,0,-1),"=*")&gt;0,IF($C20="К","-"," - "),IF(COUNTIF(OFFSET($E20,0,1):OFFSET(U20,0,-1),"&lt;4")&gt;0,IF(C20="К","-"," - "),(IFERROR(AVERAGE(OFFSET($E20,0,1):OFFSET(U20,0,-1)),"Очікую"))))</f>
        <v>Очікую</v>
      </c>
      <c r="V20" s="54" t="str">
        <f t="shared" ca="1" si="0"/>
        <v>Очікую</v>
      </c>
      <c r="W20" s="36"/>
      <c r="X20" s="42"/>
    </row>
    <row r="21" spans="1:24" s="12" customFormat="1" ht="15" customHeight="1" x14ac:dyDescent="0.25">
      <c r="A21" s="43"/>
      <c r="B21" s="34"/>
      <c r="C21" s="50"/>
      <c r="D21" s="50">
        <v>12</v>
      </c>
      <c r="E21" s="51"/>
      <c r="F21" s="50"/>
      <c r="G21" s="50"/>
      <c r="H21" s="50"/>
      <c r="I21" s="50"/>
      <c r="J21" s="50"/>
      <c r="K21" s="50"/>
      <c r="L21" s="50"/>
      <c r="M21" s="50"/>
      <c r="N21" s="50"/>
      <c r="O21" s="50"/>
      <c r="P21" s="50"/>
      <c r="Q21" s="50"/>
      <c r="R21" s="50"/>
      <c r="S21" s="50"/>
      <c r="T21" s="50"/>
      <c r="U21" s="54" t="str">
        <f ca="1">IF(COUNTIF(OFFSET($E21,0,1):OFFSET(U21,0,-1),"=*")&gt;0,IF($C21="К","-"," - "),IF(COUNTIF(OFFSET($E21,0,1):OFFSET(U21,0,-1),"&lt;4")&gt;0,IF(C21="К","-"," - "),(IFERROR(AVERAGE(OFFSET($E21,0,1):OFFSET(U21,0,-1)),"Очікую"))))</f>
        <v>Очікую</v>
      </c>
      <c r="V21" s="54" t="str">
        <f t="shared" ca="1" si="0"/>
        <v>Очікую</v>
      </c>
      <c r="W21" s="36"/>
      <c r="X21" s="42"/>
    </row>
    <row r="22" spans="1:24" s="12" customFormat="1" ht="15" customHeight="1" x14ac:dyDescent="0.25">
      <c r="A22" s="43"/>
      <c r="B22" s="34"/>
      <c r="C22" s="50"/>
      <c r="D22" s="50">
        <v>13</v>
      </c>
      <c r="E22" s="51"/>
      <c r="F22" s="50"/>
      <c r="G22" s="50"/>
      <c r="H22" s="50"/>
      <c r="I22" s="50"/>
      <c r="J22" s="50"/>
      <c r="K22" s="50"/>
      <c r="L22" s="50"/>
      <c r="M22" s="50"/>
      <c r="N22" s="50"/>
      <c r="O22" s="50"/>
      <c r="P22" s="50"/>
      <c r="Q22" s="50"/>
      <c r="R22" s="50"/>
      <c r="S22" s="50"/>
      <c r="T22" s="50"/>
      <c r="U22" s="54" t="str">
        <f ca="1">IF(COUNTIF(OFFSET($E22,0,1):OFFSET(U22,0,-1),"=*")&gt;0,IF($C22="К","-"," - "),IF(COUNTIF(OFFSET($E22,0,1):OFFSET(U22,0,-1),"&lt;4")&gt;0,IF(C22="К","-"," - "),(IFERROR(AVERAGE(OFFSET($E22,0,1):OFFSET(U22,0,-1)),"Очікую"))))</f>
        <v>Очікую</v>
      </c>
      <c r="V22" s="54" t="str">
        <f t="shared" ca="1" si="0"/>
        <v>Очікую</v>
      </c>
      <c r="W22" s="36"/>
      <c r="X22" s="42"/>
    </row>
    <row r="23" spans="1:24" s="12" customFormat="1" ht="15" customHeight="1" x14ac:dyDescent="0.25">
      <c r="A23" s="43"/>
      <c r="B23" s="34"/>
      <c r="C23" s="50"/>
      <c r="D23" s="50">
        <v>14</v>
      </c>
      <c r="E23" s="51"/>
      <c r="F23" s="50"/>
      <c r="G23" s="50"/>
      <c r="H23" s="50"/>
      <c r="I23" s="50"/>
      <c r="J23" s="50"/>
      <c r="K23" s="50"/>
      <c r="L23" s="50"/>
      <c r="M23" s="50"/>
      <c r="N23" s="50"/>
      <c r="O23" s="50"/>
      <c r="P23" s="50"/>
      <c r="Q23" s="50"/>
      <c r="R23" s="50"/>
      <c r="S23" s="50"/>
      <c r="T23" s="50"/>
      <c r="U23" s="54" t="str">
        <f ca="1">IF(COUNTIF(OFFSET($E23,0,1):OFFSET(U23,0,-1),"=*")&gt;0,IF($C23="К","-"," - "),IF(COUNTIF(OFFSET($E23,0,1):OFFSET(U23,0,-1),"&lt;4")&gt;0,IF(C23="К","-"," - "),(IFERROR(AVERAGE(OFFSET($E23,0,1):OFFSET(U23,0,-1)),"Очікую"))))</f>
        <v>Очікую</v>
      </c>
      <c r="V23" s="54" t="str">
        <f t="shared" ca="1" si="0"/>
        <v>Очікую</v>
      </c>
      <c r="W23" s="36"/>
      <c r="X23" s="42"/>
    </row>
    <row r="24" spans="1:24" s="12" customFormat="1" ht="15" customHeight="1" x14ac:dyDescent="0.25">
      <c r="A24" s="43"/>
      <c r="B24" s="34"/>
      <c r="C24" s="50"/>
      <c r="D24" s="50">
        <v>15</v>
      </c>
      <c r="E24" s="51"/>
      <c r="F24" s="50"/>
      <c r="G24" s="50"/>
      <c r="H24" s="50"/>
      <c r="I24" s="50"/>
      <c r="J24" s="50"/>
      <c r="K24" s="50"/>
      <c r="L24" s="50"/>
      <c r="M24" s="50"/>
      <c r="N24" s="50"/>
      <c r="O24" s="50"/>
      <c r="P24" s="50"/>
      <c r="Q24" s="50"/>
      <c r="R24" s="50"/>
      <c r="S24" s="50"/>
      <c r="T24" s="50"/>
      <c r="U24" s="54" t="str">
        <f ca="1">IF(COUNTIF(OFFSET($E24,0,1):OFFSET(U24,0,-1),"=*")&gt;0,IF($C24="К","-"," - "),IF(COUNTIF(OFFSET($E24,0,1):OFFSET(U24,0,-1),"&lt;4")&gt;0,IF(C24="К","-"," - "),(IFERROR(AVERAGE(OFFSET($E24,0,1):OFFSET(U24,0,-1)),"Очікую"))))</f>
        <v>Очікую</v>
      </c>
      <c r="V24" s="54" t="str">
        <f t="shared" ca="1" si="0"/>
        <v>Очікую</v>
      </c>
      <c r="W24" s="36"/>
      <c r="X24" s="42"/>
    </row>
    <row r="25" spans="1:24" s="12" customFormat="1" ht="15" customHeight="1" x14ac:dyDescent="0.25">
      <c r="A25" s="43"/>
      <c r="B25" s="34"/>
      <c r="C25" s="50"/>
      <c r="D25" s="50">
        <v>16</v>
      </c>
      <c r="E25" s="51"/>
      <c r="F25" s="50"/>
      <c r="G25" s="50"/>
      <c r="H25" s="50"/>
      <c r="I25" s="50"/>
      <c r="J25" s="50"/>
      <c r="K25" s="50"/>
      <c r="L25" s="50"/>
      <c r="M25" s="50"/>
      <c r="N25" s="50"/>
      <c r="O25" s="50"/>
      <c r="P25" s="50"/>
      <c r="Q25" s="50"/>
      <c r="R25" s="50"/>
      <c r="S25" s="50"/>
      <c r="T25" s="50"/>
      <c r="U25" s="54" t="str">
        <f ca="1">IF(COUNTIF(OFFSET($E25,0,1):OFFSET(U25,0,-1),"=*")&gt;0,IF($C25="К","-"," - "),IF(COUNTIF(OFFSET($E25,0,1):OFFSET(U25,0,-1),"&lt;4")&gt;0,IF(C25="К","-"," - "),(IFERROR(AVERAGE(OFFSET($E25,0,1):OFFSET(U25,0,-1)),"Очікую"))))</f>
        <v>Очікую</v>
      </c>
      <c r="V25" s="54" t="str">
        <f t="shared" ca="1" si="0"/>
        <v>Очікую</v>
      </c>
      <c r="W25" s="36"/>
      <c r="X25" s="42"/>
    </row>
    <row r="26" spans="1:24" s="12" customFormat="1" ht="15" customHeight="1" x14ac:dyDescent="0.25">
      <c r="A26" s="43"/>
      <c r="B26" s="34"/>
      <c r="C26" s="50"/>
      <c r="D26" s="50">
        <v>17</v>
      </c>
      <c r="E26" s="51"/>
      <c r="F26" s="50"/>
      <c r="G26" s="50"/>
      <c r="H26" s="50"/>
      <c r="I26" s="50"/>
      <c r="J26" s="50"/>
      <c r="K26" s="50"/>
      <c r="L26" s="50"/>
      <c r="M26" s="50"/>
      <c r="N26" s="50"/>
      <c r="O26" s="50"/>
      <c r="P26" s="50"/>
      <c r="Q26" s="50"/>
      <c r="R26" s="50"/>
      <c r="S26" s="50"/>
      <c r="T26" s="50"/>
      <c r="U26" s="54" t="str">
        <f ca="1">IF(COUNTIF(OFFSET($E26,0,1):OFFSET(U26,0,-1),"=*")&gt;0,IF($C26="К","-"," - "),IF(COUNTIF(OFFSET($E26,0,1):OFFSET(U26,0,-1),"&lt;4")&gt;0,IF(C26="К","-"," - "),(IFERROR(AVERAGE(OFFSET($E26,0,1):OFFSET(U26,0,-1)),"Очікую"))))</f>
        <v>Очікую</v>
      </c>
      <c r="V26" s="54" t="str">
        <f t="shared" ca="1" si="0"/>
        <v>Очікую</v>
      </c>
      <c r="W26" s="36"/>
      <c r="X26" s="42"/>
    </row>
    <row r="27" spans="1:24" s="12" customFormat="1" ht="15" customHeight="1" x14ac:dyDescent="0.25">
      <c r="A27" s="43"/>
      <c r="B27" s="34"/>
      <c r="C27" s="50"/>
      <c r="D27" s="50">
        <v>18</v>
      </c>
      <c r="E27" s="51"/>
      <c r="F27" s="50"/>
      <c r="G27" s="50"/>
      <c r="H27" s="50"/>
      <c r="I27" s="50"/>
      <c r="J27" s="50"/>
      <c r="K27" s="50"/>
      <c r="L27" s="50"/>
      <c r="M27" s="50"/>
      <c r="N27" s="50"/>
      <c r="O27" s="50"/>
      <c r="P27" s="50"/>
      <c r="Q27" s="50"/>
      <c r="R27" s="50"/>
      <c r="S27" s="50"/>
      <c r="T27" s="50"/>
      <c r="U27" s="54" t="str">
        <f ca="1">IF(COUNTIF(OFFSET($E27,0,1):OFFSET(U27,0,-1),"=*")&gt;0,IF($C27="К","-"," - "),IF(COUNTIF(OFFSET($E27,0,1):OFFSET(U27,0,-1),"&lt;4")&gt;0,IF(C27="К","-"," - "),(IFERROR(AVERAGE(OFFSET($E27,0,1):OFFSET(U27,0,-1)),"Очікую"))))</f>
        <v>Очікую</v>
      </c>
      <c r="V27" s="54" t="str">
        <f t="shared" ca="1" si="0"/>
        <v>Очікую</v>
      </c>
      <c r="W27" s="36"/>
      <c r="X27" s="42"/>
    </row>
    <row r="28" spans="1:24" s="12" customFormat="1" ht="15" customHeight="1" x14ac:dyDescent="0.25">
      <c r="A28" s="43"/>
      <c r="B28" s="34"/>
      <c r="C28" s="50"/>
      <c r="D28" s="50">
        <v>19</v>
      </c>
      <c r="E28" s="51"/>
      <c r="F28" s="50"/>
      <c r="G28" s="50"/>
      <c r="H28" s="50"/>
      <c r="I28" s="50"/>
      <c r="J28" s="50"/>
      <c r="K28" s="50"/>
      <c r="L28" s="50"/>
      <c r="M28" s="50"/>
      <c r="N28" s="50"/>
      <c r="O28" s="50"/>
      <c r="P28" s="50"/>
      <c r="Q28" s="50"/>
      <c r="R28" s="50"/>
      <c r="S28" s="50"/>
      <c r="T28" s="50"/>
      <c r="U28" s="54" t="str">
        <f ca="1">IF(COUNTIF(OFFSET($E28,0,1):OFFSET(U28,0,-1),"=*")&gt;0,IF($C28="К","-"," - "),IF(COUNTIF(OFFSET($E28,0,1):OFFSET(U28,0,-1),"&lt;4")&gt;0,IF(C28="К","-"," - "),(IFERROR(AVERAGE(OFFSET($E28,0,1):OFFSET(U28,0,-1)),"Очікую"))))</f>
        <v>Очікую</v>
      </c>
      <c r="V28" s="54" t="str">
        <f t="shared" ca="1" si="0"/>
        <v>Очікую</v>
      </c>
      <c r="W28" s="36"/>
      <c r="X28" s="42"/>
    </row>
    <row r="29" spans="1:24" s="12" customFormat="1" ht="15" customHeight="1" x14ac:dyDescent="0.25">
      <c r="A29" s="43"/>
      <c r="B29" s="34"/>
      <c r="C29" s="50"/>
      <c r="D29" s="50">
        <v>20</v>
      </c>
      <c r="E29" s="51"/>
      <c r="F29" s="50"/>
      <c r="G29" s="50"/>
      <c r="H29" s="50"/>
      <c r="I29" s="50"/>
      <c r="J29" s="50"/>
      <c r="K29" s="50"/>
      <c r="L29" s="50"/>
      <c r="M29" s="50"/>
      <c r="N29" s="50"/>
      <c r="O29" s="50"/>
      <c r="P29" s="50"/>
      <c r="Q29" s="50"/>
      <c r="R29" s="50"/>
      <c r="S29" s="50"/>
      <c r="T29" s="50"/>
      <c r="U29" s="54" t="str">
        <f ca="1">IF(COUNTIF(OFFSET($E29,0,1):OFFSET(U29,0,-1),"=*")&gt;0,IF($C29="К","-"," - "),IF(COUNTIF(OFFSET($E29,0,1):OFFSET(U29,0,-1),"&lt;4")&gt;0,IF(C29="К","-"," - "),(IFERROR(AVERAGE(OFFSET($E29,0,1):OFFSET(U29,0,-1)),"Очікую"))))</f>
        <v>Очікую</v>
      </c>
      <c r="V29" s="54" t="str">
        <f t="shared" ca="1" si="0"/>
        <v>Очікую</v>
      </c>
      <c r="W29" s="36"/>
      <c r="X29" s="42"/>
    </row>
    <row r="30" spans="1:24" s="12" customFormat="1" ht="15" customHeight="1" x14ac:dyDescent="0.25">
      <c r="A30" s="43"/>
      <c r="B30" s="34"/>
      <c r="C30" s="50"/>
      <c r="D30" s="50">
        <v>21</v>
      </c>
      <c r="E30" s="51"/>
      <c r="F30" s="50"/>
      <c r="G30" s="50"/>
      <c r="H30" s="50"/>
      <c r="I30" s="50"/>
      <c r="J30" s="50"/>
      <c r="K30" s="50"/>
      <c r="L30" s="50"/>
      <c r="M30" s="50"/>
      <c r="N30" s="50"/>
      <c r="O30" s="50"/>
      <c r="P30" s="50"/>
      <c r="Q30" s="50"/>
      <c r="R30" s="50"/>
      <c r="S30" s="50"/>
      <c r="T30" s="50"/>
      <c r="U30" s="54" t="str">
        <f ca="1">IF(COUNTIF(OFFSET($E30,0,1):OFFSET(U30,0,-1),"=*")&gt;0,IF($C30="К","-"," - "),IF(COUNTIF(OFFSET($E30,0,1):OFFSET(U30,0,-1),"&lt;4")&gt;0,IF(C30="К","-"," - "),(IFERROR(AVERAGE(OFFSET($E30,0,1):OFFSET(U30,0,-1)),"Очікую"))))</f>
        <v>Очікую</v>
      </c>
      <c r="V30" s="54" t="str">
        <f t="shared" ca="1" si="0"/>
        <v>Очікую</v>
      </c>
      <c r="W30" s="36"/>
      <c r="X30" s="42"/>
    </row>
    <row r="31" spans="1:24" s="12" customFormat="1" ht="15" customHeight="1" x14ac:dyDescent="0.25">
      <c r="A31" s="43"/>
      <c r="B31" s="34"/>
      <c r="C31" s="50"/>
      <c r="D31" s="50">
        <v>22</v>
      </c>
      <c r="E31" s="51"/>
      <c r="F31" s="50"/>
      <c r="G31" s="50"/>
      <c r="H31" s="50"/>
      <c r="I31" s="50"/>
      <c r="J31" s="50"/>
      <c r="K31" s="50"/>
      <c r="L31" s="50"/>
      <c r="M31" s="50"/>
      <c r="N31" s="50"/>
      <c r="O31" s="50"/>
      <c r="P31" s="50"/>
      <c r="Q31" s="50"/>
      <c r="R31" s="50"/>
      <c r="S31" s="50"/>
      <c r="T31" s="50"/>
      <c r="U31" s="54" t="str">
        <f ca="1">IF(COUNTIF(OFFSET($E31,0,1):OFFSET(U31,0,-1),"=*")&gt;0,IF($C31="К","-"," - "),IF(COUNTIF(OFFSET($E31,0,1):OFFSET(U31,0,-1),"&lt;4")&gt;0,IF(C31="К","-"," - "),(IFERROR(AVERAGE(OFFSET($E31,0,1):OFFSET(U31,0,-1)),"Очікую"))))</f>
        <v>Очікую</v>
      </c>
      <c r="V31" s="54" t="str">
        <f t="shared" ca="1" si="0"/>
        <v>Очікую</v>
      </c>
      <c r="W31" s="36"/>
      <c r="X31" s="42"/>
    </row>
    <row r="32" spans="1:24" s="12" customFormat="1" ht="15" customHeight="1" x14ac:dyDescent="0.25">
      <c r="A32" s="43"/>
      <c r="B32" s="34"/>
      <c r="C32" s="50"/>
      <c r="D32" s="50">
        <v>23</v>
      </c>
      <c r="E32" s="51"/>
      <c r="F32" s="50"/>
      <c r="G32" s="50"/>
      <c r="H32" s="50"/>
      <c r="I32" s="50"/>
      <c r="J32" s="50"/>
      <c r="K32" s="50"/>
      <c r="L32" s="50"/>
      <c r="M32" s="50"/>
      <c r="N32" s="50"/>
      <c r="O32" s="50"/>
      <c r="P32" s="50"/>
      <c r="Q32" s="50"/>
      <c r="R32" s="50"/>
      <c r="S32" s="50"/>
      <c r="T32" s="50"/>
      <c r="U32" s="54" t="str">
        <f ca="1">IF(COUNTIF(OFFSET($E32,0,1):OFFSET(U32,0,-1),"=*")&gt;0,IF($C32="К","-"," - "),IF(COUNTIF(OFFSET($E32,0,1):OFFSET(U32,0,-1),"&lt;4")&gt;0,IF(C32="К","-"," - "),(IFERROR(AVERAGE(OFFSET($E32,0,1):OFFSET(U32,0,-1)),"Очікую"))))</f>
        <v>Очікую</v>
      </c>
      <c r="V32" s="54" t="str">
        <f t="shared" ca="1" si="0"/>
        <v>Очікую</v>
      </c>
      <c r="W32" s="36"/>
      <c r="X32" s="42"/>
    </row>
    <row r="33" spans="1:24" s="12" customFormat="1" ht="15" customHeight="1" x14ac:dyDescent="0.25">
      <c r="A33" s="43"/>
      <c r="B33" s="34"/>
      <c r="C33" s="50"/>
      <c r="D33" s="50">
        <v>24</v>
      </c>
      <c r="E33" s="51"/>
      <c r="F33" s="50"/>
      <c r="G33" s="50"/>
      <c r="H33" s="50"/>
      <c r="I33" s="50"/>
      <c r="J33" s="50"/>
      <c r="K33" s="50"/>
      <c r="L33" s="50"/>
      <c r="M33" s="50"/>
      <c r="N33" s="50"/>
      <c r="O33" s="50"/>
      <c r="P33" s="50"/>
      <c r="Q33" s="50"/>
      <c r="R33" s="50"/>
      <c r="S33" s="50"/>
      <c r="T33" s="50"/>
      <c r="U33" s="54" t="str">
        <f ca="1">IF(COUNTIF(OFFSET($E33,0,1):OFFSET(U33,0,-1),"=*")&gt;0,IF($C33="К","-"," - "),IF(COUNTIF(OFFSET($E33,0,1):OFFSET(U33,0,-1),"&lt;4")&gt;0,IF(C33="К","-"," - "),(IFERROR(AVERAGE(OFFSET($E33,0,1):OFFSET(U33,0,-1)),"Очікую"))))</f>
        <v>Очікую</v>
      </c>
      <c r="V33" s="54" t="str">
        <f t="shared" ca="1" si="0"/>
        <v>Очікую</v>
      </c>
      <c r="W33" s="36"/>
      <c r="X33" s="42"/>
    </row>
    <row r="34" spans="1:24" s="12" customFormat="1" ht="15" customHeight="1" x14ac:dyDescent="0.25">
      <c r="A34" s="43"/>
      <c r="B34" s="34"/>
      <c r="C34" s="50"/>
      <c r="D34" s="50">
        <v>25</v>
      </c>
      <c r="E34" s="51"/>
      <c r="F34" s="50"/>
      <c r="G34" s="50"/>
      <c r="H34" s="50"/>
      <c r="I34" s="50"/>
      <c r="J34" s="50"/>
      <c r="K34" s="50"/>
      <c r="L34" s="50"/>
      <c r="M34" s="50"/>
      <c r="N34" s="50"/>
      <c r="O34" s="50"/>
      <c r="P34" s="50"/>
      <c r="Q34" s="50"/>
      <c r="R34" s="50"/>
      <c r="S34" s="50"/>
      <c r="T34" s="50"/>
      <c r="U34" s="54" t="str">
        <f ca="1">IF(COUNTIF(OFFSET($E34,0,1):OFFSET(U34,0,-1),"=*")&gt;0,IF($C34="К","-"," - "),IF(COUNTIF(OFFSET($E34,0,1):OFFSET(U34,0,-1),"&lt;4")&gt;0,IF(C34="К","-"," - "),(IFERROR(AVERAGE(OFFSET($E34,0,1):OFFSET(U34,0,-1)),"Очікую"))))</f>
        <v>Очікую</v>
      </c>
      <c r="V34" s="54" t="str">
        <f t="shared" ca="1" si="0"/>
        <v>Очікую</v>
      </c>
      <c r="W34" s="36"/>
      <c r="X34" s="42"/>
    </row>
    <row r="35" spans="1:24" s="12" customFormat="1" ht="15" customHeight="1" x14ac:dyDescent="0.25">
      <c r="A35" s="43"/>
      <c r="B35" s="34"/>
      <c r="C35" s="50"/>
      <c r="D35" s="50">
        <v>26</v>
      </c>
      <c r="E35" s="51"/>
      <c r="F35" s="50"/>
      <c r="G35" s="50"/>
      <c r="H35" s="50"/>
      <c r="I35" s="50"/>
      <c r="J35" s="50"/>
      <c r="K35" s="50"/>
      <c r="L35" s="50"/>
      <c r="M35" s="50"/>
      <c r="N35" s="50"/>
      <c r="O35" s="50"/>
      <c r="P35" s="50"/>
      <c r="Q35" s="50"/>
      <c r="R35" s="50"/>
      <c r="S35" s="50"/>
      <c r="T35" s="50"/>
      <c r="U35" s="54" t="str">
        <f ca="1">IF(COUNTIF(OFFSET($E35,0,1):OFFSET(U35,0,-1),"=*")&gt;0,IF($C35="К","-"," - "),IF(COUNTIF(OFFSET($E35,0,1):OFFSET(U35,0,-1),"&lt;4")&gt;0,IF(C35="К","-"," - "),(IFERROR(AVERAGE(OFFSET($E35,0,1):OFFSET(U35,0,-1)),"Очікую"))))</f>
        <v>Очікую</v>
      </c>
      <c r="V35" s="54" t="str">
        <f t="shared" ca="1" si="0"/>
        <v>Очікую</v>
      </c>
      <c r="W35" s="36"/>
      <c r="X35" s="42"/>
    </row>
    <row r="36" spans="1:24" s="12" customFormat="1" ht="15" customHeight="1" x14ac:dyDescent="0.25">
      <c r="A36" s="43"/>
      <c r="B36" s="34"/>
      <c r="C36" s="50"/>
      <c r="D36" s="50">
        <v>27</v>
      </c>
      <c r="E36" s="51"/>
      <c r="F36" s="50"/>
      <c r="G36" s="50"/>
      <c r="H36" s="50"/>
      <c r="I36" s="50"/>
      <c r="J36" s="50"/>
      <c r="K36" s="50"/>
      <c r="L36" s="50"/>
      <c r="M36" s="50"/>
      <c r="N36" s="50"/>
      <c r="O36" s="50"/>
      <c r="P36" s="50"/>
      <c r="Q36" s="50"/>
      <c r="R36" s="50"/>
      <c r="S36" s="50"/>
      <c r="T36" s="50"/>
      <c r="U36" s="54" t="str">
        <f ca="1">IF(COUNTIF(OFFSET($E36,0,1):OFFSET(U36,0,-1),"=*")&gt;0,IF($C36="К","-"," - "),IF(COUNTIF(OFFSET($E36,0,1):OFFSET(U36,0,-1),"&lt;4")&gt;0,IF(C36="К","-"," - "),(IFERROR(AVERAGE(OFFSET($E36,0,1):OFFSET(U36,0,-1)),"Очікую"))))</f>
        <v>Очікую</v>
      </c>
      <c r="V36" s="54" t="str">
        <f t="shared" ca="1" si="0"/>
        <v>Очікую</v>
      </c>
      <c r="W36" s="36"/>
      <c r="X36" s="42"/>
    </row>
    <row r="37" spans="1:24" s="12" customFormat="1" ht="15" customHeight="1" x14ac:dyDescent="0.25">
      <c r="A37" s="43"/>
      <c r="B37" s="34"/>
      <c r="C37" s="50"/>
      <c r="D37" s="50">
        <v>28</v>
      </c>
      <c r="E37" s="51"/>
      <c r="F37" s="50"/>
      <c r="G37" s="50"/>
      <c r="H37" s="50"/>
      <c r="I37" s="50"/>
      <c r="J37" s="50"/>
      <c r="K37" s="50"/>
      <c r="L37" s="50"/>
      <c r="M37" s="50"/>
      <c r="N37" s="50"/>
      <c r="O37" s="50"/>
      <c r="P37" s="50"/>
      <c r="Q37" s="50"/>
      <c r="R37" s="50"/>
      <c r="S37" s="50"/>
      <c r="T37" s="50"/>
      <c r="U37" s="54" t="str">
        <f ca="1">IF(COUNTIF(OFFSET($E37,0,1):OFFSET(U37,0,-1),"=*")&gt;0,IF($C37="К","-"," - "),IF(COUNTIF(OFFSET($E37,0,1):OFFSET(U37,0,-1),"&lt;4")&gt;0,IF(C37="К","-"," - "),(IFERROR(AVERAGE(OFFSET($E37,0,1):OFFSET(U37,0,-1)),"Очікую"))))</f>
        <v>Очікую</v>
      </c>
      <c r="V37" s="54" t="str">
        <f t="shared" ca="1" si="0"/>
        <v>Очікую</v>
      </c>
      <c r="W37" s="36"/>
      <c r="X37" s="42"/>
    </row>
    <row r="38" spans="1:24" s="12" customFormat="1" ht="15" customHeight="1" x14ac:dyDescent="0.25">
      <c r="A38" s="43"/>
      <c r="B38" s="34"/>
      <c r="C38" s="50"/>
      <c r="D38" s="50">
        <v>29</v>
      </c>
      <c r="E38" s="51"/>
      <c r="F38" s="50"/>
      <c r="G38" s="50"/>
      <c r="H38" s="50"/>
      <c r="I38" s="50"/>
      <c r="J38" s="50"/>
      <c r="K38" s="50"/>
      <c r="L38" s="50"/>
      <c r="M38" s="50"/>
      <c r="N38" s="50"/>
      <c r="O38" s="50"/>
      <c r="P38" s="50"/>
      <c r="Q38" s="50"/>
      <c r="R38" s="50"/>
      <c r="S38" s="50"/>
      <c r="T38" s="50"/>
      <c r="U38" s="54" t="str">
        <f ca="1">IF(COUNTIF(OFFSET($E38,0,1):OFFSET(U38,0,-1),"=*")&gt;0,IF($C38="К","-"," - "),IF(COUNTIF(OFFSET($E38,0,1):OFFSET(U38,0,-1),"&lt;4")&gt;0,IF(C38="К","-"," - "),(IFERROR(AVERAGE(OFFSET($E38,0,1):OFFSET(U38,0,-1)),"Очікую"))))</f>
        <v>Очікую</v>
      </c>
      <c r="V38" s="54" t="str">
        <f t="shared" ca="1" si="0"/>
        <v>Очікую</v>
      </c>
      <c r="W38" s="36"/>
      <c r="X38" s="42"/>
    </row>
    <row r="39" spans="1:24" s="12" customFormat="1" ht="15" customHeight="1" x14ac:dyDescent="0.25">
      <c r="A39" s="43"/>
      <c r="B39" s="34"/>
      <c r="C39" s="50"/>
      <c r="D39" s="50">
        <v>30</v>
      </c>
      <c r="E39" s="51"/>
      <c r="F39" s="50"/>
      <c r="G39" s="50"/>
      <c r="H39" s="50"/>
      <c r="I39" s="50"/>
      <c r="J39" s="50"/>
      <c r="K39" s="50"/>
      <c r="L39" s="50"/>
      <c r="M39" s="50"/>
      <c r="N39" s="50"/>
      <c r="O39" s="50"/>
      <c r="P39" s="50"/>
      <c r="Q39" s="50"/>
      <c r="R39" s="50"/>
      <c r="S39" s="50"/>
      <c r="T39" s="50"/>
      <c r="U39" s="54" t="str">
        <f ca="1">IF(COUNTIF(OFFSET($E39,0,1):OFFSET(U39,0,-1),"=*")&gt;0,IF($C39="К","-"," - "),IF(COUNTIF(OFFSET($E39,0,1):OFFSET(U39,0,-1),"&lt;4")&gt;0,IF(C39="К","-"," - "),(IFERROR(AVERAGE(OFFSET($E39,0,1):OFFSET(U39,0,-1)),"Очікую"))))</f>
        <v>Очікую</v>
      </c>
      <c r="V39" s="54" t="str">
        <f t="shared" ref="V39:V74" ca="1" si="1">IFERROR(U39/12*90,"Очікую")</f>
        <v>Очікую</v>
      </c>
      <c r="W39" s="36"/>
      <c r="X39" s="42"/>
    </row>
    <row r="40" spans="1:24" s="12" customFormat="1" ht="15" customHeight="1" x14ac:dyDescent="0.25">
      <c r="A40" s="43"/>
      <c r="B40" s="34"/>
      <c r="C40" s="47"/>
      <c r="D40" s="50">
        <v>31</v>
      </c>
      <c r="E40" s="48"/>
      <c r="F40" s="47"/>
      <c r="G40" s="47"/>
      <c r="H40" s="47"/>
      <c r="I40" s="47"/>
      <c r="J40" s="47"/>
      <c r="K40" s="47"/>
      <c r="L40" s="47"/>
      <c r="M40" s="47"/>
      <c r="N40" s="47"/>
      <c r="O40" s="47"/>
      <c r="P40" s="47"/>
      <c r="Q40" s="47"/>
      <c r="R40" s="47"/>
      <c r="S40" s="47"/>
      <c r="T40" s="47"/>
      <c r="U40" s="54" t="str">
        <f ca="1">IF(COUNTIF(OFFSET($E40,0,1):OFFSET(U40,0,-1),"=*")&gt;0,IF($C40="К","-"," - "),IF(COUNTIF(OFFSET($E40,0,1):OFFSET(U40,0,-1),"&lt;4")&gt;0,IF(C40="К","-"," - "),(IFERROR(AVERAGE(OFFSET($E40,0,1):OFFSET(U40,0,-1)),"Очікую"))))</f>
        <v>Очікую</v>
      </c>
      <c r="V40" s="54" t="str">
        <f t="shared" ca="1" si="1"/>
        <v>Очікую</v>
      </c>
      <c r="W40" s="36"/>
      <c r="X40" s="42"/>
    </row>
    <row r="41" spans="1:24" s="12" customFormat="1" ht="15" customHeight="1" x14ac:dyDescent="0.25">
      <c r="A41" s="43"/>
      <c r="B41" s="34"/>
      <c r="C41" s="47"/>
      <c r="D41" s="50">
        <v>32</v>
      </c>
      <c r="E41" s="48"/>
      <c r="F41" s="47"/>
      <c r="G41" s="47"/>
      <c r="H41" s="47"/>
      <c r="I41" s="47"/>
      <c r="J41" s="47"/>
      <c r="K41" s="47"/>
      <c r="L41" s="47"/>
      <c r="M41" s="47"/>
      <c r="N41" s="47"/>
      <c r="O41" s="47"/>
      <c r="P41" s="47"/>
      <c r="Q41" s="47"/>
      <c r="R41" s="47"/>
      <c r="S41" s="47"/>
      <c r="T41" s="47"/>
      <c r="U41" s="54" t="str">
        <f ca="1">IF(COUNTIF(OFFSET($E41,0,1):OFFSET(U41,0,-1),"=*")&gt;0,IF($C41="К","-"," - "),IF(COUNTIF(OFFSET($E41,0,1):OFFSET(U41,0,-1),"&lt;4")&gt;0,IF(C41="К","-"," - "),(IFERROR(AVERAGE(OFFSET($E41,0,1):OFFSET(U41,0,-1)),"Очікую"))))</f>
        <v>Очікую</v>
      </c>
      <c r="V41" s="54" t="str">
        <f t="shared" ca="1" si="1"/>
        <v>Очікую</v>
      </c>
      <c r="W41" s="36"/>
      <c r="X41" s="42"/>
    </row>
    <row r="42" spans="1:24" s="12" customFormat="1" ht="15" customHeight="1" x14ac:dyDescent="0.25">
      <c r="A42" s="43"/>
      <c r="B42" s="34"/>
      <c r="C42" s="47"/>
      <c r="D42" s="50">
        <v>33</v>
      </c>
      <c r="E42" s="48"/>
      <c r="F42" s="47"/>
      <c r="G42" s="47"/>
      <c r="H42" s="47"/>
      <c r="I42" s="47"/>
      <c r="J42" s="47"/>
      <c r="K42" s="47"/>
      <c r="L42" s="47"/>
      <c r="M42" s="47"/>
      <c r="N42" s="47"/>
      <c r="O42" s="47"/>
      <c r="P42" s="47"/>
      <c r="Q42" s="47"/>
      <c r="R42" s="47"/>
      <c r="S42" s="47"/>
      <c r="T42" s="47"/>
      <c r="U42" s="54" t="str">
        <f ca="1">IF(COUNTIF(OFFSET($E42,0,1):OFFSET(U42,0,-1),"=*")&gt;0,IF($C42="К","-"," - "),IF(COUNTIF(OFFSET($E42,0,1):OFFSET(U42,0,-1),"&lt;4")&gt;0,IF(C42="К","-"," - "),(IFERROR(AVERAGE(OFFSET($E42,0,1):OFFSET(U42,0,-1)),"Очікую"))))</f>
        <v>Очікую</v>
      </c>
      <c r="V42" s="54" t="str">
        <f t="shared" ca="1" si="1"/>
        <v>Очікую</v>
      </c>
      <c r="W42" s="36"/>
      <c r="X42" s="42"/>
    </row>
    <row r="43" spans="1:24" s="12" customFormat="1" ht="15" customHeight="1" x14ac:dyDescent="0.25">
      <c r="A43" s="43"/>
      <c r="B43" s="34"/>
      <c r="C43" s="47"/>
      <c r="D43" s="50">
        <v>34</v>
      </c>
      <c r="E43" s="48"/>
      <c r="F43" s="47"/>
      <c r="G43" s="47"/>
      <c r="H43" s="47"/>
      <c r="I43" s="47"/>
      <c r="J43" s="47"/>
      <c r="K43" s="47"/>
      <c r="L43" s="47"/>
      <c r="M43" s="47"/>
      <c r="N43" s="47"/>
      <c r="O43" s="47"/>
      <c r="P43" s="47"/>
      <c r="Q43" s="47"/>
      <c r="R43" s="47"/>
      <c r="S43" s="47"/>
      <c r="T43" s="47"/>
      <c r="U43" s="49" t="str">
        <f ca="1">IF(COUNTIF(OFFSET($E43,0,1):OFFSET(U43,0,-1),"=*")&gt;0,IF($C43="К","-"," - "),IF(COUNTIF(OFFSET($E43,0,1):OFFSET(U43,0,-1),"&lt;4")&gt;0,IF(C43="К","-"," - "),(IFERROR(AVERAGE(OFFSET($E43,0,1):OFFSET(U43,0,-1)),"Очікую"))))</f>
        <v>Очікую</v>
      </c>
      <c r="V43" s="49" t="str">
        <f t="shared" ca="1" si="1"/>
        <v>Очікую</v>
      </c>
      <c r="W43" s="36"/>
      <c r="X43" s="42"/>
    </row>
    <row r="44" spans="1:24" s="12" customFormat="1" ht="15" customHeight="1" x14ac:dyDescent="0.25">
      <c r="A44" s="43"/>
      <c r="B44" s="34"/>
      <c r="C44" s="47"/>
      <c r="D44" s="50">
        <v>35</v>
      </c>
      <c r="E44" s="48"/>
      <c r="F44" s="47"/>
      <c r="G44" s="47"/>
      <c r="H44" s="47"/>
      <c r="I44" s="47"/>
      <c r="J44" s="47"/>
      <c r="K44" s="47"/>
      <c r="L44" s="47"/>
      <c r="M44" s="47"/>
      <c r="N44" s="47"/>
      <c r="O44" s="47"/>
      <c r="P44" s="47"/>
      <c r="Q44" s="47"/>
      <c r="R44" s="47"/>
      <c r="S44" s="47"/>
      <c r="T44" s="47"/>
      <c r="U44" s="49" t="str">
        <f ca="1">IF(COUNTIF(OFFSET($E44,0,1):OFFSET(U44,0,-1),"=*")&gt;0,IF($C44="К","-"," - "),IF(COUNTIF(OFFSET($E44,0,1):OFFSET(U44,0,-1),"&lt;4")&gt;0,IF(C44="К","-"," - "),(IFERROR(AVERAGE(OFFSET($E44,0,1):OFFSET(U44,0,-1)),"Очікую"))))</f>
        <v>Очікую</v>
      </c>
      <c r="V44" s="49" t="str">
        <f t="shared" ca="1" si="1"/>
        <v>Очікую</v>
      </c>
      <c r="W44" s="36"/>
      <c r="X44" s="42"/>
    </row>
    <row r="45" spans="1:24" s="12" customFormat="1" ht="15" customHeight="1" x14ac:dyDescent="0.25">
      <c r="A45" s="43"/>
      <c r="B45" s="34"/>
      <c r="C45" s="47"/>
      <c r="D45" s="50">
        <v>36</v>
      </c>
      <c r="E45" s="48"/>
      <c r="F45" s="47"/>
      <c r="G45" s="47"/>
      <c r="H45" s="47"/>
      <c r="I45" s="47"/>
      <c r="J45" s="47"/>
      <c r="K45" s="47"/>
      <c r="L45" s="47"/>
      <c r="M45" s="47"/>
      <c r="N45" s="47"/>
      <c r="O45" s="47"/>
      <c r="P45" s="47"/>
      <c r="Q45" s="47"/>
      <c r="R45" s="47"/>
      <c r="S45" s="47"/>
      <c r="T45" s="47"/>
      <c r="U45" s="49" t="str">
        <f ca="1">IF(COUNTIF(OFFSET($E45,0,1):OFFSET(U45,0,-1),"=*")&gt;0,IF($C45="К","-"," - "),IF(COUNTIF(OFFSET($E45,0,1):OFFSET(U45,0,-1),"&lt;4")&gt;0,IF(C45="К","-"," - "),(IFERROR(AVERAGE(OFFSET($E45,0,1):OFFSET(U45,0,-1)),"Очікую"))))</f>
        <v>Очікую</v>
      </c>
      <c r="V45" s="49" t="str">
        <f t="shared" ca="1" si="1"/>
        <v>Очікую</v>
      </c>
      <c r="W45" s="36"/>
      <c r="X45" s="42"/>
    </row>
    <row r="46" spans="1:24" s="12" customFormat="1" ht="15" customHeight="1" x14ac:dyDescent="0.25">
      <c r="A46" s="43"/>
      <c r="B46" s="34"/>
      <c r="C46" s="47"/>
      <c r="D46" s="50">
        <v>37</v>
      </c>
      <c r="E46" s="48"/>
      <c r="F46" s="47"/>
      <c r="G46" s="47"/>
      <c r="H46" s="47"/>
      <c r="I46" s="47"/>
      <c r="J46" s="47"/>
      <c r="K46" s="47"/>
      <c r="L46" s="47"/>
      <c r="M46" s="47"/>
      <c r="N46" s="47"/>
      <c r="O46" s="47"/>
      <c r="P46" s="47"/>
      <c r="Q46" s="47"/>
      <c r="R46" s="47"/>
      <c r="S46" s="47"/>
      <c r="T46" s="47"/>
      <c r="U46" s="49" t="str">
        <f ca="1">IF(COUNTIF(OFFSET($E46,0,1):OFFSET(U46,0,-1),"=*")&gt;0,IF($C46="К","-"," - "),IF(COUNTIF(OFFSET($E46,0,1):OFFSET(U46,0,-1),"&lt;4")&gt;0,IF(C46="К","-"," - "),(IFERROR(AVERAGE(OFFSET($E46,0,1):OFFSET(U46,0,-1)),"Очікую"))))</f>
        <v>Очікую</v>
      </c>
      <c r="V46" s="49" t="str">
        <f t="shared" ca="1" si="1"/>
        <v>Очікую</v>
      </c>
      <c r="W46" s="36"/>
      <c r="X46" s="42"/>
    </row>
    <row r="47" spans="1:24" s="12" customFormat="1" ht="15" customHeight="1" x14ac:dyDescent="0.25">
      <c r="A47" s="43"/>
      <c r="B47" s="34"/>
      <c r="C47" s="47"/>
      <c r="D47" s="50">
        <v>38</v>
      </c>
      <c r="E47" s="48"/>
      <c r="F47" s="47"/>
      <c r="G47" s="47"/>
      <c r="H47" s="47"/>
      <c r="I47" s="47"/>
      <c r="J47" s="47"/>
      <c r="K47" s="47"/>
      <c r="L47" s="47"/>
      <c r="M47" s="47"/>
      <c r="N47" s="47"/>
      <c r="O47" s="47"/>
      <c r="P47" s="47"/>
      <c r="Q47" s="47"/>
      <c r="R47" s="47"/>
      <c r="S47" s="47"/>
      <c r="T47" s="47"/>
      <c r="U47" s="49" t="str">
        <f ca="1">IF(COUNTIF(OFFSET($E47,0,1):OFFSET(U47,0,-1),"=*")&gt;0,IF($C47="К","-"," - "),IF(COUNTIF(OFFSET($E47,0,1):OFFSET(U47,0,-1),"&lt;4")&gt;0,IF(C47="К","-"," - "),(IFERROR(AVERAGE(OFFSET($E47,0,1):OFFSET(U47,0,-1)),"Очікую"))))</f>
        <v>Очікую</v>
      </c>
      <c r="V47" s="49" t="str">
        <f t="shared" ca="1" si="1"/>
        <v>Очікую</v>
      </c>
      <c r="W47" s="36"/>
      <c r="X47" s="42"/>
    </row>
    <row r="48" spans="1:24" s="12" customFormat="1" ht="15" customHeight="1" x14ac:dyDescent="0.25">
      <c r="A48" s="43"/>
      <c r="B48" s="34"/>
      <c r="C48" s="47"/>
      <c r="D48" s="50">
        <v>39</v>
      </c>
      <c r="E48" s="48"/>
      <c r="F48" s="47"/>
      <c r="G48" s="47"/>
      <c r="H48" s="47"/>
      <c r="I48" s="47"/>
      <c r="J48" s="47"/>
      <c r="K48" s="47"/>
      <c r="L48" s="47"/>
      <c r="M48" s="47"/>
      <c r="N48" s="47"/>
      <c r="O48" s="47"/>
      <c r="P48" s="47"/>
      <c r="Q48" s="47"/>
      <c r="R48" s="47"/>
      <c r="S48" s="47"/>
      <c r="T48" s="47"/>
      <c r="U48" s="49" t="str">
        <f ca="1">IF(COUNTIF(OFFSET($E48,0,1):OFFSET(U48,0,-1),"=*")&gt;0,IF($C48="К","-"," - "),IF(COUNTIF(OFFSET($E48,0,1):OFFSET(U48,0,-1),"&lt;4")&gt;0,IF(C48="К","-"," - "),(IFERROR(AVERAGE(OFFSET($E48,0,1):OFFSET(U48,0,-1)),"Очікую"))))</f>
        <v>Очікую</v>
      </c>
      <c r="V48" s="49" t="str">
        <f t="shared" ca="1" si="1"/>
        <v>Очікую</v>
      </c>
      <c r="W48" s="36"/>
      <c r="X48" s="42"/>
    </row>
    <row r="49" spans="1:24" s="12" customFormat="1" ht="15" customHeight="1" x14ac:dyDescent="0.25">
      <c r="A49" s="43"/>
      <c r="B49" s="34"/>
      <c r="C49" s="47"/>
      <c r="D49" s="50">
        <v>40</v>
      </c>
      <c r="E49" s="48"/>
      <c r="F49" s="47"/>
      <c r="G49" s="47"/>
      <c r="H49" s="47"/>
      <c r="I49" s="47"/>
      <c r="J49" s="47"/>
      <c r="K49" s="47"/>
      <c r="L49" s="47"/>
      <c r="M49" s="47"/>
      <c r="N49" s="47"/>
      <c r="O49" s="47"/>
      <c r="P49" s="47"/>
      <c r="Q49" s="47"/>
      <c r="R49" s="47"/>
      <c r="S49" s="47"/>
      <c r="T49" s="47"/>
      <c r="U49" s="49" t="str">
        <f ca="1">IF(COUNTIF(OFFSET($E49,0,1):OFFSET(U49,0,-1),"=*")&gt;0,IF($C49="К","-"," - "),IF(COUNTIF(OFFSET($E49,0,1):OFFSET(U49,0,-1),"&lt;4")&gt;0,IF(C49="К","-"," - "),(IFERROR(AVERAGE(OFFSET($E49,0,1):OFFSET(U49,0,-1)),"Очікую"))))</f>
        <v>Очікую</v>
      </c>
      <c r="V49" s="49" t="str">
        <f t="shared" ca="1" si="1"/>
        <v>Очікую</v>
      </c>
      <c r="W49" s="36"/>
      <c r="X49" s="42"/>
    </row>
    <row r="50" spans="1:24" s="12" customFormat="1" ht="15" customHeight="1" x14ac:dyDescent="0.25">
      <c r="A50" s="43"/>
      <c r="B50" s="34"/>
      <c r="C50" s="47"/>
      <c r="D50" s="50">
        <v>41</v>
      </c>
      <c r="E50" s="48"/>
      <c r="F50" s="47"/>
      <c r="G50" s="47"/>
      <c r="H50" s="47"/>
      <c r="I50" s="47"/>
      <c r="J50" s="47"/>
      <c r="K50" s="47"/>
      <c r="L50" s="47"/>
      <c r="M50" s="47"/>
      <c r="N50" s="47"/>
      <c r="O50" s="47"/>
      <c r="P50" s="47"/>
      <c r="Q50" s="47"/>
      <c r="R50" s="47"/>
      <c r="S50" s="47"/>
      <c r="T50" s="47"/>
      <c r="U50" s="49" t="str">
        <f ca="1">IF(COUNTIF(OFFSET($E50,0,1):OFFSET(U50,0,-1),"=*")&gt;0,IF($C50="К","-"," - "),IF(COUNTIF(OFFSET($E50,0,1):OFFSET(U50,0,-1),"&lt;4")&gt;0,IF(C50="К","-"," - "),(IFERROR(AVERAGE(OFFSET($E50,0,1):OFFSET(U50,0,-1)),"Очікую"))))</f>
        <v>Очікую</v>
      </c>
      <c r="V50" s="49" t="str">
        <f t="shared" ca="1" si="1"/>
        <v>Очікую</v>
      </c>
      <c r="W50" s="36"/>
      <c r="X50" s="42"/>
    </row>
    <row r="51" spans="1:24" s="12" customFormat="1" ht="15" customHeight="1" x14ac:dyDescent="0.25">
      <c r="A51" s="43"/>
      <c r="B51" s="34"/>
      <c r="C51" s="47"/>
      <c r="D51" s="50">
        <v>42</v>
      </c>
      <c r="E51" s="48"/>
      <c r="F51" s="47"/>
      <c r="G51" s="47"/>
      <c r="H51" s="47"/>
      <c r="I51" s="47"/>
      <c r="J51" s="47"/>
      <c r="K51" s="47"/>
      <c r="L51" s="47"/>
      <c r="M51" s="47"/>
      <c r="N51" s="47"/>
      <c r="O51" s="47"/>
      <c r="P51" s="47"/>
      <c r="Q51" s="47"/>
      <c r="R51" s="47"/>
      <c r="S51" s="47"/>
      <c r="T51" s="47"/>
      <c r="U51" s="49" t="str">
        <f ca="1">IF(COUNTIF(OFFSET($E51,0,1):OFFSET(U51,0,-1),"=*")&gt;0,IF($C51="К","-"," - "),IF(COUNTIF(OFFSET($E51,0,1):OFFSET(U51,0,-1),"&lt;4")&gt;0,IF(C51="К","-"," - "),(IFERROR(AVERAGE(OFFSET($E51,0,1):OFFSET(U51,0,-1)),"Очікую"))))</f>
        <v>Очікую</v>
      </c>
      <c r="V51" s="49" t="str">
        <f t="shared" ca="1" si="1"/>
        <v>Очікую</v>
      </c>
      <c r="W51" s="36"/>
      <c r="X51" s="42"/>
    </row>
    <row r="52" spans="1:24" s="12" customFormat="1" ht="15" customHeight="1" x14ac:dyDescent="0.25">
      <c r="A52" s="43"/>
      <c r="B52" s="34"/>
      <c r="C52" s="47"/>
      <c r="D52" s="50">
        <v>43</v>
      </c>
      <c r="E52" s="48"/>
      <c r="F52" s="47"/>
      <c r="G52" s="47"/>
      <c r="H52" s="47"/>
      <c r="I52" s="47"/>
      <c r="J52" s="47"/>
      <c r="K52" s="47"/>
      <c r="L52" s="47"/>
      <c r="M52" s="47"/>
      <c r="N52" s="47"/>
      <c r="O52" s="47"/>
      <c r="P52" s="47"/>
      <c r="Q52" s="47"/>
      <c r="R52" s="47"/>
      <c r="S52" s="47"/>
      <c r="T52" s="47"/>
      <c r="U52" s="49" t="str">
        <f ca="1">IF(COUNTIF(OFFSET($E52,0,1):OFFSET(U52,0,-1),"=*")&gt;0,IF($C52="К","-"," - "),IF(COUNTIF(OFFSET($E52,0,1):OFFSET(U52,0,-1),"&lt;4")&gt;0,IF(C52="К","-"," - "),(IFERROR(AVERAGE(OFFSET($E52,0,1):OFFSET(U52,0,-1)),"Очікую"))))</f>
        <v>Очікую</v>
      </c>
      <c r="V52" s="49" t="str">
        <f t="shared" ca="1" si="1"/>
        <v>Очікую</v>
      </c>
      <c r="W52" s="36"/>
      <c r="X52" s="42"/>
    </row>
    <row r="53" spans="1:24" s="12" customFormat="1" ht="15" customHeight="1" x14ac:dyDescent="0.25">
      <c r="A53" s="43"/>
      <c r="B53" s="34"/>
      <c r="C53" s="47"/>
      <c r="D53" s="50">
        <v>44</v>
      </c>
      <c r="E53" s="48"/>
      <c r="F53" s="47"/>
      <c r="G53" s="47"/>
      <c r="H53" s="47"/>
      <c r="I53" s="47"/>
      <c r="J53" s="47"/>
      <c r="K53" s="47"/>
      <c r="L53" s="47"/>
      <c r="M53" s="47"/>
      <c r="N53" s="47"/>
      <c r="O53" s="47"/>
      <c r="P53" s="47"/>
      <c r="Q53" s="47"/>
      <c r="R53" s="47"/>
      <c r="S53" s="47"/>
      <c r="T53" s="47"/>
      <c r="U53" s="49" t="str">
        <f ca="1">IF(COUNTIF(OFFSET($E53,0,1):OFFSET(U53,0,-1),"=*")&gt;0,IF($C53="К","-"," - "),IF(COUNTIF(OFFSET($E53,0,1):OFFSET(U53,0,-1),"&lt;4")&gt;0,IF(C53="К","-"," - "),(IFERROR(AVERAGE(OFFSET($E53,0,1):OFFSET(U53,0,-1)),"Очікую"))))</f>
        <v>Очікую</v>
      </c>
      <c r="V53" s="49" t="str">
        <f t="shared" ca="1" si="1"/>
        <v>Очікую</v>
      </c>
      <c r="W53" s="36"/>
      <c r="X53" s="42"/>
    </row>
    <row r="54" spans="1:24" s="12" customFormat="1" ht="15" customHeight="1" x14ac:dyDescent="0.25">
      <c r="A54" s="43"/>
      <c r="B54" s="34"/>
      <c r="C54" s="47"/>
      <c r="D54" s="50">
        <v>45</v>
      </c>
      <c r="E54" s="48"/>
      <c r="F54" s="47"/>
      <c r="G54" s="47"/>
      <c r="H54" s="47"/>
      <c r="I54" s="47"/>
      <c r="J54" s="47"/>
      <c r="K54" s="47"/>
      <c r="L54" s="47"/>
      <c r="M54" s="47"/>
      <c r="N54" s="47"/>
      <c r="O54" s="47"/>
      <c r="P54" s="47"/>
      <c r="Q54" s="47"/>
      <c r="R54" s="47"/>
      <c r="S54" s="47"/>
      <c r="T54" s="47"/>
      <c r="U54" s="49" t="str">
        <f ca="1">IF(COUNTIF(OFFSET($E54,0,1):OFFSET(U54,0,-1),"=*")&gt;0,IF($C54="К","-"," - "),IF(COUNTIF(OFFSET($E54,0,1):OFFSET(U54,0,-1),"&lt;4")&gt;0,IF(C54="К","-"," - "),(IFERROR(AVERAGE(OFFSET($E54,0,1):OFFSET(U54,0,-1)),"Очікую"))))</f>
        <v>Очікую</v>
      </c>
      <c r="V54" s="49" t="str">
        <f t="shared" ca="1" si="1"/>
        <v>Очікую</v>
      </c>
      <c r="W54" s="36"/>
      <c r="X54" s="42"/>
    </row>
    <row r="55" spans="1:24" s="12" customFormat="1" ht="15" customHeight="1" x14ac:dyDescent="0.25">
      <c r="A55" s="43"/>
      <c r="B55" s="34"/>
      <c r="C55" s="47"/>
      <c r="D55" s="50">
        <v>46</v>
      </c>
      <c r="E55" s="48"/>
      <c r="F55" s="47"/>
      <c r="G55" s="47"/>
      <c r="H55" s="47"/>
      <c r="I55" s="47"/>
      <c r="J55" s="47"/>
      <c r="K55" s="47"/>
      <c r="L55" s="47"/>
      <c r="M55" s="47"/>
      <c r="N55" s="47"/>
      <c r="O55" s="47"/>
      <c r="P55" s="47"/>
      <c r="Q55" s="47"/>
      <c r="R55" s="47"/>
      <c r="S55" s="47"/>
      <c r="T55" s="47"/>
      <c r="U55" s="49" t="str">
        <f ca="1">IF(COUNTIF(OFFSET($E55,0,1):OFFSET(U55,0,-1),"=*")&gt;0,IF($C55="К","-"," - "),IF(COUNTIF(OFFSET($E55,0,1):OFFSET(U55,0,-1),"&lt;4")&gt;0,IF(C55="К","-"," - "),(IFERROR(AVERAGE(OFFSET($E55,0,1):OFFSET(U55,0,-1)),"Очікую"))))</f>
        <v>Очікую</v>
      </c>
      <c r="V55" s="49" t="str">
        <f t="shared" ca="1" si="1"/>
        <v>Очікую</v>
      </c>
      <c r="W55" s="36"/>
      <c r="X55" s="42"/>
    </row>
    <row r="56" spans="1:24" s="12" customFormat="1" ht="15" customHeight="1" x14ac:dyDescent="0.25">
      <c r="A56" s="43"/>
      <c r="B56" s="34"/>
      <c r="C56" s="47"/>
      <c r="D56" s="50">
        <v>47</v>
      </c>
      <c r="E56" s="48"/>
      <c r="F56" s="47"/>
      <c r="G56" s="47"/>
      <c r="H56" s="47"/>
      <c r="I56" s="47"/>
      <c r="J56" s="47"/>
      <c r="K56" s="47"/>
      <c r="L56" s="47"/>
      <c r="M56" s="47"/>
      <c r="N56" s="47"/>
      <c r="O56" s="47"/>
      <c r="P56" s="47"/>
      <c r="Q56" s="47"/>
      <c r="R56" s="47"/>
      <c r="S56" s="47"/>
      <c r="T56" s="47"/>
      <c r="U56" s="49" t="str">
        <f ca="1">IF(COUNTIF(OFFSET($E56,0,1):OFFSET(U56,0,-1),"=*")&gt;0,IF($C56="К","-"," - "),IF(COUNTIF(OFFSET($E56,0,1):OFFSET(U56,0,-1),"&lt;4")&gt;0,IF(C56="К","-"," - "),(IFERROR(AVERAGE(OFFSET($E56,0,1):OFFSET(U56,0,-1)),"Очікую"))))</f>
        <v>Очікую</v>
      </c>
      <c r="V56" s="49" t="str">
        <f t="shared" ca="1" si="1"/>
        <v>Очікую</v>
      </c>
      <c r="W56" s="36"/>
      <c r="X56" s="42"/>
    </row>
    <row r="57" spans="1:24" s="12" customFormat="1" ht="15" customHeight="1" x14ac:dyDescent="0.25">
      <c r="A57" s="43"/>
      <c r="B57" s="34"/>
      <c r="C57" s="47"/>
      <c r="D57" s="50">
        <v>48</v>
      </c>
      <c r="E57" s="48"/>
      <c r="F57" s="47"/>
      <c r="G57" s="47"/>
      <c r="H57" s="47"/>
      <c r="I57" s="47"/>
      <c r="J57" s="47"/>
      <c r="K57" s="47"/>
      <c r="L57" s="47"/>
      <c r="M57" s="47"/>
      <c r="N57" s="47"/>
      <c r="O57" s="47"/>
      <c r="P57" s="47"/>
      <c r="Q57" s="47"/>
      <c r="R57" s="47"/>
      <c r="S57" s="47"/>
      <c r="T57" s="47"/>
      <c r="U57" s="49" t="str">
        <f ca="1">IF(COUNTIF(OFFSET($E57,0,1):OFFSET(U57,0,-1),"=*")&gt;0,IF($C57="К","-"," - "),IF(COUNTIF(OFFSET($E57,0,1):OFFSET(U57,0,-1),"&lt;4")&gt;0,IF(C57="К","-"," - "),(IFERROR(AVERAGE(OFFSET($E57,0,1):OFFSET(U57,0,-1)),"Очікую"))))</f>
        <v>Очікую</v>
      </c>
      <c r="V57" s="49" t="str">
        <f t="shared" ca="1" si="1"/>
        <v>Очікую</v>
      </c>
      <c r="W57" s="36"/>
      <c r="X57" s="42"/>
    </row>
    <row r="58" spans="1:24" s="12" customFormat="1" ht="15" customHeight="1" x14ac:dyDescent="0.25">
      <c r="A58" s="43"/>
      <c r="B58" s="34"/>
      <c r="C58" s="47"/>
      <c r="D58" s="50">
        <v>49</v>
      </c>
      <c r="E58" s="48"/>
      <c r="F58" s="47"/>
      <c r="G58" s="47"/>
      <c r="H58" s="47"/>
      <c r="I58" s="47"/>
      <c r="J58" s="47"/>
      <c r="K58" s="47"/>
      <c r="L58" s="47"/>
      <c r="M58" s="47"/>
      <c r="N58" s="47"/>
      <c r="O58" s="47"/>
      <c r="P58" s="47"/>
      <c r="Q58" s="47"/>
      <c r="R58" s="47"/>
      <c r="S58" s="47"/>
      <c r="T58" s="47"/>
      <c r="U58" s="49" t="str">
        <f ca="1">IF(COUNTIF(OFFSET($E58,0,1):OFFSET(U58,0,-1),"=*")&gt;0,IF($C58="К","-"," - "),IF(COUNTIF(OFFSET($E58,0,1):OFFSET(U58,0,-1),"&lt;4")&gt;0,IF(C58="К","-"," - "),(IFERROR(AVERAGE(OFFSET($E58,0,1):OFFSET(U58,0,-1)),"Очікую"))))</f>
        <v>Очікую</v>
      </c>
      <c r="V58" s="49" t="str">
        <f t="shared" ca="1" si="1"/>
        <v>Очікую</v>
      </c>
      <c r="W58" s="36"/>
      <c r="X58" s="42"/>
    </row>
    <row r="59" spans="1:24" s="12" customFormat="1" ht="15" customHeight="1" x14ac:dyDescent="0.25">
      <c r="A59" s="43"/>
      <c r="B59" s="34"/>
      <c r="C59" s="47"/>
      <c r="D59" s="50">
        <v>50</v>
      </c>
      <c r="E59" s="48"/>
      <c r="F59" s="47"/>
      <c r="G59" s="47"/>
      <c r="H59" s="47"/>
      <c r="I59" s="47"/>
      <c r="J59" s="47"/>
      <c r="K59" s="47"/>
      <c r="L59" s="47"/>
      <c r="M59" s="47"/>
      <c r="N59" s="47"/>
      <c r="O59" s="47"/>
      <c r="P59" s="47"/>
      <c r="Q59" s="47"/>
      <c r="R59" s="47"/>
      <c r="S59" s="47"/>
      <c r="T59" s="47"/>
      <c r="U59" s="49" t="str">
        <f ca="1">IF(COUNTIF(OFFSET($E59,0,1):OFFSET(U59,0,-1),"=*")&gt;0,IF($C59="К","-"," - "),IF(COUNTIF(OFFSET($E59,0,1):OFFSET(U59,0,-1),"&lt;4")&gt;0,IF(C59="К","-"," - "),(IFERROR(AVERAGE(OFFSET($E59,0,1):OFFSET(U59,0,-1)),"Очікую"))))</f>
        <v>Очікую</v>
      </c>
      <c r="V59" s="49" t="str">
        <f t="shared" ca="1" si="1"/>
        <v>Очікую</v>
      </c>
      <c r="W59" s="36"/>
      <c r="X59" s="42"/>
    </row>
    <row r="60" spans="1:24" s="12" customFormat="1" ht="15" customHeight="1" x14ac:dyDescent="0.25">
      <c r="A60" s="43"/>
      <c r="B60" s="34"/>
      <c r="C60" s="47"/>
      <c r="D60" s="50">
        <v>51</v>
      </c>
      <c r="E60" s="48"/>
      <c r="F60" s="47"/>
      <c r="G60" s="47"/>
      <c r="H60" s="47"/>
      <c r="I60" s="47"/>
      <c r="J60" s="47"/>
      <c r="K60" s="47"/>
      <c r="L60" s="47"/>
      <c r="M60" s="47"/>
      <c r="N60" s="47"/>
      <c r="O60" s="47"/>
      <c r="P60" s="47"/>
      <c r="Q60" s="47"/>
      <c r="R60" s="47"/>
      <c r="S60" s="47"/>
      <c r="T60" s="47"/>
      <c r="U60" s="49" t="str">
        <f ca="1">IF(COUNTIF(OFFSET($E60,0,1):OFFSET(U60,0,-1),"=*")&gt;0,IF($C60="К","-"," - "),IF(COUNTIF(OFFSET($E60,0,1):OFFSET(U60,0,-1),"&lt;4")&gt;0,IF(C60="К","-"," - "),(IFERROR(AVERAGE(OFFSET($E60,0,1):OFFSET(U60,0,-1)),"Очікую"))))</f>
        <v>Очікую</v>
      </c>
      <c r="V60" s="49" t="str">
        <f t="shared" ca="1" si="1"/>
        <v>Очікую</v>
      </c>
      <c r="W60" s="36"/>
      <c r="X60" s="42"/>
    </row>
    <row r="61" spans="1:24" s="12" customFormat="1" ht="15" customHeight="1" x14ac:dyDescent="0.25">
      <c r="A61" s="43"/>
      <c r="B61" s="34"/>
      <c r="C61" s="47"/>
      <c r="D61" s="50">
        <v>52</v>
      </c>
      <c r="E61" s="48"/>
      <c r="F61" s="47"/>
      <c r="G61" s="47"/>
      <c r="H61" s="47"/>
      <c r="I61" s="47"/>
      <c r="J61" s="47"/>
      <c r="K61" s="47"/>
      <c r="L61" s="47"/>
      <c r="M61" s="47"/>
      <c r="N61" s="47"/>
      <c r="O61" s="47"/>
      <c r="P61" s="47"/>
      <c r="Q61" s="47"/>
      <c r="R61" s="47"/>
      <c r="S61" s="47"/>
      <c r="T61" s="47"/>
      <c r="U61" s="49" t="str">
        <f ca="1">IF(COUNTIF(OFFSET($E61,0,1):OFFSET(U61,0,-1),"=*")&gt;0,IF($C61="К","-"," - "),IF(COUNTIF(OFFSET($E61,0,1):OFFSET(U61,0,-1),"&lt;4")&gt;0,IF(C61="К","-"," - "),(IFERROR(AVERAGE(OFFSET($E61,0,1):OFFSET(U61,0,-1)),"Очікую"))))</f>
        <v>Очікую</v>
      </c>
      <c r="V61" s="49" t="str">
        <f t="shared" ca="1" si="1"/>
        <v>Очікую</v>
      </c>
      <c r="W61" s="36"/>
      <c r="X61" s="42"/>
    </row>
    <row r="62" spans="1:24" s="12" customFormat="1" ht="15" customHeight="1" x14ac:dyDescent="0.25">
      <c r="A62" s="43"/>
      <c r="B62" s="34"/>
      <c r="C62" s="47"/>
      <c r="D62" s="50">
        <v>53</v>
      </c>
      <c r="E62" s="48"/>
      <c r="F62" s="47"/>
      <c r="G62" s="47"/>
      <c r="H62" s="47"/>
      <c r="I62" s="47"/>
      <c r="J62" s="47"/>
      <c r="K62" s="47"/>
      <c r="L62" s="47"/>
      <c r="M62" s="47"/>
      <c r="N62" s="47"/>
      <c r="O62" s="47"/>
      <c r="P62" s="47"/>
      <c r="Q62" s="47"/>
      <c r="R62" s="47"/>
      <c r="S62" s="47"/>
      <c r="T62" s="47"/>
      <c r="U62" s="49" t="str">
        <f ca="1">IF(COUNTIF(OFFSET($E62,0,1):OFFSET(U62,0,-1),"=*")&gt;0,IF($C62="К","-"," - "),IF(COUNTIF(OFFSET($E62,0,1):OFFSET(U62,0,-1),"&lt;4")&gt;0,IF(C62="К","-"," - "),(IFERROR(AVERAGE(OFFSET($E62,0,1):OFFSET(U62,0,-1)),"Очікую"))))</f>
        <v>Очікую</v>
      </c>
      <c r="V62" s="49" t="str">
        <f t="shared" ca="1" si="1"/>
        <v>Очікую</v>
      </c>
      <c r="W62" s="36"/>
      <c r="X62" s="42"/>
    </row>
    <row r="63" spans="1:24" s="12" customFormat="1" ht="15" customHeight="1" x14ac:dyDescent="0.25">
      <c r="A63" s="43"/>
      <c r="B63" s="34"/>
      <c r="C63" s="47"/>
      <c r="D63" s="50">
        <v>54</v>
      </c>
      <c r="E63" s="48"/>
      <c r="F63" s="47"/>
      <c r="G63" s="47"/>
      <c r="H63" s="47"/>
      <c r="I63" s="47"/>
      <c r="J63" s="47"/>
      <c r="K63" s="47"/>
      <c r="L63" s="47"/>
      <c r="M63" s="47"/>
      <c r="N63" s="47"/>
      <c r="O63" s="47"/>
      <c r="P63" s="47"/>
      <c r="Q63" s="47"/>
      <c r="R63" s="47"/>
      <c r="S63" s="47"/>
      <c r="T63" s="47"/>
      <c r="U63" s="49" t="str">
        <f ca="1">IF(COUNTIF(OFFSET($E63,0,1):OFFSET(U63,0,-1),"=*")&gt;0,IF($C63="К","-"," - "),IF(COUNTIF(OFFSET($E63,0,1):OFFSET(U63,0,-1),"&lt;4")&gt;0,IF(C63="К","-"," - "),(IFERROR(AVERAGE(OFFSET($E63,0,1):OFFSET(U63,0,-1)),"Очікую"))))</f>
        <v>Очікую</v>
      </c>
      <c r="V63" s="49" t="str">
        <f t="shared" ca="1" si="1"/>
        <v>Очікую</v>
      </c>
      <c r="W63" s="36"/>
      <c r="X63" s="42"/>
    </row>
    <row r="64" spans="1:24" s="12" customFormat="1" ht="15" customHeight="1" x14ac:dyDescent="0.25">
      <c r="A64" s="43"/>
      <c r="B64" s="34"/>
      <c r="C64" s="47"/>
      <c r="D64" s="50">
        <v>55</v>
      </c>
      <c r="E64" s="48"/>
      <c r="F64" s="47"/>
      <c r="G64" s="47"/>
      <c r="H64" s="47"/>
      <c r="I64" s="47"/>
      <c r="J64" s="47"/>
      <c r="K64" s="47"/>
      <c r="L64" s="47"/>
      <c r="M64" s="47"/>
      <c r="N64" s="47"/>
      <c r="O64" s="47"/>
      <c r="P64" s="47"/>
      <c r="Q64" s="47"/>
      <c r="R64" s="47"/>
      <c r="S64" s="47"/>
      <c r="T64" s="47"/>
      <c r="U64" s="49" t="str">
        <f ca="1">IF(COUNTIF(OFFSET($E64,0,1):OFFSET(U64,0,-1),"=*")&gt;0,IF($C64="К","-"," - "),IF(COUNTIF(OFFSET($E64,0,1):OFFSET(U64,0,-1),"&lt;4")&gt;0,IF(C64="К","-"," - "),(IFERROR(AVERAGE(OFFSET($E64,0,1):OFFSET(U64,0,-1)),"Очікую"))))</f>
        <v>Очікую</v>
      </c>
      <c r="V64" s="49" t="str">
        <f t="shared" ca="1" si="1"/>
        <v>Очікую</v>
      </c>
      <c r="W64" s="36"/>
      <c r="X64" s="42"/>
    </row>
    <row r="65" spans="1:24" s="12" customFormat="1" ht="15" customHeight="1" x14ac:dyDescent="0.25">
      <c r="A65" s="43"/>
      <c r="B65" s="34"/>
      <c r="C65" s="47"/>
      <c r="D65" s="50">
        <v>56</v>
      </c>
      <c r="E65" s="48"/>
      <c r="F65" s="47"/>
      <c r="G65" s="47"/>
      <c r="H65" s="47"/>
      <c r="I65" s="47"/>
      <c r="J65" s="47"/>
      <c r="K65" s="47"/>
      <c r="L65" s="47"/>
      <c r="M65" s="47"/>
      <c r="N65" s="47"/>
      <c r="O65" s="47"/>
      <c r="P65" s="47"/>
      <c r="Q65" s="47"/>
      <c r="R65" s="47"/>
      <c r="S65" s="47"/>
      <c r="T65" s="47"/>
      <c r="U65" s="49" t="str">
        <f ca="1">IF(COUNTIF(OFFSET($E65,0,1):OFFSET(U65,0,-1),"=*")&gt;0,IF($C65="К","-"," - "),IF(COUNTIF(OFFSET($E65,0,1):OFFSET(U65,0,-1),"&lt;4")&gt;0,IF(C65="К","-"," - "),(IFERROR(AVERAGE(OFFSET($E65,0,1):OFFSET(U65,0,-1)),"Очікую"))))</f>
        <v>Очікую</v>
      </c>
      <c r="V65" s="49" t="str">
        <f t="shared" ca="1" si="1"/>
        <v>Очікую</v>
      </c>
      <c r="W65" s="36"/>
      <c r="X65" s="42"/>
    </row>
    <row r="66" spans="1:24" s="12" customFormat="1" ht="15" customHeight="1" x14ac:dyDescent="0.25">
      <c r="A66" s="43"/>
      <c r="B66" s="34"/>
      <c r="C66" s="47"/>
      <c r="D66" s="50">
        <v>57</v>
      </c>
      <c r="E66" s="48"/>
      <c r="F66" s="47"/>
      <c r="G66" s="47"/>
      <c r="H66" s="47"/>
      <c r="I66" s="47"/>
      <c r="J66" s="47"/>
      <c r="K66" s="47"/>
      <c r="L66" s="47"/>
      <c r="M66" s="47"/>
      <c r="N66" s="47"/>
      <c r="O66" s="47"/>
      <c r="P66" s="47"/>
      <c r="Q66" s="47"/>
      <c r="R66" s="47"/>
      <c r="S66" s="47"/>
      <c r="T66" s="47"/>
      <c r="U66" s="49" t="str">
        <f ca="1">IF(COUNTIF(OFFSET($E66,0,1):OFFSET(U66,0,-1),"=*")&gt;0,IF($C66="К","-"," - "),IF(COUNTIF(OFFSET($E66,0,1):OFFSET(U66,0,-1),"&lt;4")&gt;0,IF(C66="К","-"," - "),(IFERROR(AVERAGE(OFFSET($E66,0,1):OFFSET(U66,0,-1)),"Очікую"))))</f>
        <v>Очікую</v>
      </c>
      <c r="V66" s="49" t="str">
        <f t="shared" ca="1" si="1"/>
        <v>Очікую</v>
      </c>
      <c r="W66" s="36"/>
      <c r="X66" s="42"/>
    </row>
    <row r="67" spans="1:24" s="12" customFormat="1" ht="15" customHeight="1" x14ac:dyDescent="0.25">
      <c r="A67" s="43"/>
      <c r="B67" s="34"/>
      <c r="C67" s="47"/>
      <c r="D67" s="50">
        <v>58</v>
      </c>
      <c r="E67" s="48"/>
      <c r="F67" s="47"/>
      <c r="G67" s="47"/>
      <c r="H67" s="47"/>
      <c r="I67" s="47"/>
      <c r="J67" s="47"/>
      <c r="K67" s="47"/>
      <c r="L67" s="47"/>
      <c r="M67" s="47"/>
      <c r="N67" s="47"/>
      <c r="O67" s="47"/>
      <c r="P67" s="47"/>
      <c r="Q67" s="47"/>
      <c r="R67" s="47"/>
      <c r="S67" s="47"/>
      <c r="T67" s="47"/>
      <c r="U67" s="49" t="str">
        <f ca="1">IF(COUNTIF(OFFSET($E67,0,1):OFFSET(U67,0,-1),"=*")&gt;0,IF($C67="К","-"," - "),IF(COUNTIF(OFFSET($E67,0,1):OFFSET(U67,0,-1),"&lt;4")&gt;0,IF(C67="К","-"," - "),(IFERROR(AVERAGE(OFFSET($E67,0,1):OFFSET(U67,0,-1)),"Очікую"))))</f>
        <v>Очікую</v>
      </c>
      <c r="V67" s="49" t="str">
        <f t="shared" ca="1" si="1"/>
        <v>Очікую</v>
      </c>
      <c r="W67" s="36"/>
      <c r="X67" s="42"/>
    </row>
    <row r="68" spans="1:24" s="12" customFormat="1" ht="15" customHeight="1" x14ac:dyDescent="0.25">
      <c r="A68" s="43"/>
      <c r="B68" s="34"/>
      <c r="C68" s="47"/>
      <c r="D68" s="50">
        <v>59</v>
      </c>
      <c r="E68" s="48"/>
      <c r="F68" s="47"/>
      <c r="G68" s="47"/>
      <c r="H68" s="47"/>
      <c r="I68" s="47"/>
      <c r="J68" s="47"/>
      <c r="K68" s="47"/>
      <c r="L68" s="47"/>
      <c r="M68" s="47"/>
      <c r="N68" s="47"/>
      <c r="O68" s="47"/>
      <c r="P68" s="47"/>
      <c r="Q68" s="47"/>
      <c r="R68" s="47"/>
      <c r="S68" s="47"/>
      <c r="T68" s="47"/>
      <c r="U68" s="49" t="str">
        <f ca="1">IF(COUNTIF(OFFSET($E68,0,1):OFFSET(U68,0,-1),"=*")&gt;0,IF($C68="К","-"," - "),IF(COUNTIF(OFFSET($E68,0,1):OFFSET(U68,0,-1),"&lt;4")&gt;0,IF(C68="К","-"," - "),(IFERROR(AVERAGE(OFFSET($E68,0,1):OFFSET(U68,0,-1)),"Очікую"))))</f>
        <v>Очікую</v>
      </c>
      <c r="V68" s="49" t="str">
        <f t="shared" ca="1" si="1"/>
        <v>Очікую</v>
      </c>
      <c r="W68" s="36"/>
      <c r="X68" s="42"/>
    </row>
    <row r="69" spans="1:24" s="12" customFormat="1" ht="15" customHeight="1" x14ac:dyDescent="0.25">
      <c r="A69" s="43"/>
      <c r="B69" s="34"/>
      <c r="C69" s="47"/>
      <c r="D69" s="50">
        <v>60</v>
      </c>
      <c r="E69" s="48"/>
      <c r="F69" s="47"/>
      <c r="G69" s="47"/>
      <c r="H69" s="47"/>
      <c r="I69" s="47"/>
      <c r="J69" s="47"/>
      <c r="K69" s="47"/>
      <c r="L69" s="47"/>
      <c r="M69" s="47"/>
      <c r="N69" s="47"/>
      <c r="O69" s="47"/>
      <c r="P69" s="47"/>
      <c r="Q69" s="47"/>
      <c r="R69" s="47"/>
      <c r="S69" s="47"/>
      <c r="T69" s="47"/>
      <c r="U69" s="49" t="str">
        <f ca="1">IF(COUNTIF(OFFSET($E69,0,1):OFFSET(U69,0,-1),"=*")&gt;0,IF($C69="К","-"," - "),IF(COUNTIF(OFFSET($E69,0,1):OFFSET(U69,0,-1),"&lt;4")&gt;0,IF(C69="К","-"," - "),(IFERROR(AVERAGE(OFFSET($E69,0,1):OFFSET(U69,0,-1)),"Очікую"))))</f>
        <v>Очікую</v>
      </c>
      <c r="V69" s="49" t="str">
        <f t="shared" ca="1" si="1"/>
        <v>Очікую</v>
      </c>
      <c r="W69" s="36"/>
      <c r="X69" s="42"/>
    </row>
    <row r="70" spans="1:24" s="12" customFormat="1" ht="15" customHeight="1" x14ac:dyDescent="0.25">
      <c r="A70" s="43"/>
      <c r="B70" s="34"/>
      <c r="C70" s="47"/>
      <c r="D70" s="50">
        <v>61</v>
      </c>
      <c r="E70" s="48"/>
      <c r="F70" s="47"/>
      <c r="G70" s="47"/>
      <c r="H70" s="47"/>
      <c r="I70" s="47"/>
      <c r="J70" s="47"/>
      <c r="K70" s="47"/>
      <c r="L70" s="47"/>
      <c r="M70" s="47"/>
      <c r="N70" s="47"/>
      <c r="O70" s="47"/>
      <c r="P70" s="47"/>
      <c r="Q70" s="47"/>
      <c r="R70" s="47"/>
      <c r="S70" s="47"/>
      <c r="T70" s="47"/>
      <c r="U70" s="49" t="str">
        <f ca="1">IF(COUNTIF(OFFSET($E70,0,1):OFFSET(U70,0,-1),"=*")&gt;0,IF($C70="К","-"," - "),IF(COUNTIF(OFFSET($E70,0,1):OFFSET(U70,0,-1),"&lt;4")&gt;0,IF(C70="К","-"," - "),(IFERROR(AVERAGE(OFFSET($E70,0,1):OFFSET(U70,0,-1)),"Очікую"))))</f>
        <v>Очікую</v>
      </c>
      <c r="V70" s="49" t="str">
        <f t="shared" ca="1" si="1"/>
        <v>Очікую</v>
      </c>
      <c r="W70" s="36"/>
      <c r="X70" s="42"/>
    </row>
    <row r="71" spans="1:24" s="12" customFormat="1" ht="15" customHeight="1" x14ac:dyDescent="0.25">
      <c r="A71" s="43"/>
      <c r="B71" s="34"/>
      <c r="C71" s="47"/>
      <c r="D71" s="50">
        <v>62</v>
      </c>
      <c r="E71" s="48"/>
      <c r="F71" s="47"/>
      <c r="G71" s="47"/>
      <c r="H71" s="47"/>
      <c r="I71" s="47"/>
      <c r="J71" s="47"/>
      <c r="K71" s="47"/>
      <c r="L71" s="47"/>
      <c r="M71" s="47"/>
      <c r="N71" s="47"/>
      <c r="O71" s="47"/>
      <c r="P71" s="47"/>
      <c r="Q71" s="47"/>
      <c r="R71" s="47"/>
      <c r="S71" s="47"/>
      <c r="T71" s="47"/>
      <c r="U71" s="49" t="str">
        <f ca="1">IF(COUNTIF(OFFSET($E71,0,1):OFFSET(U71,0,-1),"=*")&gt;0,IF($C71="К","-"," - "),IF(COUNTIF(OFFSET($E71,0,1):OFFSET(U71,0,-1),"&lt;4")&gt;0,IF(C71="К","-"," - "),(IFERROR(AVERAGE(OFFSET($E71,0,1):OFFSET(U71,0,-1)),"Очікую"))))</f>
        <v>Очікую</v>
      </c>
      <c r="V71" s="49" t="str">
        <f t="shared" ca="1" si="1"/>
        <v>Очікую</v>
      </c>
      <c r="W71" s="36"/>
      <c r="X71" s="42"/>
    </row>
    <row r="72" spans="1:24" s="12" customFormat="1" ht="15" customHeight="1" x14ac:dyDescent="0.25">
      <c r="A72" s="43"/>
      <c r="B72" s="34"/>
      <c r="C72" s="47"/>
      <c r="D72" s="50">
        <v>63</v>
      </c>
      <c r="E72" s="48"/>
      <c r="F72" s="47"/>
      <c r="G72" s="47"/>
      <c r="H72" s="47"/>
      <c r="I72" s="47"/>
      <c r="J72" s="47"/>
      <c r="K72" s="47"/>
      <c r="L72" s="47"/>
      <c r="M72" s="47"/>
      <c r="N72" s="47"/>
      <c r="O72" s="47"/>
      <c r="P72" s="47"/>
      <c r="Q72" s="47"/>
      <c r="R72" s="47"/>
      <c r="S72" s="47"/>
      <c r="T72" s="47"/>
      <c r="U72" s="49" t="str">
        <f ca="1">IF(COUNTIF(OFFSET($E72,0,1):OFFSET(U72,0,-1),"=*")&gt;0,IF($C72="К","-"," - "),IF(COUNTIF(OFFSET($E72,0,1):OFFSET(U72,0,-1),"&lt;4")&gt;0,IF(C72="К","-"," - "),(IFERROR(AVERAGE(OFFSET($E72,0,1):OFFSET(U72,0,-1)),"Очікую"))))</f>
        <v>Очікую</v>
      </c>
      <c r="V72" s="49" t="str">
        <f t="shared" ca="1" si="1"/>
        <v>Очікую</v>
      </c>
      <c r="W72" s="36"/>
      <c r="X72" s="42"/>
    </row>
    <row r="73" spans="1:24" s="12" customFormat="1" ht="15" customHeight="1" x14ac:dyDescent="0.25">
      <c r="A73" s="43"/>
      <c r="B73" s="34"/>
      <c r="C73" s="47"/>
      <c r="D73" s="50">
        <v>64</v>
      </c>
      <c r="E73" s="48"/>
      <c r="F73" s="47"/>
      <c r="G73" s="47"/>
      <c r="H73" s="47"/>
      <c r="I73" s="47"/>
      <c r="J73" s="47"/>
      <c r="K73" s="47"/>
      <c r="L73" s="47"/>
      <c r="M73" s="47"/>
      <c r="N73" s="47"/>
      <c r="O73" s="47"/>
      <c r="P73" s="47"/>
      <c r="Q73" s="47"/>
      <c r="R73" s="47"/>
      <c r="S73" s="47"/>
      <c r="T73" s="47"/>
      <c r="U73" s="49" t="str">
        <f ca="1">IF(COUNTIF(OFFSET($E73,0,1):OFFSET(U73,0,-1),"=*")&gt;0,IF($C73="К","-"," - "),IF(COUNTIF(OFFSET($E73,0,1):OFFSET(U73,0,-1),"&lt;4")&gt;0,IF(C73="К","-"," - "),(IFERROR(AVERAGE(OFFSET($E73,0,1):OFFSET(U73,0,-1)),"Очікую"))))</f>
        <v>Очікую</v>
      </c>
      <c r="V73" s="49" t="str">
        <f t="shared" ca="1" si="1"/>
        <v>Очікую</v>
      </c>
      <c r="W73" s="36"/>
      <c r="X73" s="42"/>
    </row>
    <row r="74" spans="1:24" s="12" customFormat="1" ht="15" customHeight="1" x14ac:dyDescent="0.25">
      <c r="A74" s="43"/>
      <c r="B74" s="34"/>
      <c r="C74" s="47"/>
      <c r="D74" s="50">
        <v>65</v>
      </c>
      <c r="E74" s="48"/>
      <c r="F74" s="47"/>
      <c r="G74" s="47"/>
      <c r="H74" s="47"/>
      <c r="I74" s="47"/>
      <c r="J74" s="47"/>
      <c r="K74" s="47"/>
      <c r="L74" s="47"/>
      <c r="M74" s="47"/>
      <c r="N74" s="47"/>
      <c r="O74" s="47"/>
      <c r="P74" s="47"/>
      <c r="Q74" s="47"/>
      <c r="R74" s="47"/>
      <c r="S74" s="47"/>
      <c r="T74" s="47"/>
      <c r="U74" s="49" t="str">
        <f ca="1">IF(COUNTIF(OFFSET($E74,0,1):OFFSET(U74,0,-1),"=*")&gt;0,IF($C74="К","-"," - "),IF(COUNTIF(OFFSET($E74,0,1):OFFSET(U74,0,-1),"&lt;4")&gt;0,IF(C74="К","-"," - "),(IFERROR(AVERAGE(OFFSET($E74,0,1):OFFSET(U74,0,-1)),"Очікую"))))</f>
        <v>Очікую</v>
      </c>
      <c r="V74" s="49" t="str">
        <f t="shared" ca="1" si="1"/>
        <v>Очікую</v>
      </c>
      <c r="W74" s="36"/>
      <c r="X74" s="42"/>
    </row>
    <row r="75" spans="1:24" s="12" customFormat="1" ht="15" customHeight="1" x14ac:dyDescent="0.25">
      <c r="A75" s="43"/>
      <c r="B75" s="34"/>
      <c r="C75" s="47"/>
      <c r="D75" s="50">
        <v>66</v>
      </c>
      <c r="E75" s="48"/>
      <c r="F75" s="47"/>
      <c r="G75" s="47"/>
      <c r="H75" s="47"/>
      <c r="I75" s="47"/>
      <c r="J75" s="47"/>
      <c r="K75" s="47"/>
      <c r="L75" s="47"/>
      <c r="M75" s="47"/>
      <c r="N75" s="47"/>
      <c r="O75" s="47"/>
      <c r="P75" s="47"/>
      <c r="Q75" s="47"/>
      <c r="R75" s="47"/>
      <c r="S75" s="47"/>
      <c r="T75" s="47"/>
      <c r="U75" s="49" t="str">
        <f ca="1">IF(COUNTIF(OFFSET($E75,0,1):OFFSET(U75,0,-1),"=*")&gt;0,IF($C75="К","-"," - "),IF(COUNTIF(OFFSET($E75,0,1):OFFSET(U75,0,-1),"&lt;4")&gt;0,IF(C75="К","-"," - "),(IFERROR(AVERAGE(OFFSET($E75,0,1):OFFSET(U75,0,-1)),"Очікую"))))</f>
        <v>Очікую</v>
      </c>
      <c r="V75" s="49" t="str">
        <f t="shared" ref="V75:V109" ca="1" si="2">IFERROR(U75/12*90,"Очікую")</f>
        <v>Очікую</v>
      </c>
      <c r="W75" s="36"/>
      <c r="X75" s="42"/>
    </row>
    <row r="76" spans="1:24" s="12" customFormat="1" ht="15" customHeight="1" x14ac:dyDescent="0.25">
      <c r="A76" s="43"/>
      <c r="B76" s="34"/>
      <c r="C76" s="47"/>
      <c r="D76" s="50">
        <v>67</v>
      </c>
      <c r="E76" s="48"/>
      <c r="F76" s="47"/>
      <c r="G76" s="47"/>
      <c r="H76" s="47"/>
      <c r="I76" s="47"/>
      <c r="J76" s="47"/>
      <c r="K76" s="47"/>
      <c r="L76" s="47"/>
      <c r="M76" s="47"/>
      <c r="N76" s="47"/>
      <c r="O76" s="47"/>
      <c r="P76" s="47"/>
      <c r="Q76" s="47"/>
      <c r="R76" s="47"/>
      <c r="S76" s="47"/>
      <c r="T76" s="47"/>
      <c r="U76" s="49" t="str">
        <f ca="1">IF(COUNTIF(OFFSET($E76,0,1):OFFSET(U76,0,-1),"=*")&gt;0,IF($C76="К","-"," - "),IF(COUNTIF(OFFSET($E76,0,1):OFFSET(U76,0,-1),"&lt;4")&gt;0,IF(C76="К","-"," - "),(IFERROR(AVERAGE(OFFSET($E76,0,1):OFFSET(U76,0,-1)),"Очікую"))))</f>
        <v>Очікую</v>
      </c>
      <c r="V76" s="49" t="str">
        <f t="shared" ca="1" si="2"/>
        <v>Очікую</v>
      </c>
      <c r="W76" s="36"/>
      <c r="X76" s="42"/>
    </row>
    <row r="77" spans="1:24" s="12" customFormat="1" ht="15" customHeight="1" x14ac:dyDescent="0.25">
      <c r="A77" s="43"/>
      <c r="B77" s="34"/>
      <c r="C77" s="47"/>
      <c r="D77" s="50">
        <v>68</v>
      </c>
      <c r="E77" s="48"/>
      <c r="F77" s="47"/>
      <c r="G77" s="47"/>
      <c r="H77" s="47"/>
      <c r="I77" s="47"/>
      <c r="J77" s="47"/>
      <c r="K77" s="47"/>
      <c r="L77" s="47"/>
      <c r="M77" s="47"/>
      <c r="N77" s="47"/>
      <c r="O77" s="47"/>
      <c r="P77" s="47"/>
      <c r="Q77" s="47"/>
      <c r="R77" s="47"/>
      <c r="S77" s="47"/>
      <c r="T77" s="47"/>
      <c r="U77" s="49" t="str">
        <f ca="1">IF(COUNTIF(OFFSET($E77,0,1):OFFSET(U77,0,-1),"=*")&gt;0,IF($C77="К","-"," - "),IF(COUNTIF(OFFSET($E77,0,1):OFFSET(U77,0,-1),"&lt;4")&gt;0,IF(C77="К","-"," - "),(IFERROR(AVERAGE(OFFSET($E77,0,1):OFFSET(U77,0,-1)),"Очікую"))))</f>
        <v>Очікую</v>
      </c>
      <c r="V77" s="49" t="str">
        <f t="shared" ca="1" si="2"/>
        <v>Очікую</v>
      </c>
      <c r="W77" s="36"/>
      <c r="X77" s="42"/>
    </row>
    <row r="78" spans="1:24" s="12" customFormat="1" ht="15" customHeight="1" x14ac:dyDescent="0.25">
      <c r="A78" s="43"/>
      <c r="B78" s="34"/>
      <c r="C78" s="47"/>
      <c r="D78" s="50">
        <v>69</v>
      </c>
      <c r="E78" s="48"/>
      <c r="F78" s="47"/>
      <c r="G78" s="47"/>
      <c r="H78" s="47"/>
      <c r="I78" s="47"/>
      <c r="J78" s="47"/>
      <c r="K78" s="47"/>
      <c r="L78" s="47"/>
      <c r="M78" s="47"/>
      <c r="N78" s="47"/>
      <c r="O78" s="47"/>
      <c r="P78" s="47"/>
      <c r="Q78" s="47"/>
      <c r="R78" s="47"/>
      <c r="S78" s="47"/>
      <c r="T78" s="47"/>
      <c r="U78" s="49" t="str">
        <f ca="1">IF(COUNTIF(OFFSET($E78,0,1):OFFSET(U78,0,-1),"=*")&gt;0,IF($C78="К","-"," - "),IF(COUNTIF(OFFSET($E78,0,1):OFFSET(U78,0,-1),"&lt;4")&gt;0,IF(C78="К","-"," - "),(IFERROR(AVERAGE(OFFSET($E78,0,1):OFFSET(U78,0,-1)),"Очікую"))))</f>
        <v>Очікую</v>
      </c>
      <c r="V78" s="49" t="str">
        <f t="shared" ca="1" si="2"/>
        <v>Очікую</v>
      </c>
      <c r="W78" s="36"/>
      <c r="X78" s="42"/>
    </row>
    <row r="79" spans="1:24" s="12" customFormat="1" ht="15" customHeight="1" x14ac:dyDescent="0.25">
      <c r="A79" s="43"/>
      <c r="B79" s="34"/>
      <c r="C79" s="47"/>
      <c r="D79" s="50">
        <v>70</v>
      </c>
      <c r="E79" s="48"/>
      <c r="F79" s="47"/>
      <c r="G79" s="47"/>
      <c r="H79" s="47"/>
      <c r="I79" s="47"/>
      <c r="J79" s="47"/>
      <c r="K79" s="47"/>
      <c r="L79" s="47"/>
      <c r="M79" s="47"/>
      <c r="N79" s="47"/>
      <c r="O79" s="47"/>
      <c r="P79" s="47"/>
      <c r="Q79" s="47"/>
      <c r="R79" s="47"/>
      <c r="S79" s="47"/>
      <c r="T79" s="47"/>
      <c r="U79" s="49" t="str">
        <f ca="1">IF(COUNTIF(OFFSET($E79,0,1):OFFSET(U79,0,-1),"=*")&gt;0,IF($C79="К","-"," - "),IF(COUNTIF(OFFSET($E79,0,1):OFFSET(U79,0,-1),"&lt;4")&gt;0,IF(C79="К","-"," - "),(IFERROR(AVERAGE(OFFSET($E79,0,1):OFFSET(U79,0,-1)),"Очікую"))))</f>
        <v>Очікую</v>
      </c>
      <c r="V79" s="49" t="str">
        <f t="shared" ca="1" si="2"/>
        <v>Очікую</v>
      </c>
      <c r="W79" s="36"/>
      <c r="X79" s="42"/>
    </row>
    <row r="80" spans="1:24" s="12" customFormat="1" ht="15" customHeight="1" x14ac:dyDescent="0.25">
      <c r="A80" s="43"/>
      <c r="B80" s="34"/>
      <c r="C80" s="47"/>
      <c r="D80" s="50">
        <v>71</v>
      </c>
      <c r="E80" s="48"/>
      <c r="F80" s="47"/>
      <c r="G80" s="47"/>
      <c r="H80" s="47"/>
      <c r="I80" s="47"/>
      <c r="J80" s="47"/>
      <c r="K80" s="47"/>
      <c r="L80" s="47"/>
      <c r="M80" s="47"/>
      <c r="N80" s="47"/>
      <c r="O80" s="47"/>
      <c r="P80" s="47"/>
      <c r="Q80" s="47"/>
      <c r="R80" s="47"/>
      <c r="S80" s="47"/>
      <c r="T80" s="47"/>
      <c r="U80" s="49" t="str">
        <f ca="1">IF(COUNTIF(OFFSET($E80,0,1):OFFSET(U80,0,-1),"=*")&gt;0,IF($C80="К","-"," - "),IF(COUNTIF(OFFSET($E80,0,1):OFFSET(U80,0,-1),"&lt;4")&gt;0,IF(C80="К","-"," - "),(IFERROR(AVERAGE(OFFSET($E80,0,1):OFFSET(U80,0,-1)),"Очікую"))))</f>
        <v>Очікую</v>
      </c>
      <c r="V80" s="49" t="str">
        <f t="shared" ca="1" si="2"/>
        <v>Очікую</v>
      </c>
      <c r="W80" s="36"/>
      <c r="X80" s="42"/>
    </row>
    <row r="81" spans="1:24" s="12" customFormat="1" ht="15" customHeight="1" x14ac:dyDescent="0.25">
      <c r="A81" s="43"/>
      <c r="B81" s="34"/>
      <c r="C81" s="47"/>
      <c r="D81" s="50">
        <v>72</v>
      </c>
      <c r="E81" s="48"/>
      <c r="F81" s="47"/>
      <c r="G81" s="47"/>
      <c r="H81" s="47"/>
      <c r="I81" s="47"/>
      <c r="J81" s="47"/>
      <c r="K81" s="47"/>
      <c r="L81" s="47"/>
      <c r="M81" s="47"/>
      <c r="N81" s="47"/>
      <c r="O81" s="47"/>
      <c r="P81" s="47"/>
      <c r="Q81" s="47"/>
      <c r="R81" s="47"/>
      <c r="S81" s="47"/>
      <c r="T81" s="47"/>
      <c r="U81" s="49" t="str">
        <f ca="1">IF(COUNTIF(OFFSET($E81,0,1):OFFSET(U81,0,-1),"=*")&gt;0,IF($C81="К","-"," - "),IF(COUNTIF(OFFSET($E81,0,1):OFFSET(U81,0,-1),"&lt;4")&gt;0,IF(C81="К","-"," - "),(IFERROR(AVERAGE(OFFSET($E81,0,1):OFFSET(U81,0,-1)),"Очікую"))))</f>
        <v>Очікую</v>
      </c>
      <c r="V81" s="49" t="str">
        <f t="shared" ca="1" si="2"/>
        <v>Очікую</v>
      </c>
      <c r="W81" s="36"/>
      <c r="X81" s="42"/>
    </row>
    <row r="82" spans="1:24" s="12" customFormat="1" ht="15" customHeight="1" x14ac:dyDescent="0.25">
      <c r="A82" s="43"/>
      <c r="B82" s="34"/>
      <c r="C82" s="47"/>
      <c r="D82" s="50">
        <v>73</v>
      </c>
      <c r="E82" s="48"/>
      <c r="F82" s="47"/>
      <c r="G82" s="47"/>
      <c r="H82" s="47"/>
      <c r="I82" s="47"/>
      <c r="J82" s="47"/>
      <c r="K82" s="47"/>
      <c r="L82" s="47"/>
      <c r="M82" s="47"/>
      <c r="N82" s="47"/>
      <c r="O82" s="47"/>
      <c r="P82" s="47"/>
      <c r="Q82" s="47"/>
      <c r="R82" s="47"/>
      <c r="S82" s="47"/>
      <c r="T82" s="47"/>
      <c r="U82" s="49" t="str">
        <f ca="1">IF(COUNTIF(OFFSET($E82,0,1):OFFSET(U82,0,-1),"=*")&gt;0,IF($C82="К","-"," - "),IF(COUNTIF(OFFSET($E82,0,1):OFFSET(U82,0,-1),"&lt;4")&gt;0,IF(C82="К","-"," - "),(IFERROR(AVERAGE(OFFSET($E82,0,1):OFFSET(U82,0,-1)),"Очікую"))))</f>
        <v>Очікую</v>
      </c>
      <c r="V82" s="49" t="str">
        <f t="shared" ca="1" si="2"/>
        <v>Очікую</v>
      </c>
      <c r="W82" s="36"/>
      <c r="X82" s="42"/>
    </row>
    <row r="83" spans="1:24" s="12" customFormat="1" ht="15" customHeight="1" x14ac:dyDescent="0.25">
      <c r="A83" s="43"/>
      <c r="B83" s="34"/>
      <c r="C83" s="47"/>
      <c r="D83" s="50">
        <v>74</v>
      </c>
      <c r="E83" s="48"/>
      <c r="F83" s="47"/>
      <c r="G83" s="47"/>
      <c r="H83" s="47"/>
      <c r="I83" s="47"/>
      <c r="J83" s="47"/>
      <c r="K83" s="47"/>
      <c r="L83" s="47"/>
      <c r="M83" s="47"/>
      <c r="N83" s="47"/>
      <c r="O83" s="47"/>
      <c r="P83" s="47"/>
      <c r="Q83" s="47"/>
      <c r="R83" s="47"/>
      <c r="S83" s="47"/>
      <c r="T83" s="47"/>
      <c r="U83" s="49" t="str">
        <f ca="1">IF(COUNTIF(OFFSET($E83,0,1):OFFSET(U83,0,-1),"=*")&gt;0,IF($C83="К","-"," - "),IF(COUNTIF(OFFSET($E83,0,1):OFFSET(U83,0,-1),"&lt;4")&gt;0,IF(C83="К","-"," - "),(IFERROR(AVERAGE(OFFSET($E83,0,1):OFFSET(U83,0,-1)),"Очікую"))))</f>
        <v>Очікую</v>
      </c>
      <c r="V83" s="49" t="str">
        <f t="shared" ca="1" si="2"/>
        <v>Очікую</v>
      </c>
      <c r="W83" s="36"/>
      <c r="X83" s="42"/>
    </row>
    <row r="84" spans="1:24" s="12" customFormat="1" ht="15" customHeight="1" x14ac:dyDescent="0.25">
      <c r="A84" s="43"/>
      <c r="B84" s="34"/>
      <c r="C84" s="47"/>
      <c r="D84" s="50">
        <v>75</v>
      </c>
      <c r="E84" s="48"/>
      <c r="F84" s="47"/>
      <c r="G84" s="47"/>
      <c r="H84" s="47"/>
      <c r="I84" s="47"/>
      <c r="J84" s="47"/>
      <c r="K84" s="47"/>
      <c r="L84" s="47"/>
      <c r="M84" s="47"/>
      <c r="N84" s="47"/>
      <c r="O84" s="47"/>
      <c r="P84" s="47"/>
      <c r="Q84" s="47"/>
      <c r="R84" s="47"/>
      <c r="S84" s="47"/>
      <c r="T84" s="47"/>
      <c r="U84" s="49" t="str">
        <f ca="1">IF(COUNTIF(OFFSET($E84,0,1):OFFSET(U84,0,-1),"=*")&gt;0,IF($C84="К","-"," - "),IF(COUNTIF(OFFSET($E84,0,1):OFFSET(U84,0,-1),"&lt;4")&gt;0,IF(C84="К","-"," - "),(IFERROR(AVERAGE(OFFSET($E84,0,1):OFFSET(U84,0,-1)),"Очікую"))))</f>
        <v>Очікую</v>
      </c>
      <c r="V84" s="49" t="str">
        <f t="shared" ca="1" si="2"/>
        <v>Очікую</v>
      </c>
      <c r="W84" s="36"/>
      <c r="X84" s="42"/>
    </row>
    <row r="85" spans="1:24" s="12" customFormat="1" ht="15" customHeight="1" x14ac:dyDescent="0.25">
      <c r="A85" s="43"/>
      <c r="B85" s="34"/>
      <c r="C85" s="47"/>
      <c r="D85" s="50">
        <v>76</v>
      </c>
      <c r="E85" s="48"/>
      <c r="F85" s="47"/>
      <c r="G85" s="47"/>
      <c r="H85" s="47"/>
      <c r="I85" s="47"/>
      <c r="J85" s="47"/>
      <c r="K85" s="47"/>
      <c r="L85" s="47"/>
      <c r="M85" s="47"/>
      <c r="N85" s="47"/>
      <c r="O85" s="47"/>
      <c r="P85" s="47"/>
      <c r="Q85" s="47"/>
      <c r="R85" s="47"/>
      <c r="S85" s="47"/>
      <c r="T85" s="47"/>
      <c r="U85" s="49" t="str">
        <f ca="1">IF(COUNTIF(OFFSET($E85,0,1):OFFSET(U85,0,-1),"=*")&gt;0,IF($C85="К","-"," - "),IF(COUNTIF(OFFSET($E85,0,1):OFFSET(U85,0,-1),"&lt;4")&gt;0,IF(C85="К","-"," - "),(IFERROR(AVERAGE(OFFSET($E85,0,1):OFFSET(U85,0,-1)),"Очікую"))))</f>
        <v>Очікую</v>
      </c>
      <c r="V85" s="49" t="str">
        <f t="shared" ca="1" si="2"/>
        <v>Очікую</v>
      </c>
      <c r="W85" s="36"/>
      <c r="X85" s="42"/>
    </row>
    <row r="86" spans="1:24" s="12" customFormat="1" ht="15" customHeight="1" x14ac:dyDescent="0.25">
      <c r="A86" s="43"/>
      <c r="B86" s="34"/>
      <c r="C86" s="47"/>
      <c r="D86" s="50">
        <v>77</v>
      </c>
      <c r="E86" s="48"/>
      <c r="F86" s="47"/>
      <c r="G86" s="47"/>
      <c r="H86" s="47"/>
      <c r="I86" s="47"/>
      <c r="J86" s="47"/>
      <c r="K86" s="47"/>
      <c r="L86" s="47"/>
      <c r="M86" s="47"/>
      <c r="N86" s="47"/>
      <c r="O86" s="47"/>
      <c r="P86" s="47"/>
      <c r="Q86" s="47"/>
      <c r="R86" s="47"/>
      <c r="S86" s="47"/>
      <c r="T86" s="47"/>
      <c r="U86" s="49" t="str">
        <f ca="1">IF(COUNTIF(OFFSET($E86,0,1):OFFSET(U86,0,-1),"=*")&gt;0,IF($C86="К","-"," - "),IF(COUNTIF(OFFSET($E86,0,1):OFFSET(U86,0,-1),"&lt;4")&gt;0,IF(C86="К","-"," - "),(IFERROR(AVERAGE(OFFSET($E86,0,1):OFFSET(U86,0,-1)),"Очікую"))))</f>
        <v>Очікую</v>
      </c>
      <c r="V86" s="49" t="str">
        <f t="shared" ca="1" si="2"/>
        <v>Очікую</v>
      </c>
      <c r="W86" s="36"/>
      <c r="X86" s="42"/>
    </row>
    <row r="87" spans="1:24" s="12" customFormat="1" ht="15" customHeight="1" x14ac:dyDescent="0.25">
      <c r="A87" s="43"/>
      <c r="B87" s="34"/>
      <c r="C87" s="47"/>
      <c r="D87" s="50">
        <v>78</v>
      </c>
      <c r="E87" s="48"/>
      <c r="F87" s="47"/>
      <c r="G87" s="47"/>
      <c r="H87" s="47"/>
      <c r="I87" s="47"/>
      <c r="J87" s="47"/>
      <c r="K87" s="47"/>
      <c r="L87" s="47"/>
      <c r="M87" s="47"/>
      <c r="N87" s="47"/>
      <c r="O87" s="47"/>
      <c r="P87" s="47"/>
      <c r="Q87" s="47"/>
      <c r="R87" s="47"/>
      <c r="S87" s="47"/>
      <c r="T87" s="47"/>
      <c r="U87" s="49" t="str">
        <f ca="1">IF(COUNTIF(OFFSET($E87,0,1):OFFSET(U87,0,-1),"=*")&gt;0,IF($C87="К","-"," - "),IF(COUNTIF(OFFSET($E87,0,1):OFFSET(U87,0,-1),"&lt;4")&gt;0,IF(C87="К","-"," - "),(IFERROR(AVERAGE(OFFSET($E87,0,1):OFFSET(U87,0,-1)),"Очікую"))))</f>
        <v>Очікую</v>
      </c>
      <c r="V87" s="49" t="str">
        <f t="shared" ca="1" si="2"/>
        <v>Очікую</v>
      </c>
      <c r="W87" s="36"/>
      <c r="X87" s="42"/>
    </row>
    <row r="88" spans="1:24" s="12" customFormat="1" ht="15" customHeight="1" x14ac:dyDescent="0.25">
      <c r="A88" s="43"/>
      <c r="B88" s="34"/>
      <c r="C88" s="47"/>
      <c r="D88" s="50">
        <v>79</v>
      </c>
      <c r="E88" s="48"/>
      <c r="F88" s="47"/>
      <c r="G88" s="47"/>
      <c r="H88" s="47"/>
      <c r="I88" s="47"/>
      <c r="J88" s="47"/>
      <c r="K88" s="47"/>
      <c r="L88" s="47"/>
      <c r="M88" s="47"/>
      <c r="N88" s="47"/>
      <c r="O88" s="47"/>
      <c r="P88" s="47"/>
      <c r="Q88" s="47"/>
      <c r="R88" s="47"/>
      <c r="S88" s="47"/>
      <c r="T88" s="47"/>
      <c r="U88" s="49" t="str">
        <f ca="1">IF(COUNTIF(OFFSET($E88,0,1):OFFSET(U88,0,-1),"=*")&gt;0,IF($C88="К","-"," - "),IF(COUNTIF(OFFSET($E88,0,1):OFFSET(U88,0,-1),"&lt;4")&gt;0,IF(C88="К","-"," - "),(IFERROR(AVERAGE(OFFSET($E88,0,1):OFFSET(U88,0,-1)),"Очікую"))))</f>
        <v>Очікую</v>
      </c>
      <c r="V88" s="49" t="str">
        <f t="shared" ca="1" si="2"/>
        <v>Очікую</v>
      </c>
      <c r="W88" s="36"/>
      <c r="X88" s="42"/>
    </row>
    <row r="89" spans="1:24" s="12" customFormat="1" ht="15" customHeight="1" x14ac:dyDescent="0.25">
      <c r="A89" s="43"/>
      <c r="B89" s="34"/>
      <c r="C89" s="47"/>
      <c r="D89" s="50">
        <v>80</v>
      </c>
      <c r="E89" s="48"/>
      <c r="F89" s="47"/>
      <c r="G89" s="47"/>
      <c r="H89" s="47"/>
      <c r="I89" s="47"/>
      <c r="J89" s="47"/>
      <c r="K89" s="47"/>
      <c r="L89" s="47"/>
      <c r="M89" s="47"/>
      <c r="N89" s="47"/>
      <c r="O89" s="47"/>
      <c r="P89" s="47"/>
      <c r="Q89" s="47"/>
      <c r="R89" s="47"/>
      <c r="S89" s="47"/>
      <c r="T89" s="47"/>
      <c r="U89" s="49" t="str">
        <f ca="1">IF(COUNTIF(OFFSET($E89,0,1):OFFSET(U89,0,-1),"=*")&gt;0,IF($C89="К","-"," - "),IF(COUNTIF(OFFSET($E89,0,1):OFFSET(U89,0,-1),"&lt;4")&gt;0,IF(C89="К","-"," - "),(IFERROR(AVERAGE(OFFSET($E89,0,1):OFFSET(U89,0,-1)),"Очікую"))))</f>
        <v>Очікую</v>
      </c>
      <c r="V89" s="49" t="str">
        <f t="shared" ca="1" si="2"/>
        <v>Очікую</v>
      </c>
      <c r="W89" s="36"/>
      <c r="X89" s="42"/>
    </row>
    <row r="90" spans="1:24" s="12" customFormat="1" ht="15" customHeight="1" x14ac:dyDescent="0.25">
      <c r="A90" s="43"/>
      <c r="B90" s="34"/>
      <c r="C90" s="47"/>
      <c r="D90" s="50">
        <v>81</v>
      </c>
      <c r="E90" s="48"/>
      <c r="F90" s="47"/>
      <c r="G90" s="47"/>
      <c r="H90" s="47"/>
      <c r="I90" s="47"/>
      <c r="J90" s="47"/>
      <c r="K90" s="47"/>
      <c r="L90" s="47"/>
      <c r="M90" s="47"/>
      <c r="N90" s="47"/>
      <c r="O90" s="47"/>
      <c r="P90" s="47"/>
      <c r="Q90" s="47"/>
      <c r="R90" s="47"/>
      <c r="S90" s="47"/>
      <c r="T90" s="47"/>
      <c r="U90" s="49" t="str">
        <f ca="1">IF(COUNTIF(OFFSET($E90,0,1):OFFSET(U90,0,-1),"=*")&gt;0,IF($C90="К","-"," - "),IF(COUNTIF(OFFSET($E90,0,1):OFFSET(U90,0,-1),"&lt;4")&gt;0,IF(C90="К","-"," - "),(IFERROR(AVERAGE(OFFSET($E90,0,1):OFFSET(U90,0,-1)),"Очікую"))))</f>
        <v>Очікую</v>
      </c>
      <c r="V90" s="49" t="str">
        <f t="shared" ca="1" si="2"/>
        <v>Очікую</v>
      </c>
      <c r="W90" s="36"/>
      <c r="X90" s="42"/>
    </row>
    <row r="91" spans="1:24" s="12" customFormat="1" ht="15" customHeight="1" x14ac:dyDescent="0.25">
      <c r="A91" s="43"/>
      <c r="B91" s="34"/>
      <c r="C91" s="47"/>
      <c r="D91" s="50">
        <v>82</v>
      </c>
      <c r="E91" s="48"/>
      <c r="F91" s="47"/>
      <c r="G91" s="47"/>
      <c r="H91" s="47"/>
      <c r="I91" s="47"/>
      <c r="J91" s="47"/>
      <c r="K91" s="47"/>
      <c r="L91" s="47"/>
      <c r="M91" s="47"/>
      <c r="N91" s="47"/>
      <c r="O91" s="47"/>
      <c r="P91" s="47"/>
      <c r="Q91" s="47"/>
      <c r="R91" s="47"/>
      <c r="S91" s="47"/>
      <c r="T91" s="47"/>
      <c r="U91" s="49" t="str">
        <f ca="1">IF(COUNTIF(OFFSET($E91,0,1):OFFSET(U91,0,-1),"=*")&gt;0,IF($C91="К","-"," - "),IF(COUNTIF(OFFSET($E91,0,1):OFFSET(U91,0,-1),"&lt;4")&gt;0,IF(C91="К","-"," - "),(IFERROR(AVERAGE(OFFSET($E91,0,1):OFFSET(U91,0,-1)),"Очікую"))))</f>
        <v>Очікую</v>
      </c>
      <c r="V91" s="49" t="str">
        <f t="shared" ca="1" si="2"/>
        <v>Очікую</v>
      </c>
      <c r="W91" s="36"/>
      <c r="X91" s="42"/>
    </row>
    <row r="92" spans="1:24" s="12" customFormat="1" ht="15" customHeight="1" x14ac:dyDescent="0.25">
      <c r="A92" s="43"/>
      <c r="B92" s="34"/>
      <c r="C92" s="47"/>
      <c r="D92" s="50">
        <v>83</v>
      </c>
      <c r="E92" s="48"/>
      <c r="F92" s="47"/>
      <c r="G92" s="47"/>
      <c r="H92" s="47"/>
      <c r="I92" s="47"/>
      <c r="J92" s="47"/>
      <c r="K92" s="47"/>
      <c r="L92" s="47"/>
      <c r="M92" s="47"/>
      <c r="N92" s="47"/>
      <c r="O92" s="47"/>
      <c r="P92" s="47"/>
      <c r="Q92" s="47"/>
      <c r="R92" s="47"/>
      <c r="S92" s="47"/>
      <c r="T92" s="47"/>
      <c r="U92" s="49" t="str">
        <f ca="1">IF(COUNTIF(OFFSET($E92,0,1):OFFSET(U92,0,-1),"=*")&gt;0,IF($C92="К","-"," - "),IF(COUNTIF(OFFSET($E92,0,1):OFFSET(U92,0,-1),"&lt;4")&gt;0,IF(C92="К","-"," - "),(IFERROR(AVERAGE(OFFSET($E92,0,1):OFFSET(U92,0,-1)),"Очікую"))))</f>
        <v>Очікую</v>
      </c>
      <c r="V92" s="49" t="str">
        <f t="shared" ca="1" si="2"/>
        <v>Очікую</v>
      </c>
      <c r="W92" s="36"/>
      <c r="X92" s="42"/>
    </row>
    <row r="93" spans="1:24" s="12" customFormat="1" ht="15" customHeight="1" x14ac:dyDescent="0.25">
      <c r="A93" s="43"/>
      <c r="B93" s="34"/>
      <c r="C93" s="47"/>
      <c r="D93" s="50">
        <v>84</v>
      </c>
      <c r="E93" s="48"/>
      <c r="F93" s="47"/>
      <c r="G93" s="47"/>
      <c r="H93" s="47"/>
      <c r="I93" s="47"/>
      <c r="J93" s="47"/>
      <c r="K93" s="47"/>
      <c r="L93" s="47"/>
      <c r="M93" s="47"/>
      <c r="N93" s="47"/>
      <c r="O93" s="47"/>
      <c r="P93" s="47"/>
      <c r="Q93" s="47"/>
      <c r="R93" s="47"/>
      <c r="S93" s="47"/>
      <c r="T93" s="47"/>
      <c r="U93" s="49" t="str">
        <f ca="1">IF(COUNTIF(OFFSET($E93,0,1):OFFSET(U93,0,-1),"=*")&gt;0,IF($C93="К","-"," - "),IF(COUNTIF(OFFSET($E93,0,1):OFFSET(U93,0,-1),"&lt;4")&gt;0,IF(C93="К","-"," - "),(IFERROR(AVERAGE(OFFSET($E93,0,1):OFFSET(U93,0,-1)),"Очікую"))))</f>
        <v>Очікую</v>
      </c>
      <c r="V93" s="49" t="str">
        <f t="shared" ca="1" si="2"/>
        <v>Очікую</v>
      </c>
      <c r="W93" s="36"/>
      <c r="X93" s="42"/>
    </row>
    <row r="94" spans="1:24" s="12" customFormat="1" ht="15" customHeight="1" x14ac:dyDescent="0.25">
      <c r="A94" s="43"/>
      <c r="B94" s="34"/>
      <c r="C94" s="47"/>
      <c r="D94" s="50">
        <v>85</v>
      </c>
      <c r="E94" s="48"/>
      <c r="F94" s="47"/>
      <c r="G94" s="47"/>
      <c r="H94" s="47"/>
      <c r="I94" s="47"/>
      <c r="J94" s="47"/>
      <c r="K94" s="47"/>
      <c r="L94" s="47"/>
      <c r="M94" s="47"/>
      <c r="N94" s="47"/>
      <c r="O94" s="47"/>
      <c r="P94" s="47"/>
      <c r="Q94" s="47"/>
      <c r="R94" s="47"/>
      <c r="S94" s="47"/>
      <c r="T94" s="47"/>
      <c r="U94" s="49" t="str">
        <f ca="1">IF(COUNTIF(OFFSET($E94,0,1):OFFSET(U94,0,-1),"=*")&gt;0,IF($C94="К","-"," - "),IF(COUNTIF(OFFSET($E94,0,1):OFFSET(U94,0,-1),"&lt;4")&gt;0,IF(C94="К","-"," - "),(IFERROR(AVERAGE(OFFSET($E94,0,1):OFFSET(U94,0,-1)),"Очікую"))))</f>
        <v>Очікую</v>
      </c>
      <c r="V94" s="49" t="str">
        <f t="shared" ca="1" si="2"/>
        <v>Очікую</v>
      </c>
      <c r="W94" s="36"/>
      <c r="X94" s="42"/>
    </row>
    <row r="95" spans="1:24" s="12" customFormat="1" ht="15" customHeight="1" x14ac:dyDescent="0.25">
      <c r="A95" s="43"/>
      <c r="B95" s="34"/>
      <c r="C95" s="47"/>
      <c r="D95" s="50">
        <v>86</v>
      </c>
      <c r="E95" s="48"/>
      <c r="F95" s="47"/>
      <c r="G95" s="47"/>
      <c r="H95" s="47"/>
      <c r="I95" s="47"/>
      <c r="J95" s="47"/>
      <c r="K95" s="47"/>
      <c r="L95" s="47"/>
      <c r="M95" s="47"/>
      <c r="N95" s="47"/>
      <c r="O95" s="47"/>
      <c r="P95" s="47"/>
      <c r="Q95" s="47"/>
      <c r="R95" s="47"/>
      <c r="S95" s="47"/>
      <c r="T95" s="47"/>
      <c r="U95" s="49" t="str">
        <f ca="1">IF(COUNTIF(OFFSET($E95,0,1):OFFSET(U95,0,-1),"=*")&gt;0,IF($C95="К","-"," - "),IF(COUNTIF(OFFSET($E95,0,1):OFFSET(U95,0,-1),"&lt;4")&gt;0,IF(C95="К","-"," - "),(IFERROR(AVERAGE(OFFSET($E95,0,1):OFFSET(U95,0,-1)),"Очікую"))))</f>
        <v>Очікую</v>
      </c>
      <c r="V95" s="49" t="str">
        <f t="shared" ca="1" si="2"/>
        <v>Очікую</v>
      </c>
      <c r="W95" s="36"/>
      <c r="X95" s="42"/>
    </row>
    <row r="96" spans="1:24" s="12" customFormat="1" ht="15" customHeight="1" x14ac:dyDescent="0.25">
      <c r="A96" s="43"/>
      <c r="B96" s="34"/>
      <c r="C96" s="47"/>
      <c r="D96" s="50">
        <v>87</v>
      </c>
      <c r="E96" s="48"/>
      <c r="F96" s="47"/>
      <c r="G96" s="47"/>
      <c r="H96" s="47"/>
      <c r="I96" s="47"/>
      <c r="J96" s="47"/>
      <c r="K96" s="47"/>
      <c r="L96" s="47"/>
      <c r="M96" s="47"/>
      <c r="N96" s="47"/>
      <c r="O96" s="47"/>
      <c r="P96" s="47"/>
      <c r="Q96" s="47"/>
      <c r="R96" s="47"/>
      <c r="S96" s="47"/>
      <c r="T96" s="47"/>
      <c r="U96" s="49" t="str">
        <f ca="1">IF(COUNTIF(OFFSET($E96,0,1):OFFSET(U96,0,-1),"=*")&gt;0,IF($C96="К","-"," - "),IF(COUNTIF(OFFSET($E96,0,1):OFFSET(U96,0,-1),"&lt;4")&gt;0,IF(C96="К","-"," - "),(IFERROR(AVERAGE(OFFSET($E96,0,1):OFFSET(U96,0,-1)),"Очікую"))))</f>
        <v>Очікую</v>
      </c>
      <c r="V96" s="49" t="str">
        <f t="shared" ca="1" si="2"/>
        <v>Очікую</v>
      </c>
      <c r="W96" s="36"/>
      <c r="X96" s="42"/>
    </row>
    <row r="97" spans="1:24" s="12" customFormat="1" ht="15" customHeight="1" x14ac:dyDescent="0.25">
      <c r="A97" s="43"/>
      <c r="B97" s="34"/>
      <c r="C97" s="47"/>
      <c r="D97" s="50">
        <v>88</v>
      </c>
      <c r="E97" s="48"/>
      <c r="F97" s="47"/>
      <c r="G97" s="47"/>
      <c r="H97" s="47"/>
      <c r="I97" s="47"/>
      <c r="J97" s="47"/>
      <c r="K97" s="47"/>
      <c r="L97" s="47"/>
      <c r="M97" s="47"/>
      <c r="N97" s="47"/>
      <c r="O97" s="47"/>
      <c r="P97" s="47"/>
      <c r="Q97" s="47"/>
      <c r="R97" s="47"/>
      <c r="S97" s="47"/>
      <c r="T97" s="47"/>
      <c r="U97" s="49" t="str">
        <f ca="1">IF(COUNTIF(OFFSET($E97,0,1):OFFSET(U97,0,-1),"=*")&gt;0,IF($C97="К","-"," - "),IF(COUNTIF(OFFSET($E97,0,1):OFFSET(U97,0,-1),"&lt;4")&gt;0,IF(C97="К","-"," - "),(IFERROR(AVERAGE(OFFSET($E97,0,1):OFFSET(U97,0,-1)),"Очікую"))))</f>
        <v>Очікую</v>
      </c>
      <c r="V97" s="49" t="str">
        <f t="shared" ca="1" si="2"/>
        <v>Очікую</v>
      </c>
      <c r="W97" s="36"/>
      <c r="X97" s="42"/>
    </row>
    <row r="98" spans="1:24" s="12" customFormat="1" ht="15" customHeight="1" x14ac:dyDescent="0.25">
      <c r="A98" s="43"/>
      <c r="B98" s="34"/>
      <c r="C98" s="47"/>
      <c r="D98" s="50">
        <v>89</v>
      </c>
      <c r="E98" s="48"/>
      <c r="F98" s="47"/>
      <c r="G98" s="47"/>
      <c r="H98" s="47"/>
      <c r="I98" s="47"/>
      <c r="J98" s="47"/>
      <c r="K98" s="47"/>
      <c r="L98" s="47"/>
      <c r="M98" s="47"/>
      <c r="N98" s="47"/>
      <c r="O98" s="47"/>
      <c r="P98" s="47"/>
      <c r="Q98" s="47"/>
      <c r="R98" s="47"/>
      <c r="S98" s="47"/>
      <c r="T98" s="47"/>
      <c r="U98" s="49" t="str">
        <f ca="1">IF(COUNTIF(OFFSET($E98,0,1):OFFSET(U98,0,-1),"=*")&gt;0,IF($C98="К","-"," - "),IF(COUNTIF(OFFSET($E98,0,1):OFFSET(U98,0,-1),"&lt;4")&gt;0,IF(C98="К","-"," - "),(IFERROR(AVERAGE(OFFSET($E98,0,1):OFFSET(U98,0,-1)),"Очікую"))))</f>
        <v>Очікую</v>
      </c>
      <c r="V98" s="49" t="str">
        <f t="shared" ca="1" si="2"/>
        <v>Очікую</v>
      </c>
      <c r="W98" s="36"/>
      <c r="X98" s="42"/>
    </row>
    <row r="99" spans="1:24" s="12" customFormat="1" ht="15" customHeight="1" x14ac:dyDescent="0.25">
      <c r="A99" s="43"/>
      <c r="B99" s="34"/>
      <c r="C99" s="47"/>
      <c r="D99" s="50">
        <v>90</v>
      </c>
      <c r="E99" s="48"/>
      <c r="F99" s="47"/>
      <c r="G99" s="47"/>
      <c r="H99" s="47"/>
      <c r="I99" s="47"/>
      <c r="J99" s="47"/>
      <c r="K99" s="47"/>
      <c r="L99" s="47"/>
      <c r="M99" s="47"/>
      <c r="N99" s="47"/>
      <c r="O99" s="47"/>
      <c r="P99" s="47"/>
      <c r="Q99" s="47"/>
      <c r="R99" s="47"/>
      <c r="S99" s="47"/>
      <c r="T99" s="47"/>
      <c r="U99" s="49" t="str">
        <f ca="1">IF(COUNTIF(OFFSET($E99,0,1):OFFSET(U99,0,-1),"=*")&gt;0,IF($C99="К","-"," - "),IF(COUNTIF(OFFSET($E99,0,1):OFFSET(U99,0,-1),"&lt;4")&gt;0,IF(C99="К","-"," - "),(IFERROR(AVERAGE(OFFSET($E99,0,1):OFFSET(U99,0,-1)),"Очікую"))))</f>
        <v>Очікую</v>
      </c>
      <c r="V99" s="49" t="str">
        <f t="shared" ca="1" si="2"/>
        <v>Очікую</v>
      </c>
      <c r="W99" s="36"/>
      <c r="X99" s="42"/>
    </row>
    <row r="100" spans="1:24" s="12" customFormat="1" ht="15" customHeight="1" x14ac:dyDescent="0.25">
      <c r="A100" s="43"/>
      <c r="B100" s="34"/>
      <c r="C100" s="47"/>
      <c r="D100" s="50">
        <v>91</v>
      </c>
      <c r="E100" s="48"/>
      <c r="F100" s="47"/>
      <c r="G100" s="47"/>
      <c r="H100" s="47"/>
      <c r="I100" s="47"/>
      <c r="J100" s="47"/>
      <c r="K100" s="47"/>
      <c r="L100" s="47"/>
      <c r="M100" s="47"/>
      <c r="N100" s="47"/>
      <c r="O100" s="47"/>
      <c r="P100" s="47"/>
      <c r="Q100" s="47"/>
      <c r="R100" s="47"/>
      <c r="S100" s="47"/>
      <c r="T100" s="47"/>
      <c r="U100" s="49" t="str">
        <f ca="1">IF(COUNTIF(OFFSET($E100,0,1):OFFSET(U100,0,-1),"=*")&gt;0,IF($C100="К","-"," - "),IF(COUNTIF(OFFSET($E100,0,1):OFFSET(U100,0,-1),"&lt;4")&gt;0,IF(C100="К","-"," - "),(IFERROR(AVERAGE(OFFSET($E100,0,1):OFFSET(U100,0,-1)),"Очікую"))))</f>
        <v>Очікую</v>
      </c>
      <c r="V100" s="49" t="str">
        <f t="shared" ca="1" si="2"/>
        <v>Очікую</v>
      </c>
      <c r="W100" s="36"/>
      <c r="X100" s="42"/>
    </row>
    <row r="101" spans="1:24" s="12" customFormat="1" ht="15" customHeight="1" x14ac:dyDescent="0.25">
      <c r="A101" s="43"/>
      <c r="B101" s="34"/>
      <c r="C101" s="47"/>
      <c r="D101" s="50">
        <v>92</v>
      </c>
      <c r="E101" s="48"/>
      <c r="F101" s="47"/>
      <c r="G101" s="47"/>
      <c r="H101" s="47"/>
      <c r="I101" s="47"/>
      <c r="J101" s="47"/>
      <c r="K101" s="47"/>
      <c r="L101" s="47"/>
      <c r="M101" s="47"/>
      <c r="N101" s="47"/>
      <c r="O101" s="47"/>
      <c r="P101" s="47"/>
      <c r="Q101" s="47"/>
      <c r="R101" s="47"/>
      <c r="S101" s="47"/>
      <c r="T101" s="47"/>
      <c r="U101" s="49" t="str">
        <f ca="1">IF(COUNTIF(OFFSET($E101,0,1):OFFSET(U101,0,-1),"=*")&gt;0,IF($C101="К","-"," - "),IF(COUNTIF(OFFSET($E101,0,1):OFFSET(U101,0,-1),"&lt;4")&gt;0,IF(C101="К","-"," - "),(IFERROR(AVERAGE(OFFSET($E101,0,1):OFFSET(U101,0,-1)),"Очікую"))))</f>
        <v>Очікую</v>
      </c>
      <c r="V101" s="49" t="str">
        <f t="shared" ca="1" si="2"/>
        <v>Очікую</v>
      </c>
      <c r="W101" s="36"/>
      <c r="X101" s="42"/>
    </row>
    <row r="102" spans="1:24" s="12" customFormat="1" ht="15" customHeight="1" x14ac:dyDescent="0.25">
      <c r="A102" s="43"/>
      <c r="B102" s="34"/>
      <c r="C102" s="47"/>
      <c r="D102" s="50">
        <v>93</v>
      </c>
      <c r="E102" s="48"/>
      <c r="F102" s="47"/>
      <c r="G102" s="47"/>
      <c r="H102" s="47"/>
      <c r="I102" s="47"/>
      <c r="J102" s="47"/>
      <c r="K102" s="47"/>
      <c r="L102" s="47"/>
      <c r="M102" s="47"/>
      <c r="N102" s="47"/>
      <c r="O102" s="47"/>
      <c r="P102" s="47"/>
      <c r="Q102" s="47"/>
      <c r="R102" s="47"/>
      <c r="S102" s="47"/>
      <c r="T102" s="47"/>
      <c r="U102" s="49" t="str">
        <f ca="1">IF(COUNTIF(OFFSET($E102,0,1):OFFSET(U102,0,-1),"=*")&gt;0,IF($C102="К","-"," - "),IF(COUNTIF(OFFSET($E102,0,1):OFFSET(U102,0,-1),"&lt;4")&gt;0,IF(C102="К","-"," - "),(IFERROR(AVERAGE(OFFSET($E102,0,1):OFFSET(U102,0,-1)),"Очікую"))))</f>
        <v>Очікую</v>
      </c>
      <c r="V102" s="49" t="str">
        <f t="shared" ca="1" si="2"/>
        <v>Очікую</v>
      </c>
      <c r="W102" s="36"/>
      <c r="X102" s="42"/>
    </row>
    <row r="103" spans="1:24" s="12" customFormat="1" ht="15" customHeight="1" x14ac:dyDescent="0.25">
      <c r="A103" s="43"/>
      <c r="B103" s="34"/>
      <c r="C103" s="47"/>
      <c r="D103" s="50">
        <v>94</v>
      </c>
      <c r="E103" s="48"/>
      <c r="F103" s="47"/>
      <c r="G103" s="47"/>
      <c r="H103" s="47"/>
      <c r="I103" s="47"/>
      <c r="J103" s="47"/>
      <c r="K103" s="47"/>
      <c r="L103" s="47"/>
      <c r="M103" s="47"/>
      <c r="N103" s="47"/>
      <c r="O103" s="47"/>
      <c r="P103" s="47"/>
      <c r="Q103" s="47"/>
      <c r="R103" s="47"/>
      <c r="S103" s="47"/>
      <c r="T103" s="47"/>
      <c r="U103" s="49" t="str">
        <f ca="1">IF(COUNTIF(OFFSET($E103,0,1):OFFSET(U103,0,-1),"=*")&gt;0,IF($C103="К","-"," - "),IF(COUNTIF(OFFSET($E103,0,1):OFFSET(U103,0,-1),"&lt;4")&gt;0,IF(C103="К","-"," - "),(IFERROR(AVERAGE(OFFSET($E103,0,1):OFFSET(U103,0,-1)),"Очікую"))))</f>
        <v>Очікую</v>
      </c>
      <c r="V103" s="49" t="str">
        <f t="shared" ca="1" si="2"/>
        <v>Очікую</v>
      </c>
      <c r="W103" s="36"/>
      <c r="X103" s="42"/>
    </row>
    <row r="104" spans="1:24" s="12" customFormat="1" ht="15" customHeight="1" x14ac:dyDescent="0.25">
      <c r="A104" s="43"/>
      <c r="B104" s="34"/>
      <c r="C104" s="47"/>
      <c r="D104" s="50">
        <v>95</v>
      </c>
      <c r="E104" s="48"/>
      <c r="F104" s="47"/>
      <c r="G104" s="47"/>
      <c r="H104" s="47"/>
      <c r="I104" s="47"/>
      <c r="J104" s="47"/>
      <c r="K104" s="47"/>
      <c r="L104" s="47"/>
      <c r="M104" s="47"/>
      <c r="N104" s="47"/>
      <c r="O104" s="47"/>
      <c r="P104" s="47"/>
      <c r="Q104" s="47"/>
      <c r="R104" s="47"/>
      <c r="S104" s="47"/>
      <c r="T104" s="47"/>
      <c r="U104" s="49" t="str">
        <f ca="1">IF(COUNTIF(OFFSET($E104,0,1):OFFSET(U104,0,-1),"=*")&gt;0,IF($C104="К","-"," - "),IF(COUNTIF(OFFSET($E104,0,1):OFFSET(U104,0,-1),"&lt;4")&gt;0,IF(C104="К","-"," - "),(IFERROR(AVERAGE(OFFSET($E104,0,1):OFFSET(U104,0,-1)),"Очікую"))))</f>
        <v>Очікую</v>
      </c>
      <c r="V104" s="49" t="str">
        <f t="shared" ca="1" si="2"/>
        <v>Очікую</v>
      </c>
      <c r="W104" s="36"/>
      <c r="X104" s="42"/>
    </row>
    <row r="105" spans="1:24" s="12" customFormat="1" ht="15" customHeight="1" x14ac:dyDescent="0.25">
      <c r="A105" s="43"/>
      <c r="B105" s="34"/>
      <c r="C105" s="47"/>
      <c r="D105" s="50">
        <v>96</v>
      </c>
      <c r="E105" s="48"/>
      <c r="F105" s="47"/>
      <c r="G105" s="47"/>
      <c r="H105" s="47"/>
      <c r="I105" s="47"/>
      <c r="J105" s="47"/>
      <c r="K105" s="47"/>
      <c r="L105" s="47"/>
      <c r="M105" s="47"/>
      <c r="N105" s="47"/>
      <c r="O105" s="47"/>
      <c r="P105" s="47"/>
      <c r="Q105" s="47"/>
      <c r="R105" s="47"/>
      <c r="S105" s="47"/>
      <c r="T105" s="47"/>
      <c r="U105" s="49" t="str">
        <f ca="1">IF(COUNTIF(OFFSET($E105,0,1):OFFSET(U105,0,-1),"=*")&gt;0,IF($C105="К","-"," - "),IF(COUNTIF(OFFSET($E105,0,1):OFFSET(U105,0,-1),"&lt;4")&gt;0,IF(C105="К","-"," - "),(IFERROR(AVERAGE(OFFSET($E105,0,1):OFFSET(U105,0,-1)),"Очікую"))))</f>
        <v>Очікую</v>
      </c>
      <c r="V105" s="49" t="str">
        <f t="shared" ca="1" si="2"/>
        <v>Очікую</v>
      </c>
      <c r="W105" s="36"/>
      <c r="X105" s="42"/>
    </row>
    <row r="106" spans="1:24" s="12" customFormat="1" ht="15" customHeight="1" x14ac:dyDescent="0.25">
      <c r="A106" s="43"/>
      <c r="B106" s="34"/>
      <c r="C106" s="47"/>
      <c r="D106" s="50">
        <v>97</v>
      </c>
      <c r="E106" s="48"/>
      <c r="F106" s="47"/>
      <c r="G106" s="47"/>
      <c r="H106" s="47"/>
      <c r="I106" s="47"/>
      <c r="J106" s="47"/>
      <c r="K106" s="47"/>
      <c r="L106" s="47"/>
      <c r="M106" s="47"/>
      <c r="N106" s="47"/>
      <c r="O106" s="47"/>
      <c r="P106" s="47"/>
      <c r="Q106" s="47"/>
      <c r="R106" s="47"/>
      <c r="S106" s="47"/>
      <c r="T106" s="47"/>
      <c r="U106" s="49" t="str">
        <f ca="1">IF(COUNTIF(OFFSET($E106,0,1):OFFSET(U106,0,-1),"=*")&gt;0,IF($C106="К","-"," - "),IF(COUNTIF(OFFSET($E106,0,1):OFFSET(U106,0,-1),"&lt;4")&gt;0,IF(C106="К","-"," - "),(IFERROR(AVERAGE(OFFSET($E106,0,1):OFFSET(U106,0,-1)),"Очікую"))))</f>
        <v>Очікую</v>
      </c>
      <c r="V106" s="49" t="str">
        <f t="shared" ca="1" si="2"/>
        <v>Очікую</v>
      </c>
      <c r="W106" s="36"/>
      <c r="X106" s="42"/>
    </row>
    <row r="107" spans="1:24" s="12" customFormat="1" ht="15" customHeight="1" x14ac:dyDescent="0.25">
      <c r="A107" s="43"/>
      <c r="B107" s="34"/>
      <c r="C107" s="47"/>
      <c r="D107" s="50">
        <v>98</v>
      </c>
      <c r="E107" s="48"/>
      <c r="F107" s="47"/>
      <c r="G107" s="47"/>
      <c r="H107" s="47"/>
      <c r="I107" s="47"/>
      <c r="J107" s="47"/>
      <c r="K107" s="47"/>
      <c r="L107" s="47"/>
      <c r="M107" s="47"/>
      <c r="N107" s="47"/>
      <c r="O107" s="47"/>
      <c r="P107" s="47"/>
      <c r="Q107" s="47"/>
      <c r="R107" s="47"/>
      <c r="S107" s="47"/>
      <c r="T107" s="47"/>
      <c r="U107" s="49" t="str">
        <f ca="1">IF(COUNTIF(OFFSET($E107,0,1):OFFSET(U107,0,-1),"=*")&gt;0,IF($C107="К","-"," - "),IF(COUNTIF(OFFSET($E107,0,1):OFFSET(U107,0,-1),"&lt;4")&gt;0,IF(C107="К","-"," - "),(IFERROR(AVERAGE(OFFSET($E107,0,1):OFFSET(U107,0,-1)),"Очікую"))))</f>
        <v>Очікую</v>
      </c>
      <c r="V107" s="49" t="str">
        <f t="shared" ca="1" si="2"/>
        <v>Очікую</v>
      </c>
      <c r="W107" s="36"/>
      <c r="X107" s="42"/>
    </row>
    <row r="108" spans="1:24" s="12" customFormat="1" ht="15" customHeight="1" x14ac:dyDescent="0.25">
      <c r="A108" s="43"/>
      <c r="B108" s="34"/>
      <c r="C108" s="47"/>
      <c r="D108" s="50">
        <v>99</v>
      </c>
      <c r="E108" s="48"/>
      <c r="F108" s="47"/>
      <c r="G108" s="47"/>
      <c r="H108" s="47"/>
      <c r="I108" s="47"/>
      <c r="J108" s="47"/>
      <c r="K108" s="47"/>
      <c r="L108" s="47"/>
      <c r="M108" s="47"/>
      <c r="N108" s="47"/>
      <c r="O108" s="47"/>
      <c r="P108" s="47"/>
      <c r="Q108" s="47"/>
      <c r="R108" s="47"/>
      <c r="S108" s="47"/>
      <c r="T108" s="47"/>
      <c r="U108" s="49" t="str">
        <f ca="1">IF(COUNTIF(OFFSET($E108,0,1):OFFSET(U108,0,-1),"=*")&gt;0,IF($C108="К","-"," - "),IF(COUNTIF(OFFSET($E108,0,1):OFFSET(U108,0,-1),"&lt;4")&gt;0,IF(C108="К","-"," - "),(IFERROR(AVERAGE(OFFSET($E108,0,1):OFFSET(U108,0,-1)),"Очікую"))))</f>
        <v>Очікую</v>
      </c>
      <c r="V108" s="49" t="str">
        <f t="shared" ca="1" si="2"/>
        <v>Очікую</v>
      </c>
      <c r="W108" s="36"/>
      <c r="X108" s="42"/>
    </row>
    <row r="109" spans="1:24" s="12" customFormat="1" ht="15" customHeight="1" x14ac:dyDescent="0.25">
      <c r="A109" s="43"/>
      <c r="B109" s="34"/>
      <c r="C109" s="47"/>
      <c r="D109" s="50">
        <v>100</v>
      </c>
      <c r="E109" s="48"/>
      <c r="F109" s="47"/>
      <c r="G109" s="47"/>
      <c r="H109" s="47"/>
      <c r="I109" s="47"/>
      <c r="J109" s="47"/>
      <c r="K109" s="47"/>
      <c r="L109" s="47"/>
      <c r="M109" s="47"/>
      <c r="N109" s="47"/>
      <c r="O109" s="47"/>
      <c r="P109" s="47"/>
      <c r="Q109" s="47"/>
      <c r="R109" s="47"/>
      <c r="S109" s="47"/>
      <c r="T109" s="47"/>
      <c r="U109" s="49" t="str">
        <f ca="1">IF(COUNTIF(OFFSET($E109,0,1):OFFSET(U109,0,-1),"=*")&gt;0,IF($C109="К","-"," - "),IF(COUNTIF(OFFSET($E109,0,1):OFFSET(U109,0,-1),"&lt;4")&gt;0,IF(C109="К","-"," - "),(IFERROR(AVERAGE(OFFSET($E109,0,1):OFFSET(U109,0,-1)),"Очікую"))))</f>
        <v>Очікую</v>
      </c>
      <c r="V109" s="49" t="str">
        <f t="shared" ca="1" si="2"/>
        <v>Очікую</v>
      </c>
      <c r="W109" s="36"/>
      <c r="X109" s="42"/>
    </row>
    <row r="110" spans="1:24" ht="15" customHeight="1" x14ac:dyDescent="0.25">
      <c r="A110" s="43"/>
      <c r="B110" s="34"/>
      <c r="C110" s="27"/>
      <c r="D110" s="27"/>
      <c r="E110" s="28" t="s">
        <v>9</v>
      </c>
      <c r="F110" s="5" t="str">
        <f ca="1">З2!F115</f>
        <v>Очікую</v>
      </c>
      <c r="G110" s="27"/>
      <c r="H110" s="29"/>
      <c r="I110" s="27"/>
      <c r="J110" s="27"/>
      <c r="K110" s="27"/>
      <c r="L110" s="27"/>
      <c r="M110" s="27"/>
      <c r="N110" s="27"/>
      <c r="O110" s="27"/>
      <c r="P110" s="30"/>
      <c r="Q110" s="29"/>
      <c r="R110" s="27"/>
      <c r="S110" s="27"/>
      <c r="T110" s="27"/>
      <c r="U110" s="27"/>
      <c r="V110" s="27"/>
      <c r="W110" s="35"/>
      <c r="X110" s="42"/>
    </row>
    <row r="111" spans="1:24" ht="15" customHeight="1" x14ac:dyDescent="0.25">
      <c r="A111" s="43"/>
      <c r="B111" s="34"/>
      <c r="C111" s="27"/>
      <c r="D111" s="27"/>
      <c r="E111" s="28" t="s">
        <v>10</v>
      </c>
      <c r="F111" s="5" t="str">
        <f ca="1">З2!F116</f>
        <v>Очікую</v>
      </c>
      <c r="G111" s="27"/>
      <c r="H111" s="78" t="s">
        <v>11</v>
      </c>
      <c r="I111" s="78"/>
      <c r="J111" s="78"/>
      <c r="K111" s="78"/>
      <c r="L111" s="78"/>
      <c r="M111" s="7"/>
      <c r="N111" s="7"/>
      <c r="O111" s="7"/>
      <c r="P111" s="79" t="s">
        <v>81</v>
      </c>
      <c r="Q111" s="79"/>
      <c r="R111" s="79"/>
      <c r="S111" s="79"/>
      <c r="T111" s="79"/>
      <c r="U111" s="79"/>
      <c r="V111" s="27"/>
      <c r="W111" s="35"/>
      <c r="X111" s="42"/>
    </row>
    <row r="112" spans="1:24" ht="15" customHeight="1" x14ac:dyDescent="0.25">
      <c r="A112" s="43"/>
      <c r="B112" s="34"/>
      <c r="C112" s="27"/>
      <c r="D112" s="27"/>
      <c r="E112" s="28" t="s">
        <v>12</v>
      </c>
      <c r="F112" s="5">
        <f>З2!F117</f>
        <v>0</v>
      </c>
      <c r="G112" s="27"/>
      <c r="H112" s="11"/>
      <c r="I112" s="7"/>
      <c r="J112" s="7"/>
      <c r="K112" s="7"/>
      <c r="L112" s="7"/>
      <c r="M112" s="7"/>
      <c r="N112" s="7"/>
      <c r="O112" s="7"/>
      <c r="P112" s="11"/>
      <c r="Q112" s="11"/>
      <c r="R112" s="7"/>
      <c r="S112" s="7"/>
      <c r="T112" s="7"/>
      <c r="U112" s="7"/>
      <c r="V112" s="27"/>
      <c r="W112" s="35"/>
      <c r="X112" s="42"/>
    </row>
    <row r="113" spans="1:24" ht="15" customHeight="1" x14ac:dyDescent="0.25">
      <c r="A113" s="43"/>
      <c r="B113" s="34"/>
      <c r="C113" s="27"/>
      <c r="D113" s="27"/>
      <c r="E113" s="28" t="s">
        <v>13</v>
      </c>
      <c r="F113" s="5" t="str">
        <f ca="1">З2!F118</f>
        <v>Очікую</v>
      </c>
      <c r="G113" s="27"/>
      <c r="H113" s="79" t="s">
        <v>14</v>
      </c>
      <c r="I113" s="79"/>
      <c r="J113" s="79"/>
      <c r="K113" s="79"/>
      <c r="L113" s="79"/>
      <c r="M113" s="7"/>
      <c r="N113" s="7"/>
      <c r="O113" s="7"/>
      <c r="P113" s="79" t="s">
        <v>15</v>
      </c>
      <c r="Q113" s="79"/>
      <c r="R113" s="79"/>
      <c r="S113" s="79"/>
      <c r="T113" s="79"/>
      <c r="U113" s="79"/>
      <c r="V113" s="27"/>
      <c r="W113" s="35"/>
      <c r="X113" s="42"/>
    </row>
    <row r="114" spans="1:24" ht="12" customHeight="1" thickBot="1" x14ac:dyDescent="0.3">
      <c r="A114" s="43"/>
      <c r="B114" s="37"/>
      <c r="C114" s="38"/>
      <c r="D114" s="38"/>
      <c r="E114" s="38"/>
      <c r="F114" s="38"/>
      <c r="G114" s="38"/>
      <c r="H114" s="38"/>
      <c r="I114" s="38"/>
      <c r="J114" s="38"/>
      <c r="K114" s="38"/>
      <c r="L114" s="38"/>
      <c r="M114" s="38"/>
      <c r="N114" s="38"/>
      <c r="O114" s="38"/>
      <c r="P114" s="38"/>
      <c r="Q114" s="38"/>
      <c r="R114" s="38"/>
      <c r="S114" s="38"/>
      <c r="T114" s="38"/>
      <c r="U114" s="38"/>
      <c r="V114" s="38"/>
      <c r="W114" s="39"/>
      <c r="X114" s="42"/>
    </row>
    <row r="115" spans="1:24" ht="12" customHeight="1" x14ac:dyDescent="0.25">
      <c r="A115" s="41"/>
      <c r="B115" s="17"/>
      <c r="C115" s="17"/>
      <c r="D115" s="17"/>
      <c r="E115" s="17"/>
      <c r="F115" s="17"/>
      <c r="G115" s="17"/>
      <c r="H115" s="17"/>
      <c r="I115" s="17"/>
      <c r="J115" s="17"/>
      <c r="K115" s="17"/>
      <c r="L115" s="17"/>
      <c r="M115" s="17"/>
      <c r="N115" s="17"/>
      <c r="O115" s="17"/>
      <c r="P115" s="17"/>
      <c r="Q115" s="17"/>
      <c r="R115" s="17"/>
      <c r="S115" s="17"/>
      <c r="T115" s="17"/>
      <c r="U115" s="17"/>
      <c r="V115" s="17"/>
      <c r="W115" s="17"/>
      <c r="X115" s="42"/>
    </row>
    <row r="116" spans="1:24" ht="0" hidden="1" customHeight="1" x14ac:dyDescent="0.25">
      <c r="A116" s="44"/>
      <c r="X116" s="44"/>
    </row>
    <row r="117" spans="1:24" ht="0" hidden="1" customHeight="1" x14ac:dyDescent="0.25">
      <c r="A117" s="44"/>
      <c r="X117" s="44"/>
    </row>
    <row r="118" spans="1:24" ht="0" hidden="1" customHeight="1" x14ac:dyDescent="0.25">
      <c r="A118" s="44"/>
      <c r="X118" s="44"/>
    </row>
    <row r="119" spans="1:24" ht="0" hidden="1" customHeight="1" x14ac:dyDescent="0.25">
      <c r="A119" s="44"/>
      <c r="X119" s="44"/>
    </row>
    <row r="120" spans="1:24" ht="0" hidden="1"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row>
  </sheetData>
  <sheetProtection insertRows="0" deleteRows="0"/>
  <mergeCells count="13">
    <mergeCell ref="H111:L111"/>
    <mergeCell ref="P111:U111"/>
    <mergeCell ref="H113:L113"/>
    <mergeCell ref="P113:U113"/>
    <mergeCell ref="C8:C9"/>
    <mergeCell ref="D8:D9"/>
    <mergeCell ref="E8:E9"/>
    <mergeCell ref="F8:V8"/>
    <mergeCell ref="C3:V3"/>
    <mergeCell ref="C4:V4"/>
    <mergeCell ref="C5:V5"/>
    <mergeCell ref="C6:V6"/>
    <mergeCell ref="C7:V7"/>
  </mergeCells>
  <printOptions horizontalCentered="1"/>
  <pageMargins left="0.19685039370078741" right="0.19685039370078741" top="0.19685039370078741" bottom="0.19685039370078741" header="0" footer="0"/>
  <pageSetup paperSize="9" scale="32"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26B0A"/>
    <pageSetUpPr fitToPage="1"/>
  </sheetPr>
  <dimension ref="A1:BI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2" width="11.28515625" style="1" customWidth="1"/>
    <col min="23" max="24" width="2.7109375" style="1" customWidth="1"/>
    <col min="25" max="30" width="14.42578125" style="1" hidden="1" customWidth="1"/>
    <col min="31" max="31" width="14.85546875" style="1" hidden="1" customWidth="1"/>
    <col min="32" max="45" width="3.7109375" style="1" hidden="1" customWidth="1"/>
    <col min="46" max="61" width="5.7109375" style="1" hidden="1" customWidth="1"/>
    <col min="62" max="16384" width="14.42578125" style="1" hidden="1"/>
  </cols>
  <sheetData>
    <row r="1" spans="1:24"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c r="X1" s="41"/>
    </row>
    <row r="2" spans="1:24" ht="12" customHeight="1" x14ac:dyDescent="0.25">
      <c r="A2" s="43"/>
      <c r="B2" s="31"/>
      <c r="C2" s="32"/>
      <c r="D2" s="32"/>
      <c r="E2" s="32"/>
      <c r="F2" s="32"/>
      <c r="G2" s="32"/>
      <c r="H2" s="32"/>
      <c r="I2" s="32"/>
      <c r="J2" s="32"/>
      <c r="K2" s="32"/>
      <c r="L2" s="32"/>
      <c r="M2" s="32"/>
      <c r="N2" s="32"/>
      <c r="O2" s="32"/>
      <c r="P2" s="32"/>
      <c r="Q2" s="32"/>
      <c r="R2" s="32"/>
      <c r="S2" s="32"/>
      <c r="T2" s="32"/>
      <c r="U2" s="32"/>
      <c r="V2" s="32"/>
      <c r="W2" s="33"/>
      <c r="X2" s="42"/>
    </row>
    <row r="3" spans="1:24" s="2" customFormat="1" ht="54.95" customHeight="1" x14ac:dyDescent="0.3">
      <c r="A3" s="43"/>
      <c r="B3" s="34"/>
      <c r="C3" s="74" t="s">
        <v>19</v>
      </c>
      <c r="D3" s="74"/>
      <c r="E3" s="74"/>
      <c r="F3" s="74"/>
      <c r="G3" s="74"/>
      <c r="H3" s="74"/>
      <c r="I3" s="74"/>
      <c r="J3" s="74"/>
      <c r="K3" s="74"/>
      <c r="L3" s="74"/>
      <c r="M3" s="74"/>
      <c r="N3" s="74"/>
      <c r="O3" s="74"/>
      <c r="P3" s="74"/>
      <c r="Q3" s="74"/>
      <c r="R3" s="74"/>
      <c r="S3" s="74"/>
      <c r="T3" s="74"/>
      <c r="U3" s="74"/>
      <c r="V3" s="74"/>
      <c r="W3" s="35"/>
      <c r="X3" s="42"/>
    </row>
    <row r="4" spans="1:24" s="3" customFormat="1" ht="15" customHeight="1" x14ac:dyDescent="0.25">
      <c r="A4" s="43"/>
      <c r="B4" s="34"/>
      <c r="C4" s="75" t="s">
        <v>38</v>
      </c>
      <c r="D4" s="75"/>
      <c r="E4" s="75"/>
      <c r="F4" s="75"/>
      <c r="G4" s="75"/>
      <c r="H4" s="75"/>
      <c r="I4" s="75"/>
      <c r="J4" s="75"/>
      <c r="K4" s="75"/>
      <c r="L4" s="75"/>
      <c r="M4" s="75"/>
      <c r="N4" s="75"/>
      <c r="O4" s="75"/>
      <c r="P4" s="75"/>
      <c r="Q4" s="75"/>
      <c r="R4" s="75"/>
      <c r="S4" s="75"/>
      <c r="T4" s="75"/>
      <c r="U4" s="75"/>
      <c r="V4" s="75"/>
      <c r="W4" s="35"/>
      <c r="X4" s="42"/>
    </row>
    <row r="5" spans="1:24" s="2" customFormat="1" ht="15" customHeight="1" x14ac:dyDescent="0.25">
      <c r="A5" s="43"/>
      <c r="B5" s="34"/>
      <c r="C5" s="76" t="s">
        <v>35</v>
      </c>
      <c r="D5" s="76"/>
      <c r="E5" s="76"/>
      <c r="F5" s="76"/>
      <c r="G5" s="76"/>
      <c r="H5" s="76"/>
      <c r="I5" s="76"/>
      <c r="J5" s="76"/>
      <c r="K5" s="76"/>
      <c r="L5" s="76"/>
      <c r="M5" s="76"/>
      <c r="N5" s="76"/>
      <c r="O5" s="76"/>
      <c r="P5" s="76"/>
      <c r="Q5" s="76"/>
      <c r="R5" s="76"/>
      <c r="S5" s="76"/>
      <c r="T5" s="76"/>
      <c r="U5" s="76"/>
      <c r="V5" s="76"/>
      <c r="W5" s="35"/>
      <c r="X5" s="42"/>
    </row>
    <row r="6" spans="1:24" s="2" customFormat="1" ht="15" customHeight="1" x14ac:dyDescent="0.25">
      <c r="A6" s="43"/>
      <c r="B6" s="34"/>
      <c r="C6" s="76" t="s">
        <v>37</v>
      </c>
      <c r="D6" s="76"/>
      <c r="E6" s="76"/>
      <c r="F6" s="76"/>
      <c r="G6" s="76"/>
      <c r="H6" s="76"/>
      <c r="I6" s="76"/>
      <c r="J6" s="76"/>
      <c r="K6" s="76"/>
      <c r="L6" s="76"/>
      <c r="M6" s="76"/>
      <c r="N6" s="76"/>
      <c r="O6" s="76"/>
      <c r="P6" s="76"/>
      <c r="Q6" s="76"/>
      <c r="R6" s="76"/>
      <c r="S6" s="76"/>
      <c r="T6" s="76"/>
      <c r="U6" s="76"/>
      <c r="V6" s="76"/>
      <c r="W6" s="35"/>
      <c r="X6" s="42"/>
    </row>
    <row r="7" spans="1:24" s="2" customFormat="1" ht="15" customHeight="1" x14ac:dyDescent="0.25">
      <c r="A7" s="43"/>
      <c r="B7" s="34"/>
      <c r="C7" s="77" t="s">
        <v>36</v>
      </c>
      <c r="D7" s="77"/>
      <c r="E7" s="77"/>
      <c r="F7" s="77"/>
      <c r="G7" s="77"/>
      <c r="H7" s="77"/>
      <c r="I7" s="77"/>
      <c r="J7" s="77"/>
      <c r="K7" s="77"/>
      <c r="L7" s="77"/>
      <c r="M7" s="77"/>
      <c r="N7" s="77"/>
      <c r="O7" s="77"/>
      <c r="P7" s="77"/>
      <c r="Q7" s="77"/>
      <c r="R7" s="77"/>
      <c r="S7" s="77"/>
      <c r="T7" s="77"/>
      <c r="U7" s="77"/>
      <c r="V7" s="77"/>
      <c r="W7" s="35"/>
      <c r="X7" s="42"/>
    </row>
    <row r="8" spans="1:24" ht="15" customHeight="1" x14ac:dyDescent="0.25">
      <c r="A8" s="43"/>
      <c r="B8" s="34"/>
      <c r="C8" s="80" t="s">
        <v>0</v>
      </c>
      <c r="D8" s="82" t="s">
        <v>1</v>
      </c>
      <c r="E8" s="82" t="s">
        <v>2</v>
      </c>
      <c r="F8" s="81" t="s">
        <v>17</v>
      </c>
      <c r="G8" s="81"/>
      <c r="H8" s="81"/>
      <c r="I8" s="81"/>
      <c r="J8" s="81"/>
      <c r="K8" s="81"/>
      <c r="L8" s="81"/>
      <c r="M8" s="81"/>
      <c r="N8" s="81"/>
      <c r="O8" s="81"/>
      <c r="P8" s="81"/>
      <c r="Q8" s="81"/>
      <c r="R8" s="81"/>
      <c r="S8" s="81"/>
      <c r="T8" s="81"/>
      <c r="U8" s="81"/>
      <c r="V8" s="81"/>
      <c r="W8" s="35"/>
      <c r="X8" s="42"/>
    </row>
    <row r="9" spans="1:24" ht="125.1" customHeight="1" x14ac:dyDescent="0.25">
      <c r="A9" s="43"/>
      <c r="B9" s="34"/>
      <c r="C9" s="81"/>
      <c r="D9" s="81"/>
      <c r="E9" s="81"/>
      <c r="F9" s="25" t="s">
        <v>20</v>
      </c>
      <c r="G9" s="25" t="s">
        <v>21</v>
      </c>
      <c r="H9" s="25" t="s">
        <v>22</v>
      </c>
      <c r="I9" s="25" t="s">
        <v>23</v>
      </c>
      <c r="J9" s="25" t="s">
        <v>24</v>
      </c>
      <c r="K9" s="25" t="s">
        <v>25</v>
      </c>
      <c r="L9" s="25" t="s">
        <v>26</v>
      </c>
      <c r="M9" s="25" t="s">
        <v>27</v>
      </c>
      <c r="N9" s="25" t="s">
        <v>28</v>
      </c>
      <c r="O9" s="25" t="s">
        <v>29</v>
      </c>
      <c r="P9" s="25" t="s">
        <v>30</v>
      </c>
      <c r="Q9" s="25" t="s">
        <v>31</v>
      </c>
      <c r="R9" s="25" t="s">
        <v>32</v>
      </c>
      <c r="S9" s="25" t="s">
        <v>33</v>
      </c>
      <c r="T9" s="25" t="s">
        <v>34</v>
      </c>
      <c r="U9" s="26" t="s">
        <v>3</v>
      </c>
      <c r="V9" s="26" t="s">
        <v>39</v>
      </c>
      <c r="W9" s="35"/>
      <c r="X9" s="42"/>
    </row>
    <row r="10" spans="1:24" s="12" customFormat="1" ht="15" customHeight="1" x14ac:dyDescent="0.25">
      <c r="A10" s="43"/>
      <c r="B10" s="34"/>
      <c r="C10" s="47"/>
      <c r="D10" s="47">
        <v>1</v>
      </c>
      <c r="E10" s="48"/>
      <c r="F10" s="47"/>
      <c r="G10" s="47"/>
      <c r="H10" s="47"/>
      <c r="I10" s="47"/>
      <c r="J10" s="47"/>
      <c r="K10" s="47"/>
      <c r="L10" s="47"/>
      <c r="M10" s="47"/>
      <c r="N10" s="47"/>
      <c r="O10" s="47"/>
      <c r="P10" s="47"/>
      <c r="Q10" s="47"/>
      <c r="R10" s="47"/>
      <c r="S10" s="47"/>
      <c r="T10" s="47"/>
      <c r="U10" s="49" t="str">
        <f ca="1">IF(COUNTIF(OFFSET($E10,0,1):OFFSET(U10,0,-1),"=*")&gt;0,IF($C10="К","-"," - "),IF(COUNTIF(OFFSET($E10,0,1):OFFSET(U10,0,-1),"&lt;4")&gt;0,IF(C10="К","-"," - "),(IFERROR(AVERAGE(OFFSET($E10,0,1):OFFSET(U10,0,-1)),"Очікую"))))</f>
        <v>Очікую</v>
      </c>
      <c r="V10" s="49" t="str">
        <f ca="1">IFERROR(U10/12*90,"Очікую")</f>
        <v>Очікую</v>
      </c>
      <c r="W10" s="36"/>
      <c r="X10" s="42"/>
    </row>
    <row r="11" spans="1:24" s="12" customFormat="1" ht="15" customHeight="1" x14ac:dyDescent="0.25">
      <c r="A11" s="43"/>
      <c r="B11" s="34"/>
      <c r="C11" s="47"/>
      <c r="D11" s="47">
        <v>2</v>
      </c>
      <c r="E11" s="48"/>
      <c r="F11" s="47"/>
      <c r="G11" s="47"/>
      <c r="H11" s="47"/>
      <c r="I11" s="47"/>
      <c r="J11" s="47"/>
      <c r="K11" s="47"/>
      <c r="L11" s="47"/>
      <c r="M11" s="47"/>
      <c r="N11" s="47"/>
      <c r="O11" s="47"/>
      <c r="P11" s="47"/>
      <c r="Q11" s="47"/>
      <c r="R11" s="47"/>
      <c r="S11" s="47"/>
      <c r="T11" s="47"/>
      <c r="U11" s="49" t="str">
        <f ca="1">IF(COUNTIF(OFFSET($E11,0,1):OFFSET(U11,0,-1),"=*")&gt;0,IF($C11="К","-"," - "),IF(COUNTIF(OFFSET($E11,0,1):OFFSET(U11,0,-1),"&lt;4")&gt;0,IF(C11="К","-"," - "),(IFERROR(AVERAGE(OFFSET($E11,0,1):OFFSET(U11,0,-1)),"Очікую"))))</f>
        <v>Очікую</v>
      </c>
      <c r="V11" s="49" t="str">
        <f t="shared" ref="V11:V74" ca="1" si="0">IFERROR(U11/12*90,"Очікую")</f>
        <v>Очікую</v>
      </c>
      <c r="W11" s="36"/>
      <c r="X11" s="42"/>
    </row>
    <row r="12" spans="1:24" s="12" customFormat="1" ht="15" customHeight="1" x14ac:dyDescent="0.25">
      <c r="A12" s="43"/>
      <c r="B12" s="34"/>
      <c r="C12" s="47"/>
      <c r="D12" s="47">
        <v>3</v>
      </c>
      <c r="E12" s="48"/>
      <c r="F12" s="47"/>
      <c r="G12" s="47"/>
      <c r="H12" s="47"/>
      <c r="I12" s="47"/>
      <c r="J12" s="47"/>
      <c r="K12" s="47"/>
      <c r="L12" s="47"/>
      <c r="M12" s="47"/>
      <c r="N12" s="47"/>
      <c r="O12" s="47"/>
      <c r="P12" s="47"/>
      <c r="Q12" s="47"/>
      <c r="R12" s="47"/>
      <c r="S12" s="47"/>
      <c r="T12" s="47"/>
      <c r="U12" s="49" t="str">
        <f ca="1">IF(COUNTIF(OFFSET($E12,0,1):OFFSET(U12,0,-1),"=*")&gt;0,IF($C12="К","-"," - "),IF(COUNTIF(OFFSET($E12,0,1):OFFSET(U12,0,-1),"&lt;4")&gt;0,IF(C12="К","-"," - "),(IFERROR(AVERAGE(OFFSET($E12,0,1):OFFSET(U12,0,-1)),"Очікую"))))</f>
        <v>Очікую</v>
      </c>
      <c r="V12" s="49" t="str">
        <f t="shared" ca="1" si="0"/>
        <v>Очікую</v>
      </c>
      <c r="W12" s="36"/>
      <c r="X12" s="42"/>
    </row>
    <row r="13" spans="1:24" s="12" customFormat="1" ht="15" customHeight="1" x14ac:dyDescent="0.25">
      <c r="A13" s="43"/>
      <c r="B13" s="34"/>
      <c r="C13" s="47"/>
      <c r="D13" s="47">
        <v>4</v>
      </c>
      <c r="E13" s="48"/>
      <c r="F13" s="47"/>
      <c r="G13" s="47"/>
      <c r="H13" s="47"/>
      <c r="I13" s="47"/>
      <c r="J13" s="47"/>
      <c r="K13" s="47"/>
      <c r="L13" s="47"/>
      <c r="M13" s="47"/>
      <c r="N13" s="47"/>
      <c r="O13" s="47"/>
      <c r="P13" s="47"/>
      <c r="Q13" s="47"/>
      <c r="R13" s="47"/>
      <c r="S13" s="47"/>
      <c r="T13" s="47"/>
      <c r="U13" s="49" t="str">
        <f ca="1">IF(COUNTIF(OFFSET($E13,0,1):OFFSET(U13,0,-1),"=*")&gt;0,IF($C13="К","-"," - "),IF(COUNTIF(OFFSET($E13,0,1):OFFSET(U13,0,-1),"&lt;4")&gt;0,IF(C13="К","-"," - "),(IFERROR(AVERAGE(OFFSET($E13,0,1):OFFSET(U13,0,-1)),"Очікую"))))</f>
        <v>Очікую</v>
      </c>
      <c r="V13" s="49" t="str">
        <f t="shared" ca="1" si="0"/>
        <v>Очікую</v>
      </c>
      <c r="W13" s="36"/>
      <c r="X13" s="42"/>
    </row>
    <row r="14" spans="1:24" s="12" customFormat="1" ht="15" customHeight="1" x14ac:dyDescent="0.25">
      <c r="A14" s="43"/>
      <c r="B14" s="34"/>
      <c r="C14" s="47"/>
      <c r="D14" s="47">
        <v>5</v>
      </c>
      <c r="E14" s="48"/>
      <c r="F14" s="47"/>
      <c r="G14" s="47"/>
      <c r="H14" s="47"/>
      <c r="I14" s="47"/>
      <c r="J14" s="47"/>
      <c r="K14" s="47"/>
      <c r="L14" s="47"/>
      <c r="M14" s="47"/>
      <c r="N14" s="47"/>
      <c r="O14" s="47"/>
      <c r="P14" s="47"/>
      <c r="Q14" s="47"/>
      <c r="R14" s="47"/>
      <c r="S14" s="47"/>
      <c r="T14" s="47"/>
      <c r="U14" s="49" t="str">
        <f ca="1">IF(COUNTIF(OFFSET($E14,0,1):OFFSET(U14,0,-1),"=*")&gt;0,IF($C14="К","-"," - "),IF(COUNTIF(OFFSET($E14,0,1):OFFSET(U14,0,-1),"&lt;4")&gt;0,IF(C14="К","-"," - "),(IFERROR(AVERAGE(OFFSET($E14,0,1):OFFSET(U14,0,-1)),"Очікую"))))</f>
        <v>Очікую</v>
      </c>
      <c r="V14" s="49" t="str">
        <f t="shared" ca="1" si="0"/>
        <v>Очікую</v>
      </c>
      <c r="W14" s="36"/>
      <c r="X14" s="42"/>
    </row>
    <row r="15" spans="1:24" s="12" customFormat="1" ht="15" customHeight="1" x14ac:dyDescent="0.25">
      <c r="A15" s="43"/>
      <c r="B15" s="34"/>
      <c r="C15" s="47"/>
      <c r="D15" s="47">
        <v>6</v>
      </c>
      <c r="E15" s="48"/>
      <c r="F15" s="47"/>
      <c r="G15" s="47"/>
      <c r="H15" s="47"/>
      <c r="I15" s="47"/>
      <c r="J15" s="47"/>
      <c r="K15" s="47"/>
      <c r="L15" s="47"/>
      <c r="M15" s="47"/>
      <c r="N15" s="47"/>
      <c r="O15" s="47"/>
      <c r="P15" s="47"/>
      <c r="Q15" s="47"/>
      <c r="R15" s="47"/>
      <c r="S15" s="47"/>
      <c r="T15" s="47"/>
      <c r="U15" s="49" t="str">
        <f ca="1">IF(COUNTIF(OFFSET($E15,0,1):OFFSET(U15,0,-1),"=*")&gt;0,IF($C15="К","-"," - "),IF(COUNTIF(OFFSET($E15,0,1):OFFSET(U15,0,-1),"&lt;4")&gt;0,IF(C15="К","-"," - "),(IFERROR(AVERAGE(OFFSET($E15,0,1):OFFSET(U15,0,-1)),"Очікую"))))</f>
        <v>Очікую</v>
      </c>
      <c r="V15" s="49" t="str">
        <f t="shared" ca="1" si="0"/>
        <v>Очікую</v>
      </c>
      <c r="W15" s="36"/>
      <c r="X15" s="42"/>
    </row>
    <row r="16" spans="1:24" s="12" customFormat="1" ht="15" customHeight="1" x14ac:dyDescent="0.25">
      <c r="A16" s="43"/>
      <c r="B16" s="34"/>
      <c r="C16" s="47"/>
      <c r="D16" s="47">
        <v>7</v>
      </c>
      <c r="E16" s="48"/>
      <c r="F16" s="47"/>
      <c r="G16" s="47"/>
      <c r="H16" s="47"/>
      <c r="I16" s="47"/>
      <c r="J16" s="47"/>
      <c r="K16" s="47"/>
      <c r="L16" s="47"/>
      <c r="M16" s="47"/>
      <c r="N16" s="47"/>
      <c r="O16" s="47"/>
      <c r="P16" s="47"/>
      <c r="Q16" s="47"/>
      <c r="R16" s="47"/>
      <c r="S16" s="47"/>
      <c r="T16" s="47"/>
      <c r="U16" s="49" t="str">
        <f ca="1">IF(COUNTIF(OFFSET($E16,0,1):OFFSET(U16,0,-1),"=*")&gt;0,IF($C16="К","-"," - "),IF(COUNTIF(OFFSET($E16,0,1):OFFSET(U16,0,-1),"&lt;4")&gt;0,IF(C16="К","-"," - "),(IFERROR(AVERAGE(OFFSET($E16,0,1):OFFSET(U16,0,-1)),"Очікую"))))</f>
        <v>Очікую</v>
      </c>
      <c r="V16" s="49" t="str">
        <f t="shared" ca="1" si="0"/>
        <v>Очікую</v>
      </c>
      <c r="W16" s="36"/>
      <c r="X16" s="42"/>
    </row>
    <row r="17" spans="1:24" s="12" customFormat="1" ht="15" customHeight="1" x14ac:dyDescent="0.25">
      <c r="A17" s="43"/>
      <c r="B17" s="34"/>
      <c r="C17" s="47"/>
      <c r="D17" s="47">
        <v>8</v>
      </c>
      <c r="E17" s="48"/>
      <c r="F17" s="47"/>
      <c r="G17" s="47"/>
      <c r="H17" s="47"/>
      <c r="I17" s="47"/>
      <c r="J17" s="47"/>
      <c r="K17" s="47"/>
      <c r="L17" s="47"/>
      <c r="M17" s="47"/>
      <c r="N17" s="47"/>
      <c r="O17" s="47"/>
      <c r="P17" s="47"/>
      <c r="Q17" s="47"/>
      <c r="R17" s="47"/>
      <c r="S17" s="47"/>
      <c r="T17" s="47"/>
      <c r="U17" s="49" t="str">
        <f ca="1">IF(COUNTIF(OFFSET($E17,0,1):OFFSET(U17,0,-1),"=*")&gt;0,IF($C17="К","-"," - "),IF(COUNTIF(OFFSET($E17,0,1):OFFSET(U17,0,-1),"&lt;4")&gt;0,IF(C17="К","-"," - "),(IFERROR(AVERAGE(OFFSET($E17,0,1):OFFSET(U17,0,-1)),"Очікую"))))</f>
        <v>Очікую</v>
      </c>
      <c r="V17" s="49" t="str">
        <f t="shared" ca="1" si="0"/>
        <v>Очікую</v>
      </c>
      <c r="W17" s="36"/>
      <c r="X17" s="42"/>
    </row>
    <row r="18" spans="1:24" s="12" customFormat="1" ht="15" customHeight="1" x14ac:dyDescent="0.25">
      <c r="A18" s="43"/>
      <c r="B18" s="34"/>
      <c r="C18" s="47"/>
      <c r="D18" s="47">
        <v>9</v>
      </c>
      <c r="E18" s="48"/>
      <c r="F18" s="47"/>
      <c r="G18" s="47"/>
      <c r="H18" s="47"/>
      <c r="I18" s="47"/>
      <c r="J18" s="47"/>
      <c r="K18" s="47"/>
      <c r="L18" s="47"/>
      <c r="M18" s="47"/>
      <c r="N18" s="47"/>
      <c r="O18" s="47"/>
      <c r="P18" s="47"/>
      <c r="Q18" s="47"/>
      <c r="R18" s="47"/>
      <c r="S18" s="47"/>
      <c r="T18" s="47"/>
      <c r="U18" s="49" t="str">
        <f ca="1">IF(COUNTIF(OFFSET($E18,0,1):OFFSET(U18,0,-1),"=*")&gt;0,IF($C18="К","-"," - "),IF(COUNTIF(OFFSET($E18,0,1):OFFSET(U18,0,-1),"&lt;4")&gt;0,IF(C18="К","-"," - "),(IFERROR(AVERAGE(OFFSET($E18,0,1):OFFSET(U18,0,-1)),"Очікую"))))</f>
        <v>Очікую</v>
      </c>
      <c r="V18" s="49" t="str">
        <f t="shared" ca="1" si="0"/>
        <v>Очікую</v>
      </c>
      <c r="W18" s="36"/>
      <c r="X18" s="42"/>
    </row>
    <row r="19" spans="1:24" s="12" customFormat="1" ht="15" customHeight="1" x14ac:dyDescent="0.25">
      <c r="A19" s="43"/>
      <c r="B19" s="34"/>
      <c r="C19" s="47"/>
      <c r="D19" s="47">
        <v>10</v>
      </c>
      <c r="E19" s="48"/>
      <c r="F19" s="47"/>
      <c r="G19" s="47"/>
      <c r="H19" s="47"/>
      <c r="I19" s="47"/>
      <c r="J19" s="47"/>
      <c r="K19" s="47"/>
      <c r="L19" s="47"/>
      <c r="M19" s="47"/>
      <c r="N19" s="47"/>
      <c r="O19" s="47"/>
      <c r="P19" s="47"/>
      <c r="Q19" s="47"/>
      <c r="R19" s="47"/>
      <c r="S19" s="47"/>
      <c r="T19" s="47"/>
      <c r="U19" s="49" t="str">
        <f ca="1">IF(COUNTIF(OFFSET($E19,0,1):OFFSET(U19,0,-1),"=*")&gt;0,IF($C19="К","-"," - "),IF(COUNTIF(OFFSET($E19,0,1):OFFSET(U19,0,-1),"&lt;4")&gt;0,IF(C19="К","-"," - "),(IFERROR(AVERAGE(OFFSET($E19,0,1):OFFSET(U19,0,-1)),"Очікую"))))</f>
        <v>Очікую</v>
      </c>
      <c r="V19" s="49" t="str">
        <f t="shared" ca="1" si="0"/>
        <v>Очікую</v>
      </c>
      <c r="W19" s="36"/>
      <c r="X19" s="42"/>
    </row>
    <row r="20" spans="1:24" s="12" customFormat="1" ht="15" customHeight="1" x14ac:dyDescent="0.25">
      <c r="A20" s="43"/>
      <c r="B20" s="34"/>
      <c r="C20" s="47"/>
      <c r="D20" s="47">
        <v>11</v>
      </c>
      <c r="E20" s="48"/>
      <c r="F20" s="47"/>
      <c r="G20" s="47"/>
      <c r="H20" s="47"/>
      <c r="I20" s="47"/>
      <c r="J20" s="47"/>
      <c r="K20" s="47"/>
      <c r="L20" s="47"/>
      <c r="M20" s="47"/>
      <c r="N20" s="47"/>
      <c r="O20" s="47"/>
      <c r="P20" s="47"/>
      <c r="Q20" s="47"/>
      <c r="R20" s="47"/>
      <c r="S20" s="47"/>
      <c r="T20" s="47"/>
      <c r="U20" s="49" t="str">
        <f ca="1">IF(COUNTIF(OFFSET($E20,0,1):OFFSET(U20,0,-1),"=*")&gt;0,IF($C20="К","-"," - "),IF(COUNTIF(OFFSET($E20,0,1):OFFSET(U20,0,-1),"&lt;4")&gt;0,IF(C20="К","-"," - "),(IFERROR(AVERAGE(OFFSET($E20,0,1):OFFSET(U20,0,-1)),"Очікую"))))</f>
        <v>Очікую</v>
      </c>
      <c r="V20" s="49" t="str">
        <f t="shared" ca="1" si="0"/>
        <v>Очікую</v>
      </c>
      <c r="W20" s="36"/>
      <c r="X20" s="42"/>
    </row>
    <row r="21" spans="1:24" s="12" customFormat="1" ht="15" customHeight="1" x14ac:dyDescent="0.25">
      <c r="A21" s="43"/>
      <c r="B21" s="34"/>
      <c r="C21" s="47"/>
      <c r="D21" s="47">
        <v>12</v>
      </c>
      <c r="E21" s="48"/>
      <c r="F21" s="47"/>
      <c r="G21" s="47"/>
      <c r="H21" s="47"/>
      <c r="I21" s="47"/>
      <c r="J21" s="47"/>
      <c r="K21" s="47"/>
      <c r="L21" s="47"/>
      <c r="M21" s="47"/>
      <c r="N21" s="47"/>
      <c r="O21" s="47"/>
      <c r="P21" s="47"/>
      <c r="Q21" s="47"/>
      <c r="R21" s="47"/>
      <c r="S21" s="47"/>
      <c r="T21" s="47"/>
      <c r="U21" s="49" t="str">
        <f ca="1">IF(COUNTIF(OFFSET($E21,0,1):OFFSET(U21,0,-1),"=*")&gt;0,IF($C21="К","-"," - "),IF(COUNTIF(OFFSET($E21,0,1):OFFSET(U21,0,-1),"&lt;4")&gt;0,IF(C21="К","-"," - "),(IFERROR(AVERAGE(OFFSET($E21,0,1):OFFSET(U21,0,-1)),"Очікую"))))</f>
        <v>Очікую</v>
      </c>
      <c r="V21" s="49" t="str">
        <f t="shared" ca="1" si="0"/>
        <v>Очікую</v>
      </c>
      <c r="W21" s="36"/>
      <c r="X21" s="42"/>
    </row>
    <row r="22" spans="1:24" s="12" customFormat="1" ht="15" customHeight="1" x14ac:dyDescent="0.25">
      <c r="A22" s="43"/>
      <c r="B22" s="34"/>
      <c r="C22" s="47"/>
      <c r="D22" s="47">
        <v>13</v>
      </c>
      <c r="E22" s="48"/>
      <c r="F22" s="47"/>
      <c r="G22" s="47"/>
      <c r="H22" s="47"/>
      <c r="I22" s="47"/>
      <c r="J22" s="47"/>
      <c r="K22" s="47"/>
      <c r="L22" s="47"/>
      <c r="M22" s="47"/>
      <c r="N22" s="47"/>
      <c r="O22" s="47"/>
      <c r="P22" s="47"/>
      <c r="Q22" s="47"/>
      <c r="R22" s="47"/>
      <c r="S22" s="47"/>
      <c r="T22" s="47"/>
      <c r="U22" s="49" t="str">
        <f ca="1">IF(COUNTIF(OFFSET($E22,0,1):OFFSET(U22,0,-1),"=*")&gt;0,IF($C22="К","-"," - "),IF(COUNTIF(OFFSET($E22,0,1):OFFSET(U22,0,-1),"&lt;4")&gt;0,IF(C22="К","-"," - "),(IFERROR(AVERAGE(OFFSET($E22,0,1):OFFSET(U22,0,-1)),"Очікую"))))</f>
        <v>Очікую</v>
      </c>
      <c r="V22" s="49" t="str">
        <f t="shared" ca="1" si="0"/>
        <v>Очікую</v>
      </c>
      <c r="W22" s="36"/>
      <c r="X22" s="42"/>
    </row>
    <row r="23" spans="1:24" s="12" customFormat="1" ht="15" customHeight="1" x14ac:dyDescent="0.25">
      <c r="A23" s="43"/>
      <c r="B23" s="34"/>
      <c r="C23" s="47"/>
      <c r="D23" s="47">
        <v>14</v>
      </c>
      <c r="E23" s="48"/>
      <c r="F23" s="47"/>
      <c r="G23" s="47"/>
      <c r="H23" s="47"/>
      <c r="I23" s="47"/>
      <c r="J23" s="47"/>
      <c r="K23" s="47"/>
      <c r="L23" s="47"/>
      <c r="M23" s="47"/>
      <c r="N23" s="47"/>
      <c r="O23" s="47"/>
      <c r="P23" s="47"/>
      <c r="Q23" s="47"/>
      <c r="R23" s="47"/>
      <c r="S23" s="47"/>
      <c r="T23" s="47"/>
      <c r="U23" s="49" t="str">
        <f ca="1">IF(COUNTIF(OFFSET($E23,0,1):OFFSET(U23,0,-1),"=*")&gt;0,IF($C23="К","-"," - "),IF(COUNTIF(OFFSET($E23,0,1):OFFSET(U23,0,-1),"&lt;4")&gt;0,IF(C23="К","-"," - "),(IFERROR(AVERAGE(OFFSET($E23,0,1):OFFSET(U23,0,-1)),"Очікую"))))</f>
        <v>Очікую</v>
      </c>
      <c r="V23" s="49" t="str">
        <f t="shared" ca="1" si="0"/>
        <v>Очікую</v>
      </c>
      <c r="W23" s="36"/>
      <c r="X23" s="42"/>
    </row>
    <row r="24" spans="1:24" s="12" customFormat="1" ht="15" customHeight="1" x14ac:dyDescent="0.25">
      <c r="A24" s="43"/>
      <c r="B24" s="34"/>
      <c r="C24" s="47"/>
      <c r="D24" s="47">
        <v>15</v>
      </c>
      <c r="E24" s="48"/>
      <c r="F24" s="47"/>
      <c r="G24" s="47"/>
      <c r="H24" s="47"/>
      <c r="I24" s="47"/>
      <c r="J24" s="47"/>
      <c r="K24" s="47"/>
      <c r="L24" s="47"/>
      <c r="M24" s="47"/>
      <c r="N24" s="47"/>
      <c r="O24" s="47"/>
      <c r="P24" s="47"/>
      <c r="Q24" s="47"/>
      <c r="R24" s="47"/>
      <c r="S24" s="47"/>
      <c r="T24" s="47"/>
      <c r="U24" s="49" t="str">
        <f ca="1">IF(COUNTIF(OFFSET($E24,0,1):OFFSET(U24,0,-1),"=*")&gt;0,IF($C24="К","-"," - "),IF(COUNTIF(OFFSET($E24,0,1):OFFSET(U24,0,-1),"&lt;4")&gt;0,IF(C24="К","-"," - "),(IFERROR(AVERAGE(OFFSET($E24,0,1):OFFSET(U24,0,-1)),"Очікую"))))</f>
        <v>Очікую</v>
      </c>
      <c r="V24" s="49" t="str">
        <f t="shared" ca="1" si="0"/>
        <v>Очікую</v>
      </c>
      <c r="W24" s="36"/>
      <c r="X24" s="42"/>
    </row>
    <row r="25" spans="1:24" s="12" customFormat="1" ht="15" customHeight="1" x14ac:dyDescent="0.25">
      <c r="A25" s="43"/>
      <c r="B25" s="34"/>
      <c r="C25" s="47"/>
      <c r="D25" s="47">
        <v>16</v>
      </c>
      <c r="E25" s="48"/>
      <c r="F25" s="47"/>
      <c r="G25" s="47"/>
      <c r="H25" s="47"/>
      <c r="I25" s="47"/>
      <c r="J25" s="47"/>
      <c r="K25" s="47"/>
      <c r="L25" s="47"/>
      <c r="M25" s="47"/>
      <c r="N25" s="47"/>
      <c r="O25" s="47"/>
      <c r="P25" s="47"/>
      <c r="Q25" s="47"/>
      <c r="R25" s="47"/>
      <c r="S25" s="47"/>
      <c r="T25" s="47"/>
      <c r="U25" s="49" t="str">
        <f ca="1">IF(COUNTIF(OFFSET($E25,0,1):OFFSET(U25,0,-1),"=*")&gt;0,IF($C25="К","-"," - "),IF(COUNTIF(OFFSET($E25,0,1):OFFSET(U25,0,-1),"&lt;4")&gt;0,IF(C25="К","-"," - "),(IFERROR(AVERAGE(OFFSET($E25,0,1):OFFSET(U25,0,-1)),"Очікую"))))</f>
        <v>Очікую</v>
      </c>
      <c r="V25" s="49" t="str">
        <f t="shared" ca="1" si="0"/>
        <v>Очікую</v>
      </c>
      <c r="W25" s="36"/>
      <c r="X25" s="42"/>
    </row>
    <row r="26" spans="1:24" s="12" customFormat="1" ht="15" customHeight="1" x14ac:dyDescent="0.25">
      <c r="A26" s="43"/>
      <c r="B26" s="34"/>
      <c r="C26" s="47"/>
      <c r="D26" s="47">
        <v>17</v>
      </c>
      <c r="E26" s="48"/>
      <c r="F26" s="47"/>
      <c r="G26" s="47"/>
      <c r="H26" s="47"/>
      <c r="I26" s="47"/>
      <c r="J26" s="47"/>
      <c r="K26" s="47"/>
      <c r="L26" s="47"/>
      <c r="M26" s="47"/>
      <c r="N26" s="47"/>
      <c r="O26" s="47"/>
      <c r="P26" s="47"/>
      <c r="Q26" s="47"/>
      <c r="R26" s="47"/>
      <c r="S26" s="47"/>
      <c r="T26" s="47"/>
      <c r="U26" s="49" t="str">
        <f ca="1">IF(COUNTIF(OFFSET($E26,0,1):OFFSET(U26,0,-1),"=*")&gt;0,IF($C26="К","-"," - "),IF(COUNTIF(OFFSET($E26,0,1):OFFSET(U26,0,-1),"&lt;4")&gt;0,IF(C26="К","-"," - "),(IFERROR(AVERAGE(OFFSET($E26,0,1):OFFSET(U26,0,-1)),"Очікую"))))</f>
        <v>Очікую</v>
      </c>
      <c r="V26" s="49" t="str">
        <f t="shared" ca="1" si="0"/>
        <v>Очікую</v>
      </c>
      <c r="W26" s="36"/>
      <c r="X26" s="42"/>
    </row>
    <row r="27" spans="1:24" s="12" customFormat="1" ht="15" customHeight="1" x14ac:dyDescent="0.25">
      <c r="A27" s="43"/>
      <c r="B27" s="34"/>
      <c r="C27" s="47"/>
      <c r="D27" s="47">
        <v>18</v>
      </c>
      <c r="E27" s="48"/>
      <c r="F27" s="47"/>
      <c r="G27" s="47"/>
      <c r="H27" s="47"/>
      <c r="I27" s="47"/>
      <c r="J27" s="47"/>
      <c r="K27" s="47"/>
      <c r="L27" s="47"/>
      <c r="M27" s="47"/>
      <c r="N27" s="47"/>
      <c r="O27" s="47"/>
      <c r="P27" s="47"/>
      <c r="Q27" s="47"/>
      <c r="R27" s="47"/>
      <c r="S27" s="47"/>
      <c r="T27" s="47"/>
      <c r="U27" s="49" t="str">
        <f ca="1">IF(COUNTIF(OFFSET($E27,0,1):OFFSET(U27,0,-1),"=*")&gt;0,IF($C27="К","-"," - "),IF(COUNTIF(OFFSET($E27,0,1):OFFSET(U27,0,-1),"&lt;4")&gt;0,IF(C27="К","-"," - "),(IFERROR(AVERAGE(OFFSET($E27,0,1):OFFSET(U27,0,-1)),"Очікую"))))</f>
        <v>Очікую</v>
      </c>
      <c r="V27" s="49" t="str">
        <f t="shared" ca="1" si="0"/>
        <v>Очікую</v>
      </c>
      <c r="W27" s="36"/>
      <c r="X27" s="42"/>
    </row>
    <row r="28" spans="1:24" s="12" customFormat="1" ht="15" customHeight="1" x14ac:dyDescent="0.25">
      <c r="A28" s="43"/>
      <c r="B28" s="34"/>
      <c r="C28" s="47"/>
      <c r="D28" s="47">
        <v>19</v>
      </c>
      <c r="E28" s="48"/>
      <c r="F28" s="47"/>
      <c r="G28" s="47"/>
      <c r="H28" s="47"/>
      <c r="I28" s="47"/>
      <c r="J28" s="47"/>
      <c r="K28" s="47"/>
      <c r="L28" s="47"/>
      <c r="M28" s="47"/>
      <c r="N28" s="47"/>
      <c r="O28" s="47"/>
      <c r="P28" s="47"/>
      <c r="Q28" s="47"/>
      <c r="R28" s="47"/>
      <c r="S28" s="47"/>
      <c r="T28" s="47"/>
      <c r="U28" s="49" t="str">
        <f ca="1">IF(COUNTIF(OFFSET($E28,0,1):OFFSET(U28,0,-1),"=*")&gt;0,IF($C28="К","-"," - "),IF(COUNTIF(OFFSET($E28,0,1):OFFSET(U28,0,-1),"&lt;4")&gt;0,IF(C28="К","-"," - "),(IFERROR(AVERAGE(OFFSET($E28,0,1):OFFSET(U28,0,-1)),"Очікую"))))</f>
        <v>Очікую</v>
      </c>
      <c r="V28" s="49" t="str">
        <f t="shared" ca="1" si="0"/>
        <v>Очікую</v>
      </c>
      <c r="W28" s="36"/>
      <c r="X28" s="42"/>
    </row>
    <row r="29" spans="1:24" s="12" customFormat="1" ht="15" customHeight="1" x14ac:dyDescent="0.25">
      <c r="A29" s="43"/>
      <c r="B29" s="34"/>
      <c r="C29" s="47"/>
      <c r="D29" s="47">
        <v>20</v>
      </c>
      <c r="E29" s="48"/>
      <c r="F29" s="47"/>
      <c r="G29" s="47"/>
      <c r="H29" s="47"/>
      <c r="I29" s="47"/>
      <c r="J29" s="47"/>
      <c r="K29" s="47"/>
      <c r="L29" s="47"/>
      <c r="M29" s="47"/>
      <c r="N29" s="47"/>
      <c r="O29" s="47"/>
      <c r="P29" s="47"/>
      <c r="Q29" s="47"/>
      <c r="R29" s="47"/>
      <c r="S29" s="47"/>
      <c r="T29" s="47"/>
      <c r="U29" s="49" t="str">
        <f ca="1">IF(COUNTIF(OFFSET($E29,0,1):OFFSET(U29,0,-1),"=*")&gt;0,IF($C29="К","-"," - "),IF(COUNTIF(OFFSET($E29,0,1):OFFSET(U29,0,-1),"&lt;4")&gt;0,IF(C29="К","-"," - "),(IFERROR(AVERAGE(OFFSET($E29,0,1):OFFSET(U29,0,-1)),"Очікую"))))</f>
        <v>Очікую</v>
      </c>
      <c r="V29" s="49" t="str">
        <f t="shared" ca="1" si="0"/>
        <v>Очікую</v>
      </c>
      <c r="W29" s="36"/>
      <c r="X29" s="42"/>
    </row>
    <row r="30" spans="1:24" s="12" customFormat="1" ht="15" customHeight="1" x14ac:dyDescent="0.25">
      <c r="A30" s="43"/>
      <c r="B30" s="34"/>
      <c r="C30" s="47"/>
      <c r="D30" s="47">
        <v>21</v>
      </c>
      <c r="E30" s="48"/>
      <c r="F30" s="47"/>
      <c r="G30" s="47"/>
      <c r="H30" s="47"/>
      <c r="I30" s="47"/>
      <c r="J30" s="47"/>
      <c r="K30" s="47"/>
      <c r="L30" s="47"/>
      <c r="M30" s="47"/>
      <c r="N30" s="47"/>
      <c r="O30" s="47"/>
      <c r="P30" s="47"/>
      <c r="Q30" s="47"/>
      <c r="R30" s="47"/>
      <c r="S30" s="47"/>
      <c r="T30" s="47"/>
      <c r="U30" s="49" t="str">
        <f ca="1">IF(COUNTIF(OFFSET($E30,0,1):OFFSET(U30,0,-1),"=*")&gt;0,IF($C30="К","-"," - "),IF(COUNTIF(OFFSET($E30,0,1):OFFSET(U30,0,-1),"&lt;4")&gt;0,IF(C30="К","-"," - "),(IFERROR(AVERAGE(OFFSET($E30,0,1):OFFSET(U30,0,-1)),"Очікую"))))</f>
        <v>Очікую</v>
      </c>
      <c r="V30" s="49" t="str">
        <f t="shared" ca="1" si="0"/>
        <v>Очікую</v>
      </c>
      <c r="W30" s="36"/>
      <c r="X30" s="42"/>
    </row>
    <row r="31" spans="1:24" s="12" customFormat="1" ht="15" customHeight="1" x14ac:dyDescent="0.25">
      <c r="A31" s="43"/>
      <c r="B31" s="34"/>
      <c r="C31" s="47"/>
      <c r="D31" s="47">
        <v>22</v>
      </c>
      <c r="E31" s="48"/>
      <c r="F31" s="47"/>
      <c r="G31" s="47"/>
      <c r="H31" s="47"/>
      <c r="I31" s="47"/>
      <c r="J31" s="47"/>
      <c r="K31" s="47"/>
      <c r="L31" s="47"/>
      <c r="M31" s="47"/>
      <c r="N31" s="47"/>
      <c r="O31" s="47"/>
      <c r="P31" s="47"/>
      <c r="Q31" s="47"/>
      <c r="R31" s="47"/>
      <c r="S31" s="47"/>
      <c r="T31" s="47"/>
      <c r="U31" s="49" t="str">
        <f ca="1">IF(COUNTIF(OFFSET($E31,0,1):OFFSET(U31,0,-1),"=*")&gt;0,IF($C31="К","-"," - "),IF(COUNTIF(OFFSET($E31,0,1):OFFSET(U31,0,-1),"&lt;4")&gt;0,IF(C31="К","-"," - "),(IFERROR(AVERAGE(OFFSET($E31,0,1):OFFSET(U31,0,-1)),"Очікую"))))</f>
        <v>Очікую</v>
      </c>
      <c r="V31" s="49" t="str">
        <f t="shared" ca="1" si="0"/>
        <v>Очікую</v>
      </c>
      <c r="W31" s="36"/>
      <c r="X31" s="42"/>
    </row>
    <row r="32" spans="1:24" s="12" customFormat="1" ht="15" customHeight="1" x14ac:dyDescent="0.25">
      <c r="A32" s="43"/>
      <c r="B32" s="34"/>
      <c r="C32" s="47"/>
      <c r="D32" s="47">
        <v>23</v>
      </c>
      <c r="E32" s="48"/>
      <c r="F32" s="47"/>
      <c r="G32" s="47"/>
      <c r="H32" s="47"/>
      <c r="I32" s="47"/>
      <c r="J32" s="47"/>
      <c r="K32" s="47"/>
      <c r="L32" s="47"/>
      <c r="M32" s="47"/>
      <c r="N32" s="47"/>
      <c r="O32" s="47"/>
      <c r="P32" s="47"/>
      <c r="Q32" s="47"/>
      <c r="R32" s="47"/>
      <c r="S32" s="47"/>
      <c r="T32" s="47"/>
      <c r="U32" s="49" t="str">
        <f ca="1">IF(COUNTIF(OFFSET($E32,0,1):OFFSET(U32,0,-1),"=*")&gt;0,IF($C32="К","-"," - "),IF(COUNTIF(OFFSET($E32,0,1):OFFSET(U32,0,-1),"&lt;4")&gt;0,IF(C32="К","-"," - "),(IFERROR(AVERAGE(OFFSET($E32,0,1):OFFSET(U32,0,-1)),"Очікую"))))</f>
        <v>Очікую</v>
      </c>
      <c r="V32" s="49" t="str">
        <f t="shared" ca="1" si="0"/>
        <v>Очікую</v>
      </c>
      <c r="W32" s="36"/>
      <c r="X32" s="42"/>
    </row>
    <row r="33" spans="1:24" s="12" customFormat="1" ht="15" customHeight="1" x14ac:dyDescent="0.25">
      <c r="A33" s="43"/>
      <c r="B33" s="34"/>
      <c r="C33" s="47"/>
      <c r="D33" s="47">
        <v>24</v>
      </c>
      <c r="E33" s="48"/>
      <c r="F33" s="47"/>
      <c r="G33" s="47"/>
      <c r="H33" s="47"/>
      <c r="I33" s="47"/>
      <c r="J33" s="47"/>
      <c r="K33" s="47"/>
      <c r="L33" s="47"/>
      <c r="M33" s="47"/>
      <c r="N33" s="47"/>
      <c r="O33" s="47"/>
      <c r="P33" s="47"/>
      <c r="Q33" s="47"/>
      <c r="R33" s="47"/>
      <c r="S33" s="47"/>
      <c r="T33" s="47"/>
      <c r="U33" s="49" t="str">
        <f ca="1">IF(COUNTIF(OFFSET($E33,0,1):OFFSET(U33,0,-1),"=*")&gt;0,IF($C33="К","-"," - "),IF(COUNTIF(OFFSET($E33,0,1):OFFSET(U33,0,-1),"&lt;4")&gt;0,IF(C33="К","-"," - "),(IFERROR(AVERAGE(OFFSET($E33,0,1):OFFSET(U33,0,-1)),"Очікую"))))</f>
        <v>Очікую</v>
      </c>
      <c r="V33" s="49" t="str">
        <f t="shared" ca="1" si="0"/>
        <v>Очікую</v>
      </c>
      <c r="W33" s="36"/>
      <c r="X33" s="42"/>
    </row>
    <row r="34" spans="1:24" s="12" customFormat="1" ht="15" customHeight="1" x14ac:dyDescent="0.25">
      <c r="A34" s="43"/>
      <c r="B34" s="34"/>
      <c r="C34" s="47"/>
      <c r="D34" s="47">
        <v>25</v>
      </c>
      <c r="E34" s="48"/>
      <c r="F34" s="47"/>
      <c r="G34" s="47"/>
      <c r="H34" s="47"/>
      <c r="I34" s="47"/>
      <c r="J34" s="47"/>
      <c r="K34" s="47"/>
      <c r="L34" s="47"/>
      <c r="M34" s="47"/>
      <c r="N34" s="47"/>
      <c r="O34" s="47"/>
      <c r="P34" s="47"/>
      <c r="Q34" s="47"/>
      <c r="R34" s="47"/>
      <c r="S34" s="47"/>
      <c r="T34" s="47"/>
      <c r="U34" s="49" t="str">
        <f ca="1">IF(COUNTIF(OFFSET($E34,0,1):OFFSET(U34,0,-1),"=*")&gt;0,IF($C34="К","-"," - "),IF(COUNTIF(OFFSET($E34,0,1):OFFSET(U34,0,-1),"&lt;4")&gt;0,IF(C34="К","-"," - "),(IFERROR(AVERAGE(OFFSET($E34,0,1):OFFSET(U34,0,-1)),"Очікую"))))</f>
        <v>Очікую</v>
      </c>
      <c r="V34" s="49" t="str">
        <f t="shared" ca="1" si="0"/>
        <v>Очікую</v>
      </c>
      <c r="W34" s="36"/>
      <c r="X34" s="42"/>
    </row>
    <row r="35" spans="1:24" s="12" customFormat="1" ht="15" customHeight="1" x14ac:dyDescent="0.25">
      <c r="A35" s="43"/>
      <c r="B35" s="34"/>
      <c r="C35" s="47"/>
      <c r="D35" s="47">
        <v>26</v>
      </c>
      <c r="E35" s="48"/>
      <c r="F35" s="47"/>
      <c r="G35" s="47"/>
      <c r="H35" s="47"/>
      <c r="I35" s="47"/>
      <c r="J35" s="47"/>
      <c r="K35" s="47"/>
      <c r="L35" s="47"/>
      <c r="M35" s="47"/>
      <c r="N35" s="47"/>
      <c r="O35" s="47"/>
      <c r="P35" s="47"/>
      <c r="Q35" s="47"/>
      <c r="R35" s="47"/>
      <c r="S35" s="47"/>
      <c r="T35" s="47"/>
      <c r="U35" s="49" t="str">
        <f ca="1">IF(COUNTIF(OFFSET($E35,0,1):OFFSET(U35,0,-1),"=*")&gt;0,IF($C35="К","-"," - "),IF(COUNTIF(OFFSET($E35,0,1):OFFSET(U35,0,-1),"&lt;4")&gt;0,IF(C35="К","-"," - "),(IFERROR(AVERAGE(OFFSET($E35,0,1):OFFSET(U35,0,-1)),"Очікую"))))</f>
        <v>Очікую</v>
      </c>
      <c r="V35" s="49" t="str">
        <f t="shared" ca="1" si="0"/>
        <v>Очікую</v>
      </c>
      <c r="W35" s="36"/>
      <c r="X35" s="42"/>
    </row>
    <row r="36" spans="1:24" s="12" customFormat="1" ht="15" customHeight="1" x14ac:dyDescent="0.25">
      <c r="A36" s="43"/>
      <c r="B36" s="34"/>
      <c r="C36" s="47"/>
      <c r="D36" s="47">
        <v>27</v>
      </c>
      <c r="E36" s="48"/>
      <c r="F36" s="47"/>
      <c r="G36" s="47"/>
      <c r="H36" s="47"/>
      <c r="I36" s="47"/>
      <c r="J36" s="47"/>
      <c r="K36" s="47"/>
      <c r="L36" s="47"/>
      <c r="M36" s="47"/>
      <c r="N36" s="47"/>
      <c r="O36" s="47"/>
      <c r="P36" s="47"/>
      <c r="Q36" s="47"/>
      <c r="R36" s="47"/>
      <c r="S36" s="47"/>
      <c r="T36" s="47"/>
      <c r="U36" s="49" t="str">
        <f ca="1">IF(COUNTIF(OFFSET($E36,0,1):OFFSET(U36,0,-1),"=*")&gt;0,IF($C36="К","-"," - "),IF(COUNTIF(OFFSET($E36,0,1):OFFSET(U36,0,-1),"&lt;4")&gt;0,IF(C36="К","-"," - "),(IFERROR(AVERAGE(OFFSET($E36,0,1):OFFSET(U36,0,-1)),"Очікую"))))</f>
        <v>Очікую</v>
      </c>
      <c r="V36" s="49" t="str">
        <f t="shared" ca="1" si="0"/>
        <v>Очікую</v>
      </c>
      <c r="W36" s="36"/>
      <c r="X36" s="42"/>
    </row>
    <row r="37" spans="1:24" s="12" customFormat="1" ht="15" customHeight="1" x14ac:dyDescent="0.25">
      <c r="A37" s="43"/>
      <c r="B37" s="34"/>
      <c r="C37" s="47"/>
      <c r="D37" s="47">
        <v>28</v>
      </c>
      <c r="E37" s="48"/>
      <c r="F37" s="47"/>
      <c r="G37" s="47"/>
      <c r="H37" s="47"/>
      <c r="I37" s="47"/>
      <c r="J37" s="47"/>
      <c r="K37" s="47"/>
      <c r="L37" s="47"/>
      <c r="M37" s="47"/>
      <c r="N37" s="47"/>
      <c r="O37" s="47"/>
      <c r="P37" s="47"/>
      <c r="Q37" s="47"/>
      <c r="R37" s="47"/>
      <c r="S37" s="47"/>
      <c r="T37" s="47"/>
      <c r="U37" s="49" t="str">
        <f ca="1">IF(COUNTIF(OFFSET($E37,0,1):OFFSET(U37,0,-1),"=*")&gt;0,IF($C37="К","-"," - "),IF(COUNTIF(OFFSET($E37,0,1):OFFSET(U37,0,-1),"&lt;4")&gt;0,IF(C37="К","-"," - "),(IFERROR(AVERAGE(OFFSET($E37,0,1):OFFSET(U37,0,-1)),"Очікую"))))</f>
        <v>Очікую</v>
      </c>
      <c r="V37" s="49" t="str">
        <f t="shared" ca="1" si="0"/>
        <v>Очікую</v>
      </c>
      <c r="W37" s="36"/>
      <c r="X37" s="42"/>
    </row>
    <row r="38" spans="1:24" s="12" customFormat="1" ht="15" customHeight="1" x14ac:dyDescent="0.25">
      <c r="A38" s="43"/>
      <c r="B38" s="34"/>
      <c r="C38" s="47"/>
      <c r="D38" s="47">
        <v>29</v>
      </c>
      <c r="E38" s="48"/>
      <c r="F38" s="47"/>
      <c r="G38" s="47"/>
      <c r="H38" s="47"/>
      <c r="I38" s="47"/>
      <c r="J38" s="47"/>
      <c r="K38" s="47"/>
      <c r="L38" s="47"/>
      <c r="M38" s="47"/>
      <c r="N38" s="47"/>
      <c r="O38" s="47"/>
      <c r="P38" s="47"/>
      <c r="Q38" s="47"/>
      <c r="R38" s="47"/>
      <c r="S38" s="47"/>
      <c r="T38" s="47"/>
      <c r="U38" s="49" t="str">
        <f ca="1">IF(COUNTIF(OFFSET($E38,0,1):OFFSET(U38,0,-1),"=*")&gt;0,IF($C38="К","-"," - "),IF(COUNTIF(OFFSET($E38,0,1):OFFSET(U38,0,-1),"&lt;4")&gt;0,IF(C38="К","-"," - "),(IFERROR(AVERAGE(OFFSET($E38,0,1):OFFSET(U38,0,-1)),"Очікую"))))</f>
        <v>Очікую</v>
      </c>
      <c r="V38" s="49" t="str">
        <f t="shared" ca="1" si="0"/>
        <v>Очікую</v>
      </c>
      <c r="W38" s="36"/>
      <c r="X38" s="42"/>
    </row>
    <row r="39" spans="1:24" s="12" customFormat="1" ht="15" customHeight="1" x14ac:dyDescent="0.25">
      <c r="A39" s="43"/>
      <c r="B39" s="34"/>
      <c r="C39" s="47"/>
      <c r="D39" s="47">
        <v>30</v>
      </c>
      <c r="E39" s="48"/>
      <c r="F39" s="47"/>
      <c r="G39" s="47"/>
      <c r="H39" s="47"/>
      <c r="I39" s="47"/>
      <c r="J39" s="47"/>
      <c r="K39" s="47"/>
      <c r="L39" s="47"/>
      <c r="M39" s="47"/>
      <c r="N39" s="47"/>
      <c r="O39" s="47"/>
      <c r="P39" s="47"/>
      <c r="Q39" s="47"/>
      <c r="R39" s="47"/>
      <c r="S39" s="47"/>
      <c r="T39" s="47"/>
      <c r="U39" s="49" t="str">
        <f ca="1">IF(COUNTIF(OFFSET($E39,0,1):OFFSET(U39,0,-1),"=*")&gt;0,IF($C39="К","-"," - "),IF(COUNTIF(OFFSET($E39,0,1):OFFSET(U39,0,-1),"&lt;4")&gt;0,IF(C39="К","-"," - "),(IFERROR(AVERAGE(OFFSET($E39,0,1):OFFSET(U39,0,-1)),"Очікую"))))</f>
        <v>Очікую</v>
      </c>
      <c r="V39" s="49" t="str">
        <f t="shared" ca="1" si="0"/>
        <v>Очікую</v>
      </c>
      <c r="W39" s="36"/>
      <c r="X39" s="42"/>
    </row>
    <row r="40" spans="1:24" s="12" customFormat="1" ht="15" customHeight="1" x14ac:dyDescent="0.25">
      <c r="A40" s="43"/>
      <c r="B40" s="34"/>
      <c r="C40" s="47"/>
      <c r="D40" s="47">
        <v>31</v>
      </c>
      <c r="E40" s="48"/>
      <c r="F40" s="47"/>
      <c r="G40" s="47"/>
      <c r="H40" s="47"/>
      <c r="I40" s="47"/>
      <c r="J40" s="47"/>
      <c r="K40" s="47"/>
      <c r="L40" s="47"/>
      <c r="M40" s="47"/>
      <c r="N40" s="47"/>
      <c r="O40" s="47"/>
      <c r="P40" s="47"/>
      <c r="Q40" s="47"/>
      <c r="R40" s="47"/>
      <c r="S40" s="47"/>
      <c r="T40" s="47"/>
      <c r="U40" s="49" t="str">
        <f ca="1">IF(COUNTIF(OFFSET($E40,0,1):OFFSET(U40,0,-1),"=*")&gt;0,IF($C40="К","-"," - "),IF(COUNTIF(OFFSET($E40,0,1):OFFSET(U40,0,-1),"&lt;4")&gt;0,IF(C40="К","-"," - "),(IFERROR(AVERAGE(OFFSET($E40,0,1):OFFSET(U40,0,-1)),"Очікую"))))</f>
        <v>Очікую</v>
      </c>
      <c r="V40" s="49" t="str">
        <f t="shared" ca="1" si="0"/>
        <v>Очікую</v>
      </c>
      <c r="W40" s="36"/>
      <c r="X40" s="42"/>
    </row>
    <row r="41" spans="1:24" s="12" customFormat="1" ht="15" customHeight="1" x14ac:dyDescent="0.25">
      <c r="A41" s="43"/>
      <c r="B41" s="34"/>
      <c r="C41" s="47"/>
      <c r="D41" s="47">
        <v>32</v>
      </c>
      <c r="E41" s="48"/>
      <c r="F41" s="47"/>
      <c r="G41" s="47"/>
      <c r="H41" s="47"/>
      <c r="I41" s="47"/>
      <c r="J41" s="47"/>
      <c r="K41" s="47"/>
      <c r="L41" s="47"/>
      <c r="M41" s="47"/>
      <c r="N41" s="47"/>
      <c r="O41" s="47"/>
      <c r="P41" s="47"/>
      <c r="Q41" s="47"/>
      <c r="R41" s="47"/>
      <c r="S41" s="47"/>
      <c r="T41" s="47"/>
      <c r="U41" s="49" t="str">
        <f ca="1">IF(COUNTIF(OFFSET($E41,0,1):OFFSET(U41,0,-1),"=*")&gt;0,IF($C41="К","-"," - "),IF(COUNTIF(OFFSET($E41,0,1):OFFSET(U41,0,-1),"&lt;4")&gt;0,IF(C41="К","-"," - "),(IFERROR(AVERAGE(OFFSET($E41,0,1):OFFSET(U41,0,-1)),"Очікую"))))</f>
        <v>Очікую</v>
      </c>
      <c r="V41" s="49" t="str">
        <f t="shared" ca="1" si="0"/>
        <v>Очікую</v>
      </c>
      <c r="W41" s="36"/>
      <c r="X41" s="42"/>
    </row>
    <row r="42" spans="1:24" s="12" customFormat="1" ht="15" customHeight="1" x14ac:dyDescent="0.25">
      <c r="A42" s="43"/>
      <c r="B42" s="34"/>
      <c r="C42" s="47"/>
      <c r="D42" s="47">
        <v>33</v>
      </c>
      <c r="E42" s="48"/>
      <c r="F42" s="47"/>
      <c r="G42" s="47"/>
      <c r="H42" s="47"/>
      <c r="I42" s="47"/>
      <c r="J42" s="47"/>
      <c r="K42" s="47"/>
      <c r="L42" s="47"/>
      <c r="M42" s="47"/>
      <c r="N42" s="47"/>
      <c r="O42" s="47"/>
      <c r="P42" s="47"/>
      <c r="Q42" s="47"/>
      <c r="R42" s="47"/>
      <c r="S42" s="47"/>
      <c r="T42" s="47"/>
      <c r="U42" s="49" t="str">
        <f ca="1">IF(COUNTIF(OFFSET($E42,0,1):OFFSET(U42,0,-1),"=*")&gt;0,IF($C42="К","-"," - "),IF(COUNTIF(OFFSET($E42,0,1):OFFSET(U42,0,-1),"&lt;4")&gt;0,IF(C42="К","-"," - "),(IFERROR(AVERAGE(OFFSET($E42,0,1):OFFSET(U42,0,-1)),"Очікую"))))</f>
        <v>Очікую</v>
      </c>
      <c r="V42" s="49" t="str">
        <f t="shared" ca="1" si="0"/>
        <v>Очікую</v>
      </c>
      <c r="W42" s="36"/>
      <c r="X42" s="42"/>
    </row>
    <row r="43" spans="1:24" s="12" customFormat="1" ht="15" customHeight="1" x14ac:dyDescent="0.25">
      <c r="A43" s="43"/>
      <c r="B43" s="34"/>
      <c r="C43" s="47"/>
      <c r="D43" s="47">
        <v>34</v>
      </c>
      <c r="E43" s="48"/>
      <c r="F43" s="47"/>
      <c r="G43" s="47"/>
      <c r="H43" s="47"/>
      <c r="I43" s="47"/>
      <c r="J43" s="47"/>
      <c r="K43" s="47"/>
      <c r="L43" s="47"/>
      <c r="M43" s="47"/>
      <c r="N43" s="47"/>
      <c r="O43" s="47"/>
      <c r="P43" s="47"/>
      <c r="Q43" s="47"/>
      <c r="R43" s="47"/>
      <c r="S43" s="47"/>
      <c r="T43" s="47"/>
      <c r="U43" s="49" t="str">
        <f ca="1">IF(COUNTIF(OFFSET($E43,0,1):OFFSET(U43,0,-1),"=*")&gt;0,IF($C43="К","-"," - "),IF(COUNTIF(OFFSET($E43,0,1):OFFSET(U43,0,-1),"&lt;4")&gt;0,IF(C43="К","-"," - "),(IFERROR(AVERAGE(OFFSET($E43,0,1):OFFSET(U43,0,-1)),"Очікую"))))</f>
        <v>Очікую</v>
      </c>
      <c r="V43" s="49" t="str">
        <f t="shared" ca="1" si="0"/>
        <v>Очікую</v>
      </c>
      <c r="W43" s="36"/>
      <c r="X43" s="42"/>
    </row>
    <row r="44" spans="1:24" s="12" customFormat="1" ht="15" customHeight="1" x14ac:dyDescent="0.25">
      <c r="A44" s="43"/>
      <c r="B44" s="34"/>
      <c r="C44" s="47"/>
      <c r="D44" s="47">
        <v>35</v>
      </c>
      <c r="E44" s="48"/>
      <c r="F44" s="47"/>
      <c r="G44" s="47"/>
      <c r="H44" s="47"/>
      <c r="I44" s="47"/>
      <c r="J44" s="47"/>
      <c r="K44" s="47"/>
      <c r="L44" s="47"/>
      <c r="M44" s="47"/>
      <c r="N44" s="47"/>
      <c r="O44" s="47"/>
      <c r="P44" s="47"/>
      <c r="Q44" s="47"/>
      <c r="R44" s="47"/>
      <c r="S44" s="47"/>
      <c r="T44" s="47"/>
      <c r="U44" s="49" t="str">
        <f ca="1">IF(COUNTIF(OFFSET($E44,0,1):OFFSET(U44,0,-1),"=*")&gt;0,IF($C44="К","-"," - "),IF(COUNTIF(OFFSET($E44,0,1):OFFSET(U44,0,-1),"&lt;4")&gt;0,IF(C44="К","-"," - "),(IFERROR(AVERAGE(OFFSET($E44,0,1):OFFSET(U44,0,-1)),"Очікую"))))</f>
        <v>Очікую</v>
      </c>
      <c r="V44" s="49" t="str">
        <f t="shared" ca="1" si="0"/>
        <v>Очікую</v>
      </c>
      <c r="W44" s="36"/>
      <c r="X44" s="42"/>
    </row>
    <row r="45" spans="1:24" s="12" customFormat="1" ht="15" customHeight="1" x14ac:dyDescent="0.25">
      <c r="A45" s="43"/>
      <c r="B45" s="34"/>
      <c r="C45" s="47"/>
      <c r="D45" s="47">
        <v>36</v>
      </c>
      <c r="E45" s="48"/>
      <c r="F45" s="47"/>
      <c r="G45" s="47"/>
      <c r="H45" s="47"/>
      <c r="I45" s="47"/>
      <c r="J45" s="47"/>
      <c r="K45" s="47"/>
      <c r="L45" s="47"/>
      <c r="M45" s="47"/>
      <c r="N45" s="47"/>
      <c r="O45" s="47"/>
      <c r="P45" s="47"/>
      <c r="Q45" s="47"/>
      <c r="R45" s="47"/>
      <c r="S45" s="47"/>
      <c r="T45" s="47"/>
      <c r="U45" s="49" t="str">
        <f ca="1">IF(COUNTIF(OFFSET($E45,0,1):OFFSET(U45,0,-1),"=*")&gt;0,IF($C45="К","-"," - "),IF(COUNTIF(OFFSET($E45,0,1):OFFSET(U45,0,-1),"&lt;4")&gt;0,IF(C45="К","-"," - "),(IFERROR(AVERAGE(OFFSET($E45,0,1):OFFSET(U45,0,-1)),"Очікую"))))</f>
        <v>Очікую</v>
      </c>
      <c r="V45" s="49" t="str">
        <f t="shared" ca="1" si="0"/>
        <v>Очікую</v>
      </c>
      <c r="W45" s="36"/>
      <c r="X45" s="42"/>
    </row>
    <row r="46" spans="1:24" s="12" customFormat="1" ht="15" customHeight="1" x14ac:dyDescent="0.25">
      <c r="A46" s="43"/>
      <c r="B46" s="34"/>
      <c r="C46" s="47"/>
      <c r="D46" s="47">
        <v>37</v>
      </c>
      <c r="E46" s="48"/>
      <c r="F46" s="47"/>
      <c r="G46" s="47"/>
      <c r="H46" s="47"/>
      <c r="I46" s="47"/>
      <c r="J46" s="47"/>
      <c r="K46" s="47"/>
      <c r="L46" s="47"/>
      <c r="M46" s="47"/>
      <c r="N46" s="47"/>
      <c r="O46" s="47"/>
      <c r="P46" s="47"/>
      <c r="Q46" s="47"/>
      <c r="R46" s="47"/>
      <c r="S46" s="47"/>
      <c r="T46" s="47"/>
      <c r="U46" s="49" t="str">
        <f ca="1">IF(COUNTIF(OFFSET($E46,0,1):OFFSET(U46,0,-1),"=*")&gt;0,IF($C46="К","-"," - "),IF(COUNTIF(OFFSET($E46,0,1):OFFSET(U46,0,-1),"&lt;4")&gt;0,IF(C46="К","-"," - "),(IFERROR(AVERAGE(OFFSET($E46,0,1):OFFSET(U46,0,-1)),"Очікую"))))</f>
        <v>Очікую</v>
      </c>
      <c r="V46" s="49" t="str">
        <f t="shared" ca="1" si="0"/>
        <v>Очікую</v>
      </c>
      <c r="W46" s="36"/>
      <c r="X46" s="42"/>
    </row>
    <row r="47" spans="1:24" s="12" customFormat="1" ht="15" customHeight="1" x14ac:dyDescent="0.25">
      <c r="A47" s="43"/>
      <c r="B47" s="34"/>
      <c r="C47" s="47"/>
      <c r="D47" s="47">
        <v>38</v>
      </c>
      <c r="E47" s="48"/>
      <c r="F47" s="47"/>
      <c r="G47" s="47"/>
      <c r="H47" s="47"/>
      <c r="I47" s="47"/>
      <c r="J47" s="47"/>
      <c r="K47" s="47"/>
      <c r="L47" s="47"/>
      <c r="M47" s="47"/>
      <c r="N47" s="47"/>
      <c r="O47" s="47"/>
      <c r="P47" s="47"/>
      <c r="Q47" s="47"/>
      <c r="R47" s="47"/>
      <c r="S47" s="47"/>
      <c r="T47" s="47"/>
      <c r="U47" s="49" t="str">
        <f ca="1">IF(COUNTIF(OFFSET($E47,0,1):OFFSET(U47,0,-1),"=*")&gt;0,IF($C47="К","-"," - "),IF(COUNTIF(OFFSET($E47,0,1):OFFSET(U47,0,-1),"&lt;4")&gt;0,IF(C47="К","-"," - "),(IFERROR(AVERAGE(OFFSET($E47,0,1):OFFSET(U47,0,-1)),"Очікую"))))</f>
        <v>Очікую</v>
      </c>
      <c r="V47" s="49" t="str">
        <f t="shared" ca="1" si="0"/>
        <v>Очікую</v>
      </c>
      <c r="W47" s="36"/>
      <c r="X47" s="42"/>
    </row>
    <row r="48" spans="1:24" s="12" customFormat="1" ht="15" customHeight="1" x14ac:dyDescent="0.25">
      <c r="A48" s="43"/>
      <c r="B48" s="34"/>
      <c r="C48" s="47"/>
      <c r="D48" s="47">
        <v>39</v>
      </c>
      <c r="E48" s="48"/>
      <c r="F48" s="47"/>
      <c r="G48" s="47"/>
      <c r="H48" s="47"/>
      <c r="I48" s="47"/>
      <c r="J48" s="47"/>
      <c r="K48" s="47"/>
      <c r="L48" s="47"/>
      <c r="M48" s="47"/>
      <c r="N48" s="47"/>
      <c r="O48" s="47"/>
      <c r="P48" s="47"/>
      <c r="Q48" s="47"/>
      <c r="R48" s="47"/>
      <c r="S48" s="47"/>
      <c r="T48" s="47"/>
      <c r="U48" s="49" t="str">
        <f ca="1">IF(COUNTIF(OFFSET($E48,0,1):OFFSET(U48,0,-1),"=*")&gt;0,IF($C48="К","-"," - "),IF(COUNTIF(OFFSET($E48,0,1):OFFSET(U48,0,-1),"&lt;4")&gt;0,IF(C48="К","-"," - "),(IFERROR(AVERAGE(OFFSET($E48,0,1):OFFSET(U48,0,-1)),"Очікую"))))</f>
        <v>Очікую</v>
      </c>
      <c r="V48" s="49" t="str">
        <f t="shared" ca="1" si="0"/>
        <v>Очікую</v>
      </c>
      <c r="W48" s="36"/>
      <c r="X48" s="42"/>
    </row>
    <row r="49" spans="1:24" s="12" customFormat="1" ht="15" customHeight="1" x14ac:dyDescent="0.25">
      <c r="A49" s="43"/>
      <c r="B49" s="34"/>
      <c r="C49" s="47"/>
      <c r="D49" s="47">
        <v>40</v>
      </c>
      <c r="E49" s="48"/>
      <c r="F49" s="47"/>
      <c r="G49" s="47"/>
      <c r="H49" s="47"/>
      <c r="I49" s="47"/>
      <c r="J49" s="47"/>
      <c r="K49" s="47"/>
      <c r="L49" s="47"/>
      <c r="M49" s="47"/>
      <c r="N49" s="47"/>
      <c r="O49" s="47"/>
      <c r="P49" s="47"/>
      <c r="Q49" s="47"/>
      <c r="R49" s="47"/>
      <c r="S49" s="47"/>
      <c r="T49" s="47"/>
      <c r="U49" s="49" t="str">
        <f ca="1">IF(COUNTIF(OFFSET($E49,0,1):OFFSET(U49,0,-1),"=*")&gt;0,IF($C49="К","-"," - "),IF(COUNTIF(OFFSET($E49,0,1):OFFSET(U49,0,-1),"&lt;4")&gt;0,IF(C49="К","-"," - "),(IFERROR(AVERAGE(OFFSET($E49,0,1):OFFSET(U49,0,-1)),"Очікую"))))</f>
        <v>Очікую</v>
      </c>
      <c r="V49" s="49" t="str">
        <f t="shared" ca="1" si="0"/>
        <v>Очікую</v>
      </c>
      <c r="W49" s="36"/>
      <c r="X49" s="42"/>
    </row>
    <row r="50" spans="1:24" s="12" customFormat="1" ht="15" customHeight="1" x14ac:dyDescent="0.25">
      <c r="A50" s="43"/>
      <c r="B50" s="34"/>
      <c r="C50" s="47"/>
      <c r="D50" s="47">
        <v>41</v>
      </c>
      <c r="E50" s="48"/>
      <c r="F50" s="47"/>
      <c r="G50" s="47"/>
      <c r="H50" s="47"/>
      <c r="I50" s="47"/>
      <c r="J50" s="47"/>
      <c r="K50" s="47"/>
      <c r="L50" s="47"/>
      <c r="M50" s="47"/>
      <c r="N50" s="47"/>
      <c r="O50" s="47"/>
      <c r="P50" s="47"/>
      <c r="Q50" s="47"/>
      <c r="R50" s="47"/>
      <c r="S50" s="47"/>
      <c r="T50" s="47"/>
      <c r="U50" s="49" t="str">
        <f ca="1">IF(COUNTIF(OFFSET($E50,0,1):OFFSET(U50,0,-1),"=*")&gt;0,IF($C50="К","-"," - "),IF(COUNTIF(OFFSET($E50,0,1):OFFSET(U50,0,-1),"&lt;4")&gt;0,IF(C50="К","-"," - "),(IFERROR(AVERAGE(OFFSET($E50,0,1):OFFSET(U50,0,-1)),"Очікую"))))</f>
        <v>Очікую</v>
      </c>
      <c r="V50" s="49" t="str">
        <f t="shared" ca="1" si="0"/>
        <v>Очікую</v>
      </c>
      <c r="W50" s="36"/>
      <c r="X50" s="42"/>
    </row>
    <row r="51" spans="1:24" s="12" customFormat="1" ht="15" customHeight="1" x14ac:dyDescent="0.25">
      <c r="A51" s="43"/>
      <c r="B51" s="34"/>
      <c r="C51" s="47"/>
      <c r="D51" s="47">
        <v>42</v>
      </c>
      <c r="E51" s="48"/>
      <c r="F51" s="47"/>
      <c r="G51" s="47"/>
      <c r="H51" s="47"/>
      <c r="I51" s="47"/>
      <c r="J51" s="47"/>
      <c r="K51" s="47"/>
      <c r="L51" s="47"/>
      <c r="M51" s="47"/>
      <c r="N51" s="47"/>
      <c r="O51" s="47"/>
      <c r="P51" s="47"/>
      <c r="Q51" s="47"/>
      <c r="R51" s="47"/>
      <c r="S51" s="47"/>
      <c r="T51" s="47"/>
      <c r="U51" s="49" t="str">
        <f ca="1">IF(COUNTIF(OFFSET($E51,0,1):OFFSET(U51,0,-1),"=*")&gt;0,IF($C51="К","-"," - "),IF(COUNTIF(OFFSET($E51,0,1):OFFSET(U51,0,-1),"&lt;4")&gt;0,IF(C51="К","-"," - "),(IFERROR(AVERAGE(OFFSET($E51,0,1):OFFSET(U51,0,-1)),"Очікую"))))</f>
        <v>Очікую</v>
      </c>
      <c r="V51" s="49" t="str">
        <f t="shared" ca="1" si="0"/>
        <v>Очікую</v>
      </c>
      <c r="W51" s="36"/>
      <c r="X51" s="42"/>
    </row>
    <row r="52" spans="1:24" s="12" customFormat="1" ht="15" customHeight="1" x14ac:dyDescent="0.25">
      <c r="A52" s="43"/>
      <c r="B52" s="34"/>
      <c r="C52" s="47"/>
      <c r="D52" s="47">
        <v>43</v>
      </c>
      <c r="E52" s="48"/>
      <c r="F52" s="47"/>
      <c r="G52" s="47"/>
      <c r="H52" s="47"/>
      <c r="I52" s="47"/>
      <c r="J52" s="47"/>
      <c r="K52" s="47"/>
      <c r="L52" s="47"/>
      <c r="M52" s="47"/>
      <c r="N52" s="47"/>
      <c r="O52" s="47"/>
      <c r="P52" s="47"/>
      <c r="Q52" s="47"/>
      <c r="R52" s="47"/>
      <c r="S52" s="47"/>
      <c r="T52" s="47"/>
      <c r="U52" s="49" t="str">
        <f ca="1">IF(COUNTIF(OFFSET($E52,0,1):OFFSET(U52,0,-1),"=*")&gt;0,IF($C52="К","-"," - "),IF(COUNTIF(OFFSET($E52,0,1):OFFSET(U52,0,-1),"&lt;4")&gt;0,IF(C52="К","-"," - "),(IFERROR(AVERAGE(OFFSET($E52,0,1):OFFSET(U52,0,-1)),"Очікую"))))</f>
        <v>Очікую</v>
      </c>
      <c r="V52" s="49" t="str">
        <f t="shared" ca="1" si="0"/>
        <v>Очікую</v>
      </c>
      <c r="W52" s="36"/>
      <c r="X52" s="42"/>
    </row>
    <row r="53" spans="1:24" s="12" customFormat="1" ht="15" customHeight="1" x14ac:dyDescent="0.25">
      <c r="A53" s="43"/>
      <c r="B53" s="34"/>
      <c r="C53" s="47"/>
      <c r="D53" s="47">
        <v>44</v>
      </c>
      <c r="E53" s="48"/>
      <c r="F53" s="47"/>
      <c r="G53" s="47"/>
      <c r="H53" s="47"/>
      <c r="I53" s="47"/>
      <c r="J53" s="47"/>
      <c r="K53" s="47"/>
      <c r="L53" s="47"/>
      <c r="M53" s="47"/>
      <c r="N53" s="47"/>
      <c r="O53" s="47"/>
      <c r="P53" s="47"/>
      <c r="Q53" s="47"/>
      <c r="R53" s="47"/>
      <c r="S53" s="47"/>
      <c r="T53" s="47"/>
      <c r="U53" s="49" t="str">
        <f ca="1">IF(COUNTIF(OFFSET($E53,0,1):OFFSET(U53,0,-1),"=*")&gt;0,IF($C53="К","-"," - "),IF(COUNTIF(OFFSET($E53,0,1):OFFSET(U53,0,-1),"&lt;4")&gt;0,IF(C53="К","-"," - "),(IFERROR(AVERAGE(OFFSET($E53,0,1):OFFSET(U53,0,-1)),"Очікую"))))</f>
        <v>Очікую</v>
      </c>
      <c r="V53" s="49" t="str">
        <f t="shared" ca="1" si="0"/>
        <v>Очікую</v>
      </c>
      <c r="W53" s="36"/>
      <c r="X53" s="42"/>
    </row>
    <row r="54" spans="1:24" s="12" customFormat="1" ht="15" customHeight="1" x14ac:dyDescent="0.25">
      <c r="A54" s="43"/>
      <c r="B54" s="34"/>
      <c r="C54" s="47"/>
      <c r="D54" s="47">
        <v>45</v>
      </c>
      <c r="E54" s="48"/>
      <c r="F54" s="47"/>
      <c r="G54" s="47"/>
      <c r="H54" s="47"/>
      <c r="I54" s="47"/>
      <c r="J54" s="47"/>
      <c r="K54" s="47"/>
      <c r="L54" s="47"/>
      <c r="M54" s="47"/>
      <c r="N54" s="47"/>
      <c r="O54" s="47"/>
      <c r="P54" s="47"/>
      <c r="Q54" s="47"/>
      <c r="R54" s="47"/>
      <c r="S54" s="47"/>
      <c r="T54" s="47"/>
      <c r="U54" s="49" t="str">
        <f ca="1">IF(COUNTIF(OFFSET($E54,0,1):OFFSET(U54,0,-1),"=*")&gt;0,IF($C54="К","-"," - "),IF(COUNTIF(OFFSET($E54,0,1):OFFSET(U54,0,-1),"&lt;4")&gt;0,IF(C54="К","-"," - "),(IFERROR(AVERAGE(OFFSET($E54,0,1):OFFSET(U54,0,-1)),"Очікую"))))</f>
        <v>Очікую</v>
      </c>
      <c r="V54" s="49" t="str">
        <f t="shared" ca="1" si="0"/>
        <v>Очікую</v>
      </c>
      <c r="W54" s="36"/>
      <c r="X54" s="42"/>
    </row>
    <row r="55" spans="1:24" s="12" customFormat="1" ht="15" customHeight="1" x14ac:dyDescent="0.25">
      <c r="A55" s="43"/>
      <c r="B55" s="34"/>
      <c r="C55" s="47"/>
      <c r="D55" s="47">
        <v>46</v>
      </c>
      <c r="E55" s="48"/>
      <c r="F55" s="47"/>
      <c r="G55" s="47"/>
      <c r="H55" s="47"/>
      <c r="I55" s="47"/>
      <c r="J55" s="47"/>
      <c r="K55" s="47"/>
      <c r="L55" s="47"/>
      <c r="M55" s="47"/>
      <c r="N55" s="47"/>
      <c r="O55" s="47"/>
      <c r="P55" s="47"/>
      <c r="Q55" s="47"/>
      <c r="R55" s="47"/>
      <c r="S55" s="47"/>
      <c r="T55" s="47"/>
      <c r="U55" s="49" t="str">
        <f ca="1">IF(COUNTIF(OFFSET($E55,0,1):OFFSET(U55,0,-1),"=*")&gt;0,IF($C55="К","-"," - "),IF(COUNTIF(OFFSET($E55,0,1):OFFSET(U55,0,-1),"&lt;4")&gt;0,IF(C55="К","-"," - "),(IFERROR(AVERAGE(OFFSET($E55,0,1):OFFSET(U55,0,-1)),"Очікую"))))</f>
        <v>Очікую</v>
      </c>
      <c r="V55" s="49" t="str">
        <f t="shared" ca="1" si="0"/>
        <v>Очікую</v>
      </c>
      <c r="W55" s="36"/>
      <c r="X55" s="42"/>
    </row>
    <row r="56" spans="1:24" s="12" customFormat="1" ht="15" customHeight="1" x14ac:dyDescent="0.25">
      <c r="A56" s="43"/>
      <c r="B56" s="34"/>
      <c r="C56" s="47"/>
      <c r="D56" s="47">
        <v>47</v>
      </c>
      <c r="E56" s="48"/>
      <c r="F56" s="47"/>
      <c r="G56" s="47"/>
      <c r="H56" s="47"/>
      <c r="I56" s="47"/>
      <c r="J56" s="47"/>
      <c r="K56" s="47"/>
      <c r="L56" s="47"/>
      <c r="M56" s="47"/>
      <c r="N56" s="47"/>
      <c r="O56" s="47"/>
      <c r="P56" s="47"/>
      <c r="Q56" s="47"/>
      <c r="R56" s="47"/>
      <c r="S56" s="47"/>
      <c r="T56" s="47"/>
      <c r="U56" s="49" t="str">
        <f ca="1">IF(COUNTIF(OFFSET($E56,0,1):OFFSET(U56,0,-1),"=*")&gt;0,IF($C56="К","-"," - "),IF(COUNTIF(OFFSET($E56,0,1):OFFSET(U56,0,-1),"&lt;4")&gt;0,IF(C56="К","-"," - "),(IFERROR(AVERAGE(OFFSET($E56,0,1):OFFSET(U56,0,-1)),"Очікую"))))</f>
        <v>Очікую</v>
      </c>
      <c r="V56" s="49" t="str">
        <f t="shared" ca="1" si="0"/>
        <v>Очікую</v>
      </c>
      <c r="W56" s="36"/>
      <c r="X56" s="42"/>
    </row>
    <row r="57" spans="1:24" s="12" customFormat="1" ht="15" customHeight="1" x14ac:dyDescent="0.25">
      <c r="A57" s="43"/>
      <c r="B57" s="34"/>
      <c r="C57" s="47"/>
      <c r="D57" s="47">
        <v>48</v>
      </c>
      <c r="E57" s="48"/>
      <c r="F57" s="47"/>
      <c r="G57" s="47"/>
      <c r="H57" s="47"/>
      <c r="I57" s="47"/>
      <c r="J57" s="47"/>
      <c r="K57" s="47"/>
      <c r="L57" s="47"/>
      <c r="M57" s="47"/>
      <c r="N57" s="47"/>
      <c r="O57" s="47"/>
      <c r="P57" s="47"/>
      <c r="Q57" s="47"/>
      <c r="R57" s="47"/>
      <c r="S57" s="47"/>
      <c r="T57" s="47"/>
      <c r="U57" s="49" t="str">
        <f ca="1">IF(COUNTIF(OFFSET($E57,0,1):OFFSET(U57,0,-1),"=*")&gt;0,IF($C57="К","-"," - "),IF(COUNTIF(OFFSET($E57,0,1):OFFSET(U57,0,-1),"&lt;4")&gt;0,IF(C57="К","-"," - "),(IFERROR(AVERAGE(OFFSET($E57,0,1):OFFSET(U57,0,-1)),"Очікую"))))</f>
        <v>Очікую</v>
      </c>
      <c r="V57" s="49" t="str">
        <f t="shared" ca="1" si="0"/>
        <v>Очікую</v>
      </c>
      <c r="W57" s="36"/>
      <c r="X57" s="42"/>
    </row>
    <row r="58" spans="1:24" s="12" customFormat="1" ht="15" customHeight="1" x14ac:dyDescent="0.25">
      <c r="A58" s="43"/>
      <c r="B58" s="34"/>
      <c r="C58" s="47"/>
      <c r="D58" s="47">
        <v>49</v>
      </c>
      <c r="E58" s="48"/>
      <c r="F58" s="47"/>
      <c r="G58" s="47"/>
      <c r="H58" s="47"/>
      <c r="I58" s="47"/>
      <c r="J58" s="47"/>
      <c r="K58" s="47"/>
      <c r="L58" s="47"/>
      <c r="M58" s="47"/>
      <c r="N58" s="47"/>
      <c r="O58" s="47"/>
      <c r="P58" s="47"/>
      <c r="Q58" s="47"/>
      <c r="R58" s="47"/>
      <c r="S58" s="47"/>
      <c r="T58" s="47"/>
      <c r="U58" s="49" t="str">
        <f ca="1">IF(COUNTIF(OFFSET($E58,0,1):OFFSET(U58,0,-1),"=*")&gt;0,IF($C58="К","-"," - "),IF(COUNTIF(OFFSET($E58,0,1):OFFSET(U58,0,-1),"&lt;4")&gt;0,IF(C58="К","-"," - "),(IFERROR(AVERAGE(OFFSET($E58,0,1):OFFSET(U58,0,-1)),"Очікую"))))</f>
        <v>Очікую</v>
      </c>
      <c r="V58" s="49" t="str">
        <f t="shared" ca="1" si="0"/>
        <v>Очікую</v>
      </c>
      <c r="W58" s="36"/>
      <c r="X58" s="42"/>
    </row>
    <row r="59" spans="1:24" s="12" customFormat="1" ht="15" customHeight="1" x14ac:dyDescent="0.25">
      <c r="A59" s="43"/>
      <c r="B59" s="34"/>
      <c r="C59" s="47"/>
      <c r="D59" s="47">
        <v>50</v>
      </c>
      <c r="E59" s="48"/>
      <c r="F59" s="47"/>
      <c r="G59" s="47"/>
      <c r="H59" s="47"/>
      <c r="I59" s="47"/>
      <c r="J59" s="47"/>
      <c r="K59" s="47"/>
      <c r="L59" s="47"/>
      <c r="M59" s="47"/>
      <c r="N59" s="47"/>
      <c r="O59" s="47"/>
      <c r="P59" s="47"/>
      <c r="Q59" s="47"/>
      <c r="R59" s="47"/>
      <c r="S59" s="47"/>
      <c r="T59" s="47"/>
      <c r="U59" s="49" t="str">
        <f ca="1">IF(COUNTIF(OFFSET($E59,0,1):OFFSET(U59,0,-1),"=*")&gt;0,IF($C59="К","-"," - "),IF(COUNTIF(OFFSET($E59,0,1):OFFSET(U59,0,-1),"&lt;4")&gt;0,IF(C59="К","-"," - "),(IFERROR(AVERAGE(OFFSET($E59,0,1):OFFSET(U59,0,-1)),"Очікую"))))</f>
        <v>Очікую</v>
      </c>
      <c r="V59" s="49" t="str">
        <f t="shared" ca="1" si="0"/>
        <v>Очікую</v>
      </c>
      <c r="W59" s="36"/>
      <c r="X59" s="42"/>
    </row>
    <row r="60" spans="1:24" s="12" customFormat="1" ht="15" customHeight="1" x14ac:dyDescent="0.25">
      <c r="A60" s="43"/>
      <c r="B60" s="34"/>
      <c r="C60" s="47"/>
      <c r="D60" s="47">
        <v>51</v>
      </c>
      <c r="E60" s="48"/>
      <c r="F60" s="47"/>
      <c r="G60" s="47"/>
      <c r="H60" s="47"/>
      <c r="I60" s="47"/>
      <c r="J60" s="47"/>
      <c r="K60" s="47"/>
      <c r="L60" s="47"/>
      <c r="M60" s="47"/>
      <c r="N60" s="47"/>
      <c r="O60" s="47"/>
      <c r="P60" s="47"/>
      <c r="Q60" s="47"/>
      <c r="R60" s="47"/>
      <c r="S60" s="47"/>
      <c r="T60" s="47"/>
      <c r="U60" s="49" t="str">
        <f ca="1">IF(COUNTIF(OFFSET($E60,0,1):OFFSET(U60,0,-1),"=*")&gt;0,IF($C60="К","-"," - "),IF(COUNTIF(OFFSET($E60,0,1):OFFSET(U60,0,-1),"&lt;4")&gt;0,IF(C60="К","-"," - "),(IFERROR(AVERAGE(OFFSET($E60,0,1):OFFSET(U60,0,-1)),"Очікую"))))</f>
        <v>Очікую</v>
      </c>
      <c r="V60" s="49" t="str">
        <f t="shared" ca="1" si="0"/>
        <v>Очікую</v>
      </c>
      <c r="W60" s="36"/>
      <c r="X60" s="42"/>
    </row>
    <row r="61" spans="1:24" s="12" customFormat="1" ht="15" customHeight="1" x14ac:dyDescent="0.25">
      <c r="A61" s="43"/>
      <c r="B61" s="34"/>
      <c r="C61" s="47"/>
      <c r="D61" s="47">
        <v>52</v>
      </c>
      <c r="E61" s="48"/>
      <c r="F61" s="47"/>
      <c r="G61" s="47"/>
      <c r="H61" s="47"/>
      <c r="I61" s="47"/>
      <c r="J61" s="47"/>
      <c r="K61" s="47"/>
      <c r="L61" s="47"/>
      <c r="M61" s="47"/>
      <c r="N61" s="47"/>
      <c r="O61" s="47"/>
      <c r="P61" s="47"/>
      <c r="Q61" s="47"/>
      <c r="R61" s="47"/>
      <c r="S61" s="47"/>
      <c r="T61" s="47"/>
      <c r="U61" s="49" t="str">
        <f ca="1">IF(COUNTIF(OFFSET($E61,0,1):OFFSET(U61,0,-1),"=*")&gt;0,IF($C61="К","-"," - "),IF(COUNTIF(OFFSET($E61,0,1):OFFSET(U61,0,-1),"&lt;4")&gt;0,IF(C61="К","-"," - "),(IFERROR(AVERAGE(OFFSET($E61,0,1):OFFSET(U61,0,-1)),"Очікую"))))</f>
        <v>Очікую</v>
      </c>
      <c r="V61" s="49" t="str">
        <f t="shared" ca="1" si="0"/>
        <v>Очікую</v>
      </c>
      <c r="W61" s="36"/>
      <c r="X61" s="42"/>
    </row>
    <row r="62" spans="1:24" s="12" customFormat="1" ht="15" customHeight="1" x14ac:dyDescent="0.25">
      <c r="A62" s="43"/>
      <c r="B62" s="34"/>
      <c r="C62" s="47"/>
      <c r="D62" s="47">
        <v>53</v>
      </c>
      <c r="E62" s="48"/>
      <c r="F62" s="47"/>
      <c r="G62" s="47"/>
      <c r="H62" s="47"/>
      <c r="I62" s="47"/>
      <c r="J62" s="47"/>
      <c r="K62" s="47"/>
      <c r="L62" s="47"/>
      <c r="M62" s="47"/>
      <c r="N62" s="47"/>
      <c r="O62" s="47"/>
      <c r="P62" s="47"/>
      <c r="Q62" s="47"/>
      <c r="R62" s="47"/>
      <c r="S62" s="47"/>
      <c r="T62" s="47"/>
      <c r="U62" s="49" t="str">
        <f ca="1">IF(COUNTIF(OFFSET($E62,0,1):OFFSET(U62,0,-1),"=*")&gt;0,IF($C62="К","-"," - "),IF(COUNTIF(OFFSET($E62,0,1):OFFSET(U62,0,-1),"&lt;4")&gt;0,IF(C62="К","-"," - "),(IFERROR(AVERAGE(OFFSET($E62,0,1):OFFSET(U62,0,-1)),"Очікую"))))</f>
        <v>Очікую</v>
      </c>
      <c r="V62" s="49" t="str">
        <f t="shared" ca="1" si="0"/>
        <v>Очікую</v>
      </c>
      <c r="W62" s="36"/>
      <c r="X62" s="42"/>
    </row>
    <row r="63" spans="1:24" s="12" customFormat="1" ht="15" customHeight="1" x14ac:dyDescent="0.25">
      <c r="A63" s="43"/>
      <c r="B63" s="34"/>
      <c r="C63" s="47"/>
      <c r="D63" s="47">
        <v>54</v>
      </c>
      <c r="E63" s="48"/>
      <c r="F63" s="47"/>
      <c r="G63" s="47"/>
      <c r="H63" s="47"/>
      <c r="I63" s="47"/>
      <c r="J63" s="47"/>
      <c r="K63" s="47"/>
      <c r="L63" s="47"/>
      <c r="M63" s="47"/>
      <c r="N63" s="47"/>
      <c r="O63" s="47"/>
      <c r="P63" s="47"/>
      <c r="Q63" s="47"/>
      <c r="R63" s="47"/>
      <c r="S63" s="47"/>
      <c r="T63" s="47"/>
      <c r="U63" s="49" t="str">
        <f ca="1">IF(COUNTIF(OFFSET($E63,0,1):OFFSET(U63,0,-1),"=*")&gt;0,IF($C63="К","-"," - "),IF(COUNTIF(OFFSET($E63,0,1):OFFSET(U63,0,-1),"&lt;4")&gt;0,IF(C63="К","-"," - "),(IFERROR(AVERAGE(OFFSET($E63,0,1):OFFSET(U63,0,-1)),"Очікую"))))</f>
        <v>Очікую</v>
      </c>
      <c r="V63" s="49" t="str">
        <f t="shared" ca="1" si="0"/>
        <v>Очікую</v>
      </c>
      <c r="W63" s="36"/>
      <c r="X63" s="42"/>
    </row>
    <row r="64" spans="1:24" s="12" customFormat="1" ht="15" customHeight="1" x14ac:dyDescent="0.25">
      <c r="A64" s="43"/>
      <c r="B64" s="34"/>
      <c r="C64" s="47"/>
      <c r="D64" s="47">
        <v>55</v>
      </c>
      <c r="E64" s="48"/>
      <c r="F64" s="47"/>
      <c r="G64" s="47"/>
      <c r="H64" s="47"/>
      <c r="I64" s="47"/>
      <c r="J64" s="47"/>
      <c r="K64" s="47"/>
      <c r="L64" s="47"/>
      <c r="M64" s="47"/>
      <c r="N64" s="47"/>
      <c r="O64" s="47"/>
      <c r="P64" s="47"/>
      <c r="Q64" s="47"/>
      <c r="R64" s="47"/>
      <c r="S64" s="47"/>
      <c r="T64" s="47"/>
      <c r="U64" s="49" t="str">
        <f ca="1">IF(COUNTIF(OFFSET($E64,0,1):OFFSET(U64,0,-1),"=*")&gt;0,IF($C64="К","-"," - "),IF(COUNTIF(OFFSET($E64,0,1):OFFSET(U64,0,-1),"&lt;4")&gt;0,IF(C64="К","-"," - "),(IFERROR(AVERAGE(OFFSET($E64,0,1):OFFSET(U64,0,-1)),"Очікую"))))</f>
        <v>Очікую</v>
      </c>
      <c r="V64" s="49" t="str">
        <f t="shared" ca="1" si="0"/>
        <v>Очікую</v>
      </c>
      <c r="W64" s="36"/>
      <c r="X64" s="42"/>
    </row>
    <row r="65" spans="1:24" s="12" customFormat="1" ht="15" customHeight="1" x14ac:dyDescent="0.25">
      <c r="A65" s="43"/>
      <c r="B65" s="34"/>
      <c r="C65" s="47"/>
      <c r="D65" s="47">
        <v>56</v>
      </c>
      <c r="E65" s="48"/>
      <c r="F65" s="47"/>
      <c r="G65" s="47"/>
      <c r="H65" s="47"/>
      <c r="I65" s="47"/>
      <c r="J65" s="47"/>
      <c r="K65" s="47"/>
      <c r="L65" s="47"/>
      <c r="M65" s="47"/>
      <c r="N65" s="47"/>
      <c r="O65" s="47"/>
      <c r="P65" s="47"/>
      <c r="Q65" s="47"/>
      <c r="R65" s="47"/>
      <c r="S65" s="47"/>
      <c r="T65" s="47"/>
      <c r="U65" s="49" t="str">
        <f ca="1">IF(COUNTIF(OFFSET($E65,0,1):OFFSET(U65,0,-1),"=*")&gt;0,IF($C65="К","-"," - "),IF(COUNTIF(OFFSET($E65,0,1):OFFSET(U65,0,-1),"&lt;4")&gt;0,IF(C65="К","-"," - "),(IFERROR(AVERAGE(OFFSET($E65,0,1):OFFSET(U65,0,-1)),"Очікую"))))</f>
        <v>Очікую</v>
      </c>
      <c r="V65" s="49" t="str">
        <f t="shared" ca="1" si="0"/>
        <v>Очікую</v>
      </c>
      <c r="W65" s="36"/>
      <c r="X65" s="42"/>
    </row>
    <row r="66" spans="1:24" s="12" customFormat="1" ht="15" customHeight="1" x14ac:dyDescent="0.25">
      <c r="A66" s="43"/>
      <c r="B66" s="34"/>
      <c r="C66" s="47"/>
      <c r="D66" s="47">
        <v>57</v>
      </c>
      <c r="E66" s="48"/>
      <c r="F66" s="47"/>
      <c r="G66" s="47"/>
      <c r="H66" s="47"/>
      <c r="I66" s="47"/>
      <c r="J66" s="47"/>
      <c r="K66" s="47"/>
      <c r="L66" s="47"/>
      <c r="M66" s="47"/>
      <c r="N66" s="47"/>
      <c r="O66" s="47"/>
      <c r="P66" s="47"/>
      <c r="Q66" s="47"/>
      <c r="R66" s="47"/>
      <c r="S66" s="47"/>
      <c r="T66" s="47"/>
      <c r="U66" s="49" t="str">
        <f ca="1">IF(COUNTIF(OFFSET($E66,0,1):OFFSET(U66,0,-1),"=*")&gt;0,IF($C66="К","-"," - "),IF(COUNTIF(OFFSET($E66,0,1):OFFSET(U66,0,-1),"&lt;4")&gt;0,IF(C66="К","-"," - "),(IFERROR(AVERAGE(OFFSET($E66,0,1):OFFSET(U66,0,-1)),"Очікую"))))</f>
        <v>Очікую</v>
      </c>
      <c r="V66" s="49" t="str">
        <f t="shared" ca="1" si="0"/>
        <v>Очікую</v>
      </c>
      <c r="W66" s="36"/>
      <c r="X66" s="42"/>
    </row>
    <row r="67" spans="1:24" s="12" customFormat="1" ht="15" customHeight="1" x14ac:dyDescent="0.25">
      <c r="A67" s="43"/>
      <c r="B67" s="34"/>
      <c r="C67" s="47"/>
      <c r="D67" s="47">
        <v>58</v>
      </c>
      <c r="E67" s="48"/>
      <c r="F67" s="47"/>
      <c r="G67" s="47"/>
      <c r="H67" s="47"/>
      <c r="I67" s="47"/>
      <c r="J67" s="47"/>
      <c r="K67" s="47"/>
      <c r="L67" s="47"/>
      <c r="M67" s="47"/>
      <c r="N67" s="47"/>
      <c r="O67" s="47"/>
      <c r="P67" s="47"/>
      <c r="Q67" s="47"/>
      <c r="R67" s="47"/>
      <c r="S67" s="47"/>
      <c r="T67" s="47"/>
      <c r="U67" s="49" t="str">
        <f ca="1">IF(COUNTIF(OFFSET($E67,0,1):OFFSET(U67,0,-1),"=*")&gt;0,IF($C67="К","-"," - "),IF(COUNTIF(OFFSET($E67,0,1):OFFSET(U67,0,-1),"&lt;4")&gt;0,IF(C67="К","-"," - "),(IFERROR(AVERAGE(OFFSET($E67,0,1):OFFSET(U67,0,-1)),"Очікую"))))</f>
        <v>Очікую</v>
      </c>
      <c r="V67" s="49" t="str">
        <f t="shared" ca="1" si="0"/>
        <v>Очікую</v>
      </c>
      <c r="W67" s="36"/>
      <c r="X67" s="42"/>
    </row>
    <row r="68" spans="1:24" s="12" customFormat="1" ht="15" customHeight="1" x14ac:dyDescent="0.25">
      <c r="A68" s="43"/>
      <c r="B68" s="34"/>
      <c r="C68" s="47"/>
      <c r="D68" s="47">
        <v>59</v>
      </c>
      <c r="E68" s="48"/>
      <c r="F68" s="47"/>
      <c r="G68" s="47"/>
      <c r="H68" s="47"/>
      <c r="I68" s="47"/>
      <c r="J68" s="47"/>
      <c r="K68" s="47"/>
      <c r="L68" s="47"/>
      <c r="M68" s="47"/>
      <c r="N68" s="47"/>
      <c r="O68" s="47"/>
      <c r="P68" s="47"/>
      <c r="Q68" s="47"/>
      <c r="R68" s="47"/>
      <c r="S68" s="47"/>
      <c r="T68" s="47"/>
      <c r="U68" s="49" t="str">
        <f ca="1">IF(COUNTIF(OFFSET($E68,0,1):OFFSET(U68,0,-1),"=*")&gt;0,IF($C68="К","-"," - "),IF(COUNTIF(OFFSET($E68,0,1):OFFSET(U68,0,-1),"&lt;4")&gt;0,IF(C68="К","-"," - "),(IFERROR(AVERAGE(OFFSET($E68,0,1):OFFSET(U68,0,-1)),"Очікую"))))</f>
        <v>Очікую</v>
      </c>
      <c r="V68" s="49" t="str">
        <f t="shared" ca="1" si="0"/>
        <v>Очікую</v>
      </c>
      <c r="W68" s="36"/>
      <c r="X68" s="42"/>
    </row>
    <row r="69" spans="1:24" s="12" customFormat="1" ht="15" customHeight="1" x14ac:dyDescent="0.25">
      <c r="A69" s="43"/>
      <c r="B69" s="34"/>
      <c r="C69" s="47"/>
      <c r="D69" s="47">
        <v>60</v>
      </c>
      <c r="E69" s="48"/>
      <c r="F69" s="47"/>
      <c r="G69" s="47"/>
      <c r="H69" s="47"/>
      <c r="I69" s="47"/>
      <c r="J69" s="47"/>
      <c r="K69" s="47"/>
      <c r="L69" s="47"/>
      <c r="M69" s="47"/>
      <c r="N69" s="47"/>
      <c r="O69" s="47"/>
      <c r="P69" s="47"/>
      <c r="Q69" s="47"/>
      <c r="R69" s="47"/>
      <c r="S69" s="47"/>
      <c r="T69" s="47"/>
      <c r="U69" s="49" t="str">
        <f ca="1">IF(COUNTIF(OFFSET($E69,0,1):OFFSET(U69,0,-1),"=*")&gt;0,IF($C69="К","-"," - "),IF(COUNTIF(OFFSET($E69,0,1):OFFSET(U69,0,-1),"&lt;4")&gt;0,IF(C69="К","-"," - "),(IFERROR(AVERAGE(OFFSET($E69,0,1):OFFSET(U69,0,-1)),"Очікую"))))</f>
        <v>Очікую</v>
      </c>
      <c r="V69" s="49" t="str">
        <f t="shared" ca="1" si="0"/>
        <v>Очікую</v>
      </c>
      <c r="W69" s="36"/>
      <c r="X69" s="42"/>
    </row>
    <row r="70" spans="1:24" s="12" customFormat="1" ht="15" customHeight="1" x14ac:dyDescent="0.25">
      <c r="A70" s="43"/>
      <c r="B70" s="34"/>
      <c r="C70" s="47"/>
      <c r="D70" s="47">
        <v>61</v>
      </c>
      <c r="E70" s="48"/>
      <c r="F70" s="47"/>
      <c r="G70" s="47"/>
      <c r="H70" s="47"/>
      <c r="I70" s="47"/>
      <c r="J70" s="47"/>
      <c r="K70" s="47"/>
      <c r="L70" s="47"/>
      <c r="M70" s="47"/>
      <c r="N70" s="47"/>
      <c r="O70" s="47"/>
      <c r="P70" s="47"/>
      <c r="Q70" s="47"/>
      <c r="R70" s="47"/>
      <c r="S70" s="47"/>
      <c r="T70" s="47"/>
      <c r="U70" s="49" t="str">
        <f ca="1">IF(COUNTIF(OFFSET($E70,0,1):OFFSET(U70,0,-1),"=*")&gt;0,IF($C70="К","-"," - "),IF(COUNTIF(OFFSET($E70,0,1):OFFSET(U70,0,-1),"&lt;4")&gt;0,IF(C70="К","-"," - "),(IFERROR(AVERAGE(OFFSET($E70,0,1):OFFSET(U70,0,-1)),"Очікую"))))</f>
        <v>Очікую</v>
      </c>
      <c r="V70" s="49" t="str">
        <f t="shared" ca="1" si="0"/>
        <v>Очікую</v>
      </c>
      <c r="W70" s="36"/>
      <c r="X70" s="42"/>
    </row>
    <row r="71" spans="1:24" s="12" customFormat="1" ht="15" customHeight="1" x14ac:dyDescent="0.25">
      <c r="A71" s="43"/>
      <c r="B71" s="34"/>
      <c r="C71" s="47"/>
      <c r="D71" s="47">
        <v>62</v>
      </c>
      <c r="E71" s="48"/>
      <c r="F71" s="47"/>
      <c r="G71" s="47"/>
      <c r="H71" s="47"/>
      <c r="I71" s="47"/>
      <c r="J71" s="47"/>
      <c r="K71" s="47"/>
      <c r="L71" s="47"/>
      <c r="M71" s="47"/>
      <c r="N71" s="47"/>
      <c r="O71" s="47"/>
      <c r="P71" s="47"/>
      <c r="Q71" s="47"/>
      <c r="R71" s="47"/>
      <c r="S71" s="47"/>
      <c r="T71" s="47"/>
      <c r="U71" s="49" t="str">
        <f ca="1">IF(COUNTIF(OFFSET($E71,0,1):OFFSET(U71,0,-1),"=*")&gt;0,IF($C71="К","-"," - "),IF(COUNTIF(OFFSET($E71,0,1):OFFSET(U71,0,-1),"&lt;4")&gt;0,IF(C71="К","-"," - "),(IFERROR(AVERAGE(OFFSET($E71,0,1):OFFSET(U71,0,-1)),"Очікую"))))</f>
        <v>Очікую</v>
      </c>
      <c r="V71" s="49" t="str">
        <f t="shared" ca="1" si="0"/>
        <v>Очікую</v>
      </c>
      <c r="W71" s="36"/>
      <c r="X71" s="42"/>
    </row>
    <row r="72" spans="1:24" s="12" customFormat="1" ht="15" customHeight="1" x14ac:dyDescent="0.25">
      <c r="A72" s="43"/>
      <c r="B72" s="34"/>
      <c r="C72" s="47"/>
      <c r="D72" s="47">
        <v>63</v>
      </c>
      <c r="E72" s="48"/>
      <c r="F72" s="47"/>
      <c r="G72" s="47"/>
      <c r="H72" s="47"/>
      <c r="I72" s="47"/>
      <c r="J72" s="47"/>
      <c r="K72" s="47"/>
      <c r="L72" s="47"/>
      <c r="M72" s="47"/>
      <c r="N72" s="47"/>
      <c r="O72" s="47"/>
      <c r="P72" s="47"/>
      <c r="Q72" s="47"/>
      <c r="R72" s="47"/>
      <c r="S72" s="47"/>
      <c r="T72" s="47"/>
      <c r="U72" s="49" t="str">
        <f ca="1">IF(COUNTIF(OFFSET($E72,0,1):OFFSET(U72,0,-1),"=*")&gt;0,IF($C72="К","-"," - "),IF(COUNTIF(OFFSET($E72,0,1):OFFSET(U72,0,-1),"&lt;4")&gt;0,IF(C72="К","-"," - "),(IFERROR(AVERAGE(OFFSET($E72,0,1):OFFSET(U72,0,-1)),"Очікую"))))</f>
        <v>Очікую</v>
      </c>
      <c r="V72" s="49" t="str">
        <f t="shared" ca="1" si="0"/>
        <v>Очікую</v>
      </c>
      <c r="W72" s="36"/>
      <c r="X72" s="42"/>
    </row>
    <row r="73" spans="1:24" s="12" customFormat="1" ht="15" customHeight="1" x14ac:dyDescent="0.25">
      <c r="A73" s="43"/>
      <c r="B73" s="34"/>
      <c r="C73" s="47"/>
      <c r="D73" s="47">
        <v>64</v>
      </c>
      <c r="E73" s="48"/>
      <c r="F73" s="47"/>
      <c r="G73" s="47"/>
      <c r="H73" s="47"/>
      <c r="I73" s="47"/>
      <c r="J73" s="47"/>
      <c r="K73" s="47"/>
      <c r="L73" s="47"/>
      <c r="M73" s="47"/>
      <c r="N73" s="47"/>
      <c r="O73" s="47"/>
      <c r="P73" s="47"/>
      <c r="Q73" s="47"/>
      <c r="R73" s="47"/>
      <c r="S73" s="47"/>
      <c r="T73" s="47"/>
      <c r="U73" s="49" t="str">
        <f ca="1">IF(COUNTIF(OFFSET($E73,0,1):OFFSET(U73,0,-1),"=*")&gt;0,IF($C73="К","-"," - "),IF(COUNTIF(OFFSET($E73,0,1):OFFSET(U73,0,-1),"&lt;4")&gt;0,IF(C73="К","-"," - "),(IFERROR(AVERAGE(OFFSET($E73,0,1):OFFSET(U73,0,-1)),"Очікую"))))</f>
        <v>Очікую</v>
      </c>
      <c r="V73" s="49" t="str">
        <f t="shared" ca="1" si="0"/>
        <v>Очікую</v>
      </c>
      <c r="W73" s="36"/>
      <c r="X73" s="42"/>
    </row>
    <row r="74" spans="1:24" s="12" customFormat="1" ht="15" customHeight="1" x14ac:dyDescent="0.25">
      <c r="A74" s="43"/>
      <c r="B74" s="34"/>
      <c r="C74" s="47"/>
      <c r="D74" s="47">
        <v>65</v>
      </c>
      <c r="E74" s="48"/>
      <c r="F74" s="47"/>
      <c r="G74" s="47"/>
      <c r="H74" s="47"/>
      <c r="I74" s="47"/>
      <c r="J74" s="47"/>
      <c r="K74" s="47"/>
      <c r="L74" s="47"/>
      <c r="M74" s="47"/>
      <c r="N74" s="47"/>
      <c r="O74" s="47"/>
      <c r="P74" s="47"/>
      <c r="Q74" s="47"/>
      <c r="R74" s="47"/>
      <c r="S74" s="47"/>
      <c r="T74" s="47"/>
      <c r="U74" s="49" t="str">
        <f ca="1">IF(COUNTIF(OFFSET($E74,0,1):OFFSET(U74,0,-1),"=*")&gt;0,IF($C74="К","-"," - "),IF(COUNTIF(OFFSET($E74,0,1):OFFSET(U74,0,-1),"&lt;4")&gt;0,IF(C74="К","-"," - "),(IFERROR(AVERAGE(OFFSET($E74,0,1):OFFSET(U74,0,-1)),"Очікую"))))</f>
        <v>Очікую</v>
      </c>
      <c r="V74" s="49" t="str">
        <f t="shared" ca="1" si="0"/>
        <v>Очікую</v>
      </c>
      <c r="W74" s="36"/>
      <c r="X74" s="42"/>
    </row>
    <row r="75" spans="1:24" s="12" customFormat="1" ht="15" customHeight="1" x14ac:dyDescent="0.25">
      <c r="A75" s="43"/>
      <c r="B75" s="34"/>
      <c r="C75" s="47"/>
      <c r="D75" s="47">
        <v>66</v>
      </c>
      <c r="E75" s="48"/>
      <c r="F75" s="47"/>
      <c r="G75" s="47"/>
      <c r="H75" s="47"/>
      <c r="I75" s="47"/>
      <c r="J75" s="47"/>
      <c r="K75" s="47"/>
      <c r="L75" s="47"/>
      <c r="M75" s="47"/>
      <c r="N75" s="47"/>
      <c r="O75" s="47"/>
      <c r="P75" s="47"/>
      <c r="Q75" s="47"/>
      <c r="R75" s="47"/>
      <c r="S75" s="47"/>
      <c r="T75" s="47"/>
      <c r="U75" s="49" t="str">
        <f ca="1">IF(COUNTIF(OFFSET($E75,0,1):OFFSET(U75,0,-1),"=*")&gt;0,IF($C75="К","-"," - "),IF(COUNTIF(OFFSET($E75,0,1):OFFSET(U75,0,-1),"&lt;4")&gt;0,IF(C75="К","-"," - "),(IFERROR(AVERAGE(OFFSET($E75,0,1):OFFSET(U75,0,-1)),"Очікую"))))</f>
        <v>Очікую</v>
      </c>
      <c r="V75" s="49" t="str">
        <f t="shared" ref="V75:V109" ca="1" si="1">IFERROR(U75/12*90,"Очікую")</f>
        <v>Очікую</v>
      </c>
      <c r="W75" s="36"/>
      <c r="X75" s="42"/>
    </row>
    <row r="76" spans="1:24" s="12" customFormat="1" ht="15" customHeight="1" x14ac:dyDescent="0.25">
      <c r="A76" s="43"/>
      <c r="B76" s="34"/>
      <c r="C76" s="47"/>
      <c r="D76" s="47">
        <v>67</v>
      </c>
      <c r="E76" s="48"/>
      <c r="F76" s="47"/>
      <c r="G76" s="47"/>
      <c r="H76" s="47"/>
      <c r="I76" s="47"/>
      <c r="J76" s="47"/>
      <c r="K76" s="47"/>
      <c r="L76" s="47"/>
      <c r="M76" s="47"/>
      <c r="N76" s="47"/>
      <c r="O76" s="47"/>
      <c r="P76" s="47"/>
      <c r="Q76" s="47"/>
      <c r="R76" s="47"/>
      <c r="S76" s="47"/>
      <c r="T76" s="47"/>
      <c r="U76" s="49" t="str">
        <f ca="1">IF(COUNTIF(OFFSET($E76,0,1):OFFSET(U76,0,-1),"=*")&gt;0,IF($C76="К","-"," - "),IF(COUNTIF(OFFSET($E76,0,1):OFFSET(U76,0,-1),"&lt;4")&gt;0,IF(C76="К","-"," - "),(IFERROR(AVERAGE(OFFSET($E76,0,1):OFFSET(U76,0,-1)),"Очікую"))))</f>
        <v>Очікую</v>
      </c>
      <c r="V76" s="49" t="str">
        <f t="shared" ca="1" si="1"/>
        <v>Очікую</v>
      </c>
      <c r="W76" s="36"/>
      <c r="X76" s="42"/>
    </row>
    <row r="77" spans="1:24" s="12" customFormat="1" ht="15" customHeight="1" x14ac:dyDescent="0.25">
      <c r="A77" s="43"/>
      <c r="B77" s="34"/>
      <c r="C77" s="47"/>
      <c r="D77" s="47">
        <v>68</v>
      </c>
      <c r="E77" s="48"/>
      <c r="F77" s="47"/>
      <c r="G77" s="47"/>
      <c r="H77" s="47"/>
      <c r="I77" s="47"/>
      <c r="J77" s="47"/>
      <c r="K77" s="47"/>
      <c r="L77" s="47"/>
      <c r="M77" s="47"/>
      <c r="N77" s="47"/>
      <c r="O77" s="47"/>
      <c r="P77" s="47"/>
      <c r="Q77" s="47"/>
      <c r="R77" s="47"/>
      <c r="S77" s="47"/>
      <c r="T77" s="47"/>
      <c r="U77" s="49" t="str">
        <f ca="1">IF(COUNTIF(OFFSET($E77,0,1):OFFSET(U77,0,-1),"=*")&gt;0,IF($C77="К","-"," - "),IF(COUNTIF(OFFSET($E77,0,1):OFFSET(U77,0,-1),"&lt;4")&gt;0,IF(C77="К","-"," - "),(IFERROR(AVERAGE(OFFSET($E77,0,1):OFFSET(U77,0,-1)),"Очікую"))))</f>
        <v>Очікую</v>
      </c>
      <c r="V77" s="49" t="str">
        <f t="shared" ca="1" si="1"/>
        <v>Очікую</v>
      </c>
      <c r="W77" s="36"/>
      <c r="X77" s="42"/>
    </row>
    <row r="78" spans="1:24" s="12" customFormat="1" ht="15" customHeight="1" x14ac:dyDescent="0.25">
      <c r="A78" s="43"/>
      <c r="B78" s="34"/>
      <c r="C78" s="47"/>
      <c r="D78" s="47">
        <v>69</v>
      </c>
      <c r="E78" s="48"/>
      <c r="F78" s="47"/>
      <c r="G78" s="47"/>
      <c r="H78" s="47"/>
      <c r="I78" s="47"/>
      <c r="J78" s="47"/>
      <c r="K78" s="47"/>
      <c r="L78" s="47"/>
      <c r="M78" s="47"/>
      <c r="N78" s="47"/>
      <c r="O78" s="47"/>
      <c r="P78" s="47"/>
      <c r="Q78" s="47"/>
      <c r="R78" s="47"/>
      <c r="S78" s="47"/>
      <c r="T78" s="47"/>
      <c r="U78" s="49" t="str">
        <f ca="1">IF(COUNTIF(OFFSET($E78,0,1):OFFSET(U78,0,-1),"=*")&gt;0,IF($C78="К","-"," - "),IF(COUNTIF(OFFSET($E78,0,1):OFFSET(U78,0,-1),"&lt;4")&gt;0,IF(C78="К","-"," - "),(IFERROR(AVERAGE(OFFSET($E78,0,1):OFFSET(U78,0,-1)),"Очікую"))))</f>
        <v>Очікую</v>
      </c>
      <c r="V78" s="49" t="str">
        <f t="shared" ca="1" si="1"/>
        <v>Очікую</v>
      </c>
      <c r="W78" s="36"/>
      <c r="X78" s="42"/>
    </row>
    <row r="79" spans="1:24" s="12" customFormat="1" ht="15" customHeight="1" x14ac:dyDescent="0.25">
      <c r="A79" s="43"/>
      <c r="B79" s="34"/>
      <c r="C79" s="47"/>
      <c r="D79" s="47">
        <v>70</v>
      </c>
      <c r="E79" s="48"/>
      <c r="F79" s="47"/>
      <c r="G79" s="47"/>
      <c r="H79" s="47"/>
      <c r="I79" s="47"/>
      <c r="J79" s="47"/>
      <c r="K79" s="47"/>
      <c r="L79" s="47"/>
      <c r="M79" s="47"/>
      <c r="N79" s="47"/>
      <c r="O79" s="47"/>
      <c r="P79" s="47"/>
      <c r="Q79" s="47"/>
      <c r="R79" s="47"/>
      <c r="S79" s="47"/>
      <c r="T79" s="47"/>
      <c r="U79" s="49" t="str">
        <f ca="1">IF(COUNTIF(OFFSET($E79,0,1):OFFSET(U79,0,-1),"=*")&gt;0,IF($C79="К","-"," - "),IF(COUNTIF(OFFSET($E79,0,1):OFFSET(U79,0,-1),"&lt;4")&gt;0,IF(C79="К","-"," - "),(IFERROR(AVERAGE(OFFSET($E79,0,1):OFFSET(U79,0,-1)),"Очікую"))))</f>
        <v>Очікую</v>
      </c>
      <c r="V79" s="49" t="str">
        <f t="shared" ca="1" si="1"/>
        <v>Очікую</v>
      </c>
      <c r="W79" s="36"/>
      <c r="X79" s="42"/>
    </row>
    <row r="80" spans="1:24" s="12" customFormat="1" ht="15" customHeight="1" x14ac:dyDescent="0.25">
      <c r="A80" s="43"/>
      <c r="B80" s="34"/>
      <c r="C80" s="47"/>
      <c r="D80" s="47">
        <v>71</v>
      </c>
      <c r="E80" s="48"/>
      <c r="F80" s="47"/>
      <c r="G80" s="47"/>
      <c r="H80" s="47"/>
      <c r="I80" s="47"/>
      <c r="J80" s="47"/>
      <c r="K80" s="47"/>
      <c r="L80" s="47"/>
      <c r="M80" s="47"/>
      <c r="N80" s="47"/>
      <c r="O80" s="47"/>
      <c r="P80" s="47"/>
      <c r="Q80" s="47"/>
      <c r="R80" s="47"/>
      <c r="S80" s="47"/>
      <c r="T80" s="47"/>
      <c r="U80" s="49" t="str">
        <f ca="1">IF(COUNTIF(OFFSET($E80,0,1):OFFSET(U80,0,-1),"=*")&gt;0,IF($C80="К","-"," - "),IF(COUNTIF(OFFSET($E80,0,1):OFFSET(U80,0,-1),"&lt;4")&gt;0,IF(C80="К","-"," - "),(IFERROR(AVERAGE(OFFSET($E80,0,1):OFFSET(U80,0,-1)),"Очікую"))))</f>
        <v>Очікую</v>
      </c>
      <c r="V80" s="49" t="str">
        <f t="shared" ca="1" si="1"/>
        <v>Очікую</v>
      </c>
      <c r="W80" s="36"/>
      <c r="X80" s="42"/>
    </row>
    <row r="81" spans="1:24" s="12" customFormat="1" ht="15" customHeight="1" x14ac:dyDescent="0.25">
      <c r="A81" s="43"/>
      <c r="B81" s="34"/>
      <c r="C81" s="47"/>
      <c r="D81" s="47">
        <v>72</v>
      </c>
      <c r="E81" s="48"/>
      <c r="F81" s="47"/>
      <c r="G81" s="47"/>
      <c r="H81" s="47"/>
      <c r="I81" s="47"/>
      <c r="J81" s="47"/>
      <c r="K81" s="47"/>
      <c r="L81" s="47"/>
      <c r="M81" s="47"/>
      <c r="N81" s="47"/>
      <c r="O81" s="47"/>
      <c r="P81" s="47"/>
      <c r="Q81" s="47"/>
      <c r="R81" s="47"/>
      <c r="S81" s="47"/>
      <c r="T81" s="47"/>
      <c r="U81" s="49" t="str">
        <f ca="1">IF(COUNTIF(OFFSET($E81,0,1):OFFSET(U81,0,-1),"=*")&gt;0,IF($C81="К","-"," - "),IF(COUNTIF(OFFSET($E81,0,1):OFFSET(U81,0,-1),"&lt;4")&gt;0,IF(C81="К","-"," - "),(IFERROR(AVERAGE(OFFSET($E81,0,1):OFFSET(U81,0,-1)),"Очікую"))))</f>
        <v>Очікую</v>
      </c>
      <c r="V81" s="49" t="str">
        <f t="shared" ca="1" si="1"/>
        <v>Очікую</v>
      </c>
      <c r="W81" s="36"/>
      <c r="X81" s="42"/>
    </row>
    <row r="82" spans="1:24" s="12" customFormat="1" ht="15" customHeight="1" x14ac:dyDescent="0.25">
      <c r="A82" s="43"/>
      <c r="B82" s="34"/>
      <c r="C82" s="47"/>
      <c r="D82" s="47">
        <v>73</v>
      </c>
      <c r="E82" s="48"/>
      <c r="F82" s="47"/>
      <c r="G82" s="47"/>
      <c r="H82" s="47"/>
      <c r="I82" s="47"/>
      <c r="J82" s="47"/>
      <c r="K82" s="47"/>
      <c r="L82" s="47"/>
      <c r="M82" s="47"/>
      <c r="N82" s="47"/>
      <c r="O82" s="47"/>
      <c r="P82" s="47"/>
      <c r="Q82" s="47"/>
      <c r="R82" s="47"/>
      <c r="S82" s="47"/>
      <c r="T82" s="47"/>
      <c r="U82" s="49" t="str">
        <f ca="1">IF(COUNTIF(OFFSET($E82,0,1):OFFSET(U82,0,-1),"=*")&gt;0,IF($C82="К","-"," - "),IF(COUNTIF(OFFSET($E82,0,1):OFFSET(U82,0,-1),"&lt;4")&gt;0,IF(C82="К","-"," - "),(IFERROR(AVERAGE(OFFSET($E82,0,1):OFFSET(U82,0,-1)),"Очікую"))))</f>
        <v>Очікую</v>
      </c>
      <c r="V82" s="49" t="str">
        <f t="shared" ca="1" si="1"/>
        <v>Очікую</v>
      </c>
      <c r="W82" s="36"/>
      <c r="X82" s="42"/>
    </row>
    <row r="83" spans="1:24" s="12" customFormat="1" ht="15" customHeight="1" x14ac:dyDescent="0.25">
      <c r="A83" s="43"/>
      <c r="B83" s="34"/>
      <c r="C83" s="47"/>
      <c r="D83" s="47">
        <v>74</v>
      </c>
      <c r="E83" s="48"/>
      <c r="F83" s="47"/>
      <c r="G83" s="47"/>
      <c r="H83" s="47"/>
      <c r="I83" s="47"/>
      <c r="J83" s="47"/>
      <c r="K83" s="47"/>
      <c r="L83" s="47"/>
      <c r="M83" s="47"/>
      <c r="N83" s="47"/>
      <c r="O83" s="47"/>
      <c r="P83" s="47"/>
      <c r="Q83" s="47"/>
      <c r="R83" s="47"/>
      <c r="S83" s="47"/>
      <c r="T83" s="47"/>
      <c r="U83" s="49" t="str">
        <f ca="1">IF(COUNTIF(OFFSET($E83,0,1):OFFSET(U83,0,-1),"=*")&gt;0,IF($C83="К","-"," - "),IF(COUNTIF(OFFSET($E83,0,1):OFFSET(U83,0,-1),"&lt;4")&gt;0,IF(C83="К","-"," - "),(IFERROR(AVERAGE(OFFSET($E83,0,1):OFFSET(U83,0,-1)),"Очікую"))))</f>
        <v>Очікую</v>
      </c>
      <c r="V83" s="49" t="str">
        <f t="shared" ca="1" si="1"/>
        <v>Очікую</v>
      </c>
      <c r="W83" s="36"/>
      <c r="X83" s="42"/>
    </row>
    <row r="84" spans="1:24" s="12" customFormat="1" ht="15" customHeight="1" x14ac:dyDescent="0.25">
      <c r="A84" s="43"/>
      <c r="B84" s="34"/>
      <c r="C84" s="47"/>
      <c r="D84" s="47">
        <v>75</v>
      </c>
      <c r="E84" s="48"/>
      <c r="F84" s="47"/>
      <c r="G84" s="47"/>
      <c r="H84" s="47"/>
      <c r="I84" s="47"/>
      <c r="J84" s="47"/>
      <c r="K84" s="47"/>
      <c r="L84" s="47"/>
      <c r="M84" s="47"/>
      <c r="N84" s="47"/>
      <c r="O84" s="47"/>
      <c r="P84" s="47"/>
      <c r="Q84" s="47"/>
      <c r="R84" s="47"/>
      <c r="S84" s="47"/>
      <c r="T84" s="47"/>
      <c r="U84" s="49" t="str">
        <f ca="1">IF(COUNTIF(OFFSET($E84,0,1):OFFSET(U84,0,-1),"=*")&gt;0,IF($C84="К","-"," - "),IF(COUNTIF(OFFSET($E84,0,1):OFFSET(U84,0,-1),"&lt;4")&gt;0,IF(C84="К","-"," - "),(IFERROR(AVERAGE(OFFSET($E84,0,1):OFFSET(U84,0,-1)),"Очікую"))))</f>
        <v>Очікую</v>
      </c>
      <c r="V84" s="49" t="str">
        <f t="shared" ca="1" si="1"/>
        <v>Очікую</v>
      </c>
      <c r="W84" s="36"/>
      <c r="X84" s="42"/>
    </row>
    <row r="85" spans="1:24" s="12" customFormat="1" ht="15" customHeight="1" x14ac:dyDescent="0.25">
      <c r="A85" s="43"/>
      <c r="B85" s="34"/>
      <c r="C85" s="47"/>
      <c r="D85" s="47">
        <v>76</v>
      </c>
      <c r="E85" s="48"/>
      <c r="F85" s="47"/>
      <c r="G85" s="47"/>
      <c r="H85" s="47"/>
      <c r="I85" s="47"/>
      <c r="J85" s="47"/>
      <c r="K85" s="47"/>
      <c r="L85" s="47"/>
      <c r="M85" s="47"/>
      <c r="N85" s="47"/>
      <c r="O85" s="47"/>
      <c r="P85" s="47"/>
      <c r="Q85" s="47"/>
      <c r="R85" s="47"/>
      <c r="S85" s="47"/>
      <c r="T85" s="47"/>
      <c r="U85" s="49" t="str">
        <f ca="1">IF(COUNTIF(OFFSET($E85,0,1):OFFSET(U85,0,-1),"=*")&gt;0,IF($C85="К","-"," - "),IF(COUNTIF(OFFSET($E85,0,1):OFFSET(U85,0,-1),"&lt;4")&gt;0,IF(C85="К","-"," - "),(IFERROR(AVERAGE(OFFSET($E85,0,1):OFFSET(U85,0,-1)),"Очікую"))))</f>
        <v>Очікую</v>
      </c>
      <c r="V85" s="49" t="str">
        <f t="shared" ca="1" si="1"/>
        <v>Очікую</v>
      </c>
      <c r="W85" s="36"/>
      <c r="X85" s="42"/>
    </row>
    <row r="86" spans="1:24" s="12" customFormat="1" ht="15" customHeight="1" x14ac:dyDescent="0.25">
      <c r="A86" s="43"/>
      <c r="B86" s="34"/>
      <c r="C86" s="47"/>
      <c r="D86" s="47">
        <v>77</v>
      </c>
      <c r="E86" s="48"/>
      <c r="F86" s="47"/>
      <c r="G86" s="47"/>
      <c r="H86" s="47"/>
      <c r="I86" s="47"/>
      <c r="J86" s="47"/>
      <c r="K86" s="47"/>
      <c r="L86" s="47"/>
      <c r="M86" s="47"/>
      <c r="N86" s="47"/>
      <c r="O86" s="47"/>
      <c r="P86" s="47"/>
      <c r="Q86" s="47"/>
      <c r="R86" s="47"/>
      <c r="S86" s="47"/>
      <c r="T86" s="47"/>
      <c r="U86" s="49" t="str">
        <f ca="1">IF(COUNTIF(OFFSET($E86,0,1):OFFSET(U86,0,-1),"=*")&gt;0,IF($C86="К","-"," - "),IF(COUNTIF(OFFSET($E86,0,1):OFFSET(U86,0,-1),"&lt;4")&gt;0,IF(C86="К","-"," - "),(IFERROR(AVERAGE(OFFSET($E86,0,1):OFFSET(U86,0,-1)),"Очікую"))))</f>
        <v>Очікую</v>
      </c>
      <c r="V86" s="49" t="str">
        <f t="shared" ca="1" si="1"/>
        <v>Очікую</v>
      </c>
      <c r="W86" s="36"/>
      <c r="X86" s="42"/>
    </row>
    <row r="87" spans="1:24" s="12" customFormat="1" ht="15" customHeight="1" x14ac:dyDescent="0.25">
      <c r="A87" s="43"/>
      <c r="B87" s="34"/>
      <c r="C87" s="47"/>
      <c r="D87" s="47">
        <v>78</v>
      </c>
      <c r="E87" s="48"/>
      <c r="F87" s="47"/>
      <c r="G87" s="47"/>
      <c r="H87" s="47"/>
      <c r="I87" s="47"/>
      <c r="J87" s="47"/>
      <c r="K87" s="47"/>
      <c r="L87" s="47"/>
      <c r="M87" s="47"/>
      <c r="N87" s="47"/>
      <c r="O87" s="47"/>
      <c r="P87" s="47"/>
      <c r="Q87" s="47"/>
      <c r="R87" s="47"/>
      <c r="S87" s="47"/>
      <c r="T87" s="47"/>
      <c r="U87" s="49" t="str">
        <f ca="1">IF(COUNTIF(OFFSET($E87,0,1):OFFSET(U87,0,-1),"=*")&gt;0,IF($C87="К","-"," - "),IF(COUNTIF(OFFSET($E87,0,1):OFFSET(U87,0,-1),"&lt;4")&gt;0,IF(C87="К","-"," - "),(IFERROR(AVERAGE(OFFSET($E87,0,1):OFFSET(U87,0,-1)),"Очікую"))))</f>
        <v>Очікую</v>
      </c>
      <c r="V87" s="49" t="str">
        <f t="shared" ca="1" si="1"/>
        <v>Очікую</v>
      </c>
      <c r="W87" s="36"/>
      <c r="X87" s="42"/>
    </row>
    <row r="88" spans="1:24" s="12" customFormat="1" ht="15" customHeight="1" x14ac:dyDescent="0.25">
      <c r="A88" s="43"/>
      <c r="B88" s="34"/>
      <c r="C88" s="47"/>
      <c r="D88" s="47">
        <v>79</v>
      </c>
      <c r="E88" s="48"/>
      <c r="F88" s="47"/>
      <c r="G88" s="47"/>
      <c r="H88" s="47"/>
      <c r="I88" s="47"/>
      <c r="J88" s="47"/>
      <c r="K88" s="47"/>
      <c r="L88" s="47"/>
      <c r="M88" s="47"/>
      <c r="N88" s="47"/>
      <c r="O88" s="47"/>
      <c r="P88" s="47"/>
      <c r="Q88" s="47"/>
      <c r="R88" s="47"/>
      <c r="S88" s="47"/>
      <c r="T88" s="47"/>
      <c r="U88" s="49" t="str">
        <f ca="1">IF(COUNTIF(OFFSET($E88,0,1):OFFSET(U88,0,-1),"=*")&gt;0,IF($C88="К","-"," - "),IF(COUNTIF(OFFSET($E88,0,1):OFFSET(U88,0,-1),"&lt;4")&gt;0,IF(C88="К","-"," - "),(IFERROR(AVERAGE(OFFSET($E88,0,1):OFFSET(U88,0,-1)),"Очікую"))))</f>
        <v>Очікую</v>
      </c>
      <c r="V88" s="49" t="str">
        <f t="shared" ca="1" si="1"/>
        <v>Очікую</v>
      </c>
      <c r="W88" s="36"/>
      <c r="X88" s="42"/>
    </row>
    <row r="89" spans="1:24" s="12" customFormat="1" ht="15" customHeight="1" x14ac:dyDescent="0.25">
      <c r="A89" s="43"/>
      <c r="B89" s="34"/>
      <c r="C89" s="47"/>
      <c r="D89" s="47">
        <v>80</v>
      </c>
      <c r="E89" s="48"/>
      <c r="F89" s="47"/>
      <c r="G89" s="47"/>
      <c r="H89" s="47"/>
      <c r="I89" s="47"/>
      <c r="J89" s="47"/>
      <c r="K89" s="47"/>
      <c r="L89" s="47"/>
      <c r="M89" s="47"/>
      <c r="N89" s="47"/>
      <c r="O89" s="47"/>
      <c r="P89" s="47"/>
      <c r="Q89" s="47"/>
      <c r="R89" s="47"/>
      <c r="S89" s="47"/>
      <c r="T89" s="47"/>
      <c r="U89" s="49" t="str">
        <f ca="1">IF(COUNTIF(OFFSET($E89,0,1):OFFSET(U89,0,-1),"=*")&gt;0,IF($C89="К","-"," - "),IF(COUNTIF(OFFSET($E89,0,1):OFFSET(U89,0,-1),"&lt;4")&gt;0,IF(C89="К","-"," - "),(IFERROR(AVERAGE(OFFSET($E89,0,1):OFFSET(U89,0,-1)),"Очікую"))))</f>
        <v>Очікую</v>
      </c>
      <c r="V89" s="49" t="str">
        <f t="shared" ca="1" si="1"/>
        <v>Очікую</v>
      </c>
      <c r="W89" s="36"/>
      <c r="X89" s="42"/>
    </row>
    <row r="90" spans="1:24" s="12" customFormat="1" ht="15" customHeight="1" x14ac:dyDescent="0.25">
      <c r="A90" s="43"/>
      <c r="B90" s="34"/>
      <c r="C90" s="47"/>
      <c r="D90" s="47">
        <v>81</v>
      </c>
      <c r="E90" s="48"/>
      <c r="F90" s="47"/>
      <c r="G90" s="47"/>
      <c r="H90" s="47"/>
      <c r="I90" s="47"/>
      <c r="J90" s="47"/>
      <c r="K90" s="47"/>
      <c r="L90" s="47"/>
      <c r="M90" s="47"/>
      <c r="N90" s="47"/>
      <c r="O90" s="47"/>
      <c r="P90" s="47"/>
      <c r="Q90" s="47"/>
      <c r="R90" s="47"/>
      <c r="S90" s="47"/>
      <c r="T90" s="47"/>
      <c r="U90" s="49" t="str">
        <f ca="1">IF(COUNTIF(OFFSET($E90,0,1):OFFSET(U90,0,-1),"=*")&gt;0,IF($C90="К","-"," - "),IF(COUNTIF(OFFSET($E90,0,1):OFFSET(U90,0,-1),"&lt;4")&gt;0,IF(C90="К","-"," - "),(IFERROR(AVERAGE(OFFSET($E90,0,1):OFFSET(U90,0,-1)),"Очікую"))))</f>
        <v>Очікую</v>
      </c>
      <c r="V90" s="49" t="str">
        <f t="shared" ca="1" si="1"/>
        <v>Очікую</v>
      </c>
      <c r="W90" s="36"/>
      <c r="X90" s="42"/>
    </row>
    <row r="91" spans="1:24" s="12" customFormat="1" ht="15" customHeight="1" x14ac:dyDescent="0.25">
      <c r="A91" s="43"/>
      <c r="B91" s="34"/>
      <c r="C91" s="47"/>
      <c r="D91" s="47">
        <v>82</v>
      </c>
      <c r="E91" s="48"/>
      <c r="F91" s="47"/>
      <c r="G91" s="47"/>
      <c r="H91" s="47"/>
      <c r="I91" s="47"/>
      <c r="J91" s="47"/>
      <c r="K91" s="47"/>
      <c r="L91" s="47"/>
      <c r="M91" s="47"/>
      <c r="N91" s="47"/>
      <c r="O91" s="47"/>
      <c r="P91" s="47"/>
      <c r="Q91" s="47"/>
      <c r="R91" s="47"/>
      <c r="S91" s="47"/>
      <c r="T91" s="47"/>
      <c r="U91" s="49" t="str">
        <f ca="1">IF(COUNTIF(OFFSET($E91,0,1):OFFSET(U91,0,-1),"=*")&gt;0,IF($C91="К","-"," - "),IF(COUNTIF(OFFSET($E91,0,1):OFFSET(U91,0,-1),"&lt;4")&gt;0,IF(C91="К","-"," - "),(IFERROR(AVERAGE(OFFSET($E91,0,1):OFFSET(U91,0,-1)),"Очікую"))))</f>
        <v>Очікую</v>
      </c>
      <c r="V91" s="49" t="str">
        <f t="shared" ca="1" si="1"/>
        <v>Очікую</v>
      </c>
      <c r="W91" s="36"/>
      <c r="X91" s="42"/>
    </row>
    <row r="92" spans="1:24" s="12" customFormat="1" ht="15" customHeight="1" x14ac:dyDescent="0.25">
      <c r="A92" s="43"/>
      <c r="B92" s="34"/>
      <c r="C92" s="47"/>
      <c r="D92" s="47">
        <v>83</v>
      </c>
      <c r="E92" s="48"/>
      <c r="F92" s="47"/>
      <c r="G92" s="47"/>
      <c r="H92" s="47"/>
      <c r="I92" s="47"/>
      <c r="J92" s="47"/>
      <c r="K92" s="47"/>
      <c r="L92" s="47"/>
      <c r="M92" s="47"/>
      <c r="N92" s="47"/>
      <c r="O92" s="47"/>
      <c r="P92" s="47"/>
      <c r="Q92" s="47"/>
      <c r="R92" s="47"/>
      <c r="S92" s="47"/>
      <c r="T92" s="47"/>
      <c r="U92" s="49" t="str">
        <f ca="1">IF(COUNTIF(OFFSET($E92,0,1):OFFSET(U92,0,-1),"=*")&gt;0,IF($C92="К","-"," - "),IF(COUNTIF(OFFSET($E92,0,1):OFFSET(U92,0,-1),"&lt;4")&gt;0,IF(C92="К","-"," - "),(IFERROR(AVERAGE(OFFSET($E92,0,1):OFFSET(U92,0,-1)),"Очікую"))))</f>
        <v>Очікую</v>
      </c>
      <c r="V92" s="49" t="str">
        <f t="shared" ca="1" si="1"/>
        <v>Очікую</v>
      </c>
      <c r="W92" s="36"/>
      <c r="X92" s="42"/>
    </row>
    <row r="93" spans="1:24" s="12" customFormat="1" ht="15" customHeight="1" x14ac:dyDescent="0.25">
      <c r="A93" s="43"/>
      <c r="B93" s="34"/>
      <c r="C93" s="47"/>
      <c r="D93" s="47">
        <v>84</v>
      </c>
      <c r="E93" s="48"/>
      <c r="F93" s="47"/>
      <c r="G93" s="47"/>
      <c r="H93" s="47"/>
      <c r="I93" s="47"/>
      <c r="J93" s="47"/>
      <c r="K93" s="47"/>
      <c r="L93" s="47"/>
      <c r="M93" s="47"/>
      <c r="N93" s="47"/>
      <c r="O93" s="47"/>
      <c r="P93" s="47"/>
      <c r="Q93" s="47"/>
      <c r="R93" s="47"/>
      <c r="S93" s="47"/>
      <c r="T93" s="47"/>
      <c r="U93" s="49" t="str">
        <f ca="1">IF(COUNTIF(OFFSET($E93,0,1):OFFSET(U93,0,-1),"=*")&gt;0,IF($C93="К","-"," - "),IF(COUNTIF(OFFSET($E93,0,1):OFFSET(U93,0,-1),"&lt;4")&gt;0,IF(C93="К","-"," - "),(IFERROR(AVERAGE(OFFSET($E93,0,1):OFFSET(U93,0,-1)),"Очікую"))))</f>
        <v>Очікую</v>
      </c>
      <c r="V93" s="49" t="str">
        <f t="shared" ca="1" si="1"/>
        <v>Очікую</v>
      </c>
      <c r="W93" s="36"/>
      <c r="X93" s="42"/>
    </row>
    <row r="94" spans="1:24" s="12" customFormat="1" ht="15" customHeight="1" x14ac:dyDescent="0.25">
      <c r="A94" s="43"/>
      <c r="B94" s="34"/>
      <c r="C94" s="47"/>
      <c r="D94" s="47">
        <v>85</v>
      </c>
      <c r="E94" s="48"/>
      <c r="F94" s="47"/>
      <c r="G94" s="47"/>
      <c r="H94" s="47"/>
      <c r="I94" s="47"/>
      <c r="J94" s="47"/>
      <c r="K94" s="47"/>
      <c r="L94" s="47"/>
      <c r="M94" s="47"/>
      <c r="N94" s="47"/>
      <c r="O94" s="47"/>
      <c r="P94" s="47"/>
      <c r="Q94" s="47"/>
      <c r="R94" s="47"/>
      <c r="S94" s="47"/>
      <c r="T94" s="47"/>
      <c r="U94" s="49" t="str">
        <f ca="1">IF(COUNTIF(OFFSET($E94,0,1):OFFSET(U94,0,-1),"=*")&gt;0,IF($C94="К","-"," - "),IF(COUNTIF(OFFSET($E94,0,1):OFFSET(U94,0,-1),"&lt;4")&gt;0,IF(C94="К","-"," - "),(IFERROR(AVERAGE(OFFSET($E94,0,1):OFFSET(U94,0,-1)),"Очікую"))))</f>
        <v>Очікую</v>
      </c>
      <c r="V94" s="49" t="str">
        <f t="shared" ca="1" si="1"/>
        <v>Очікую</v>
      </c>
      <c r="W94" s="36"/>
      <c r="X94" s="42"/>
    </row>
    <row r="95" spans="1:24" s="12" customFormat="1" ht="15" customHeight="1" x14ac:dyDescent="0.25">
      <c r="A95" s="43"/>
      <c r="B95" s="34"/>
      <c r="C95" s="47"/>
      <c r="D95" s="47">
        <v>86</v>
      </c>
      <c r="E95" s="48"/>
      <c r="F95" s="47"/>
      <c r="G95" s="47"/>
      <c r="H95" s="47"/>
      <c r="I95" s="47"/>
      <c r="J95" s="47"/>
      <c r="K95" s="47"/>
      <c r="L95" s="47"/>
      <c r="M95" s="47"/>
      <c r="N95" s="47"/>
      <c r="O95" s="47"/>
      <c r="P95" s="47"/>
      <c r="Q95" s="47"/>
      <c r="R95" s="47"/>
      <c r="S95" s="47"/>
      <c r="T95" s="47"/>
      <c r="U95" s="49" t="str">
        <f ca="1">IF(COUNTIF(OFFSET($E95,0,1):OFFSET(U95,0,-1),"=*")&gt;0,IF($C95="К","-"," - "),IF(COUNTIF(OFFSET($E95,0,1):OFFSET(U95,0,-1),"&lt;4")&gt;0,IF(C95="К","-"," - "),(IFERROR(AVERAGE(OFFSET($E95,0,1):OFFSET(U95,0,-1)),"Очікую"))))</f>
        <v>Очікую</v>
      </c>
      <c r="V95" s="49" t="str">
        <f t="shared" ca="1" si="1"/>
        <v>Очікую</v>
      </c>
      <c r="W95" s="36"/>
      <c r="X95" s="42"/>
    </row>
    <row r="96" spans="1:24" s="12" customFormat="1" ht="15" customHeight="1" x14ac:dyDescent="0.25">
      <c r="A96" s="43"/>
      <c r="B96" s="34"/>
      <c r="C96" s="47"/>
      <c r="D96" s="47">
        <v>87</v>
      </c>
      <c r="E96" s="48"/>
      <c r="F96" s="47"/>
      <c r="G96" s="47"/>
      <c r="H96" s="47"/>
      <c r="I96" s="47"/>
      <c r="J96" s="47"/>
      <c r="K96" s="47"/>
      <c r="L96" s="47"/>
      <c r="M96" s="47"/>
      <c r="N96" s="47"/>
      <c r="O96" s="47"/>
      <c r="P96" s="47"/>
      <c r="Q96" s="47"/>
      <c r="R96" s="47"/>
      <c r="S96" s="47"/>
      <c r="T96" s="47"/>
      <c r="U96" s="49" t="str">
        <f ca="1">IF(COUNTIF(OFFSET($E96,0,1):OFFSET(U96,0,-1),"=*")&gt;0,IF($C96="К","-"," - "),IF(COUNTIF(OFFSET($E96,0,1):OFFSET(U96,0,-1),"&lt;4")&gt;0,IF(C96="К","-"," - "),(IFERROR(AVERAGE(OFFSET($E96,0,1):OFFSET(U96,0,-1)),"Очікую"))))</f>
        <v>Очікую</v>
      </c>
      <c r="V96" s="49" t="str">
        <f t="shared" ca="1" si="1"/>
        <v>Очікую</v>
      </c>
      <c r="W96" s="36"/>
      <c r="X96" s="42"/>
    </row>
    <row r="97" spans="1:24" s="12" customFormat="1" ht="15" customHeight="1" x14ac:dyDescent="0.25">
      <c r="A97" s="43"/>
      <c r="B97" s="34"/>
      <c r="C97" s="47"/>
      <c r="D97" s="47">
        <v>88</v>
      </c>
      <c r="E97" s="48"/>
      <c r="F97" s="47"/>
      <c r="G97" s="47"/>
      <c r="H97" s="47"/>
      <c r="I97" s="47"/>
      <c r="J97" s="47"/>
      <c r="K97" s="47"/>
      <c r="L97" s="47"/>
      <c r="M97" s="47"/>
      <c r="N97" s="47"/>
      <c r="O97" s="47"/>
      <c r="P97" s="47"/>
      <c r="Q97" s="47"/>
      <c r="R97" s="47"/>
      <c r="S97" s="47"/>
      <c r="T97" s="47"/>
      <c r="U97" s="49" t="str">
        <f ca="1">IF(COUNTIF(OFFSET($E97,0,1):OFFSET(U97,0,-1),"=*")&gt;0,IF($C97="К","-"," - "),IF(COUNTIF(OFFSET($E97,0,1):OFFSET(U97,0,-1),"&lt;4")&gt;0,IF(C97="К","-"," - "),(IFERROR(AVERAGE(OFFSET($E97,0,1):OFFSET(U97,0,-1)),"Очікую"))))</f>
        <v>Очікую</v>
      </c>
      <c r="V97" s="49" t="str">
        <f t="shared" ca="1" si="1"/>
        <v>Очікую</v>
      </c>
      <c r="W97" s="36"/>
      <c r="X97" s="42"/>
    </row>
    <row r="98" spans="1:24" s="12" customFormat="1" ht="15" customHeight="1" x14ac:dyDescent="0.25">
      <c r="A98" s="43"/>
      <c r="B98" s="34"/>
      <c r="C98" s="47"/>
      <c r="D98" s="47">
        <v>89</v>
      </c>
      <c r="E98" s="48"/>
      <c r="F98" s="47"/>
      <c r="G98" s="47"/>
      <c r="H98" s="47"/>
      <c r="I98" s="47"/>
      <c r="J98" s="47"/>
      <c r="K98" s="47"/>
      <c r="L98" s="47"/>
      <c r="M98" s="47"/>
      <c r="N98" s="47"/>
      <c r="O98" s="47"/>
      <c r="P98" s="47"/>
      <c r="Q98" s="47"/>
      <c r="R98" s="47"/>
      <c r="S98" s="47"/>
      <c r="T98" s="47"/>
      <c r="U98" s="49" t="str">
        <f ca="1">IF(COUNTIF(OFFSET($E98,0,1):OFFSET(U98,0,-1),"=*")&gt;0,IF($C98="К","-"," - "),IF(COUNTIF(OFFSET($E98,0,1):OFFSET(U98,0,-1),"&lt;4")&gt;0,IF(C98="К","-"," - "),(IFERROR(AVERAGE(OFFSET($E98,0,1):OFFSET(U98,0,-1)),"Очікую"))))</f>
        <v>Очікую</v>
      </c>
      <c r="V98" s="49" t="str">
        <f t="shared" ca="1" si="1"/>
        <v>Очікую</v>
      </c>
      <c r="W98" s="36"/>
      <c r="X98" s="42"/>
    </row>
    <row r="99" spans="1:24" s="12" customFormat="1" ht="15" customHeight="1" x14ac:dyDescent="0.25">
      <c r="A99" s="43"/>
      <c r="B99" s="34"/>
      <c r="C99" s="47"/>
      <c r="D99" s="47">
        <v>90</v>
      </c>
      <c r="E99" s="48"/>
      <c r="F99" s="47"/>
      <c r="G99" s="47"/>
      <c r="H99" s="47"/>
      <c r="I99" s="47"/>
      <c r="J99" s="47"/>
      <c r="K99" s="47"/>
      <c r="L99" s="47"/>
      <c r="M99" s="47"/>
      <c r="N99" s="47"/>
      <c r="O99" s="47"/>
      <c r="P99" s="47"/>
      <c r="Q99" s="47"/>
      <c r="R99" s="47"/>
      <c r="S99" s="47"/>
      <c r="T99" s="47"/>
      <c r="U99" s="49" t="str">
        <f ca="1">IF(COUNTIF(OFFSET($E99,0,1):OFFSET(U99,0,-1),"=*")&gt;0,IF($C99="К","-"," - "),IF(COUNTIF(OFFSET($E99,0,1):OFFSET(U99,0,-1),"&lt;4")&gt;0,IF(C99="К","-"," - "),(IFERROR(AVERAGE(OFFSET($E99,0,1):OFFSET(U99,0,-1)),"Очікую"))))</f>
        <v>Очікую</v>
      </c>
      <c r="V99" s="49" t="str">
        <f t="shared" ca="1" si="1"/>
        <v>Очікую</v>
      </c>
      <c r="W99" s="36"/>
      <c r="X99" s="42"/>
    </row>
    <row r="100" spans="1:24" s="12" customFormat="1" ht="15" customHeight="1" x14ac:dyDescent="0.25">
      <c r="A100" s="43"/>
      <c r="B100" s="34"/>
      <c r="C100" s="47"/>
      <c r="D100" s="47">
        <v>91</v>
      </c>
      <c r="E100" s="48"/>
      <c r="F100" s="47"/>
      <c r="G100" s="47"/>
      <c r="H100" s="47"/>
      <c r="I100" s="47"/>
      <c r="J100" s="47"/>
      <c r="K100" s="47"/>
      <c r="L100" s="47"/>
      <c r="M100" s="47"/>
      <c r="N100" s="47"/>
      <c r="O100" s="47"/>
      <c r="P100" s="47"/>
      <c r="Q100" s="47"/>
      <c r="R100" s="47"/>
      <c r="S100" s="47"/>
      <c r="T100" s="47"/>
      <c r="U100" s="49" t="str">
        <f ca="1">IF(COUNTIF(OFFSET($E100,0,1):OFFSET(U100,0,-1),"=*")&gt;0,IF($C100="К","-"," - "),IF(COUNTIF(OFFSET($E100,0,1):OFFSET(U100,0,-1),"&lt;4")&gt;0,IF(C100="К","-"," - "),(IFERROR(AVERAGE(OFFSET($E100,0,1):OFFSET(U100,0,-1)),"Очікую"))))</f>
        <v>Очікую</v>
      </c>
      <c r="V100" s="49" t="str">
        <f t="shared" ca="1" si="1"/>
        <v>Очікую</v>
      </c>
      <c r="W100" s="36"/>
      <c r="X100" s="42"/>
    </row>
    <row r="101" spans="1:24" s="12" customFormat="1" ht="15" customHeight="1" x14ac:dyDescent="0.25">
      <c r="A101" s="43"/>
      <c r="B101" s="34"/>
      <c r="C101" s="47"/>
      <c r="D101" s="47">
        <v>92</v>
      </c>
      <c r="E101" s="48"/>
      <c r="F101" s="47"/>
      <c r="G101" s="47"/>
      <c r="H101" s="47"/>
      <c r="I101" s="47"/>
      <c r="J101" s="47"/>
      <c r="K101" s="47"/>
      <c r="L101" s="47"/>
      <c r="M101" s="47"/>
      <c r="N101" s="47"/>
      <c r="O101" s="47"/>
      <c r="P101" s="47"/>
      <c r="Q101" s="47"/>
      <c r="R101" s="47"/>
      <c r="S101" s="47"/>
      <c r="T101" s="47"/>
      <c r="U101" s="49" t="str">
        <f ca="1">IF(COUNTIF(OFFSET($E101,0,1):OFFSET(U101,0,-1),"=*")&gt;0,IF($C101="К","-"," - "),IF(COUNTIF(OFFSET($E101,0,1):OFFSET(U101,0,-1),"&lt;4")&gt;0,IF(C101="К","-"," - "),(IFERROR(AVERAGE(OFFSET($E101,0,1):OFFSET(U101,0,-1)),"Очікую"))))</f>
        <v>Очікую</v>
      </c>
      <c r="V101" s="49" t="str">
        <f t="shared" ca="1" si="1"/>
        <v>Очікую</v>
      </c>
      <c r="W101" s="36"/>
      <c r="X101" s="42"/>
    </row>
    <row r="102" spans="1:24" s="12" customFormat="1" ht="15" customHeight="1" x14ac:dyDescent="0.25">
      <c r="A102" s="43"/>
      <c r="B102" s="34"/>
      <c r="C102" s="47"/>
      <c r="D102" s="47">
        <v>93</v>
      </c>
      <c r="E102" s="48"/>
      <c r="F102" s="47"/>
      <c r="G102" s="47"/>
      <c r="H102" s="47"/>
      <c r="I102" s="47"/>
      <c r="J102" s="47"/>
      <c r="K102" s="47"/>
      <c r="L102" s="47"/>
      <c r="M102" s="47"/>
      <c r="N102" s="47"/>
      <c r="O102" s="47"/>
      <c r="P102" s="47"/>
      <c r="Q102" s="47"/>
      <c r="R102" s="47"/>
      <c r="S102" s="47"/>
      <c r="T102" s="47"/>
      <c r="U102" s="49" t="str">
        <f ca="1">IF(COUNTIF(OFFSET($E102,0,1):OFFSET(U102,0,-1),"=*")&gt;0,IF($C102="К","-"," - "),IF(COUNTIF(OFFSET($E102,0,1):OFFSET(U102,0,-1),"&lt;4")&gt;0,IF(C102="К","-"," - "),(IFERROR(AVERAGE(OFFSET($E102,0,1):OFFSET(U102,0,-1)),"Очікую"))))</f>
        <v>Очікую</v>
      </c>
      <c r="V102" s="49" t="str">
        <f t="shared" ca="1" si="1"/>
        <v>Очікую</v>
      </c>
      <c r="W102" s="36"/>
      <c r="X102" s="42"/>
    </row>
    <row r="103" spans="1:24" s="12" customFormat="1" ht="15" customHeight="1" x14ac:dyDescent="0.25">
      <c r="A103" s="43"/>
      <c r="B103" s="34"/>
      <c r="C103" s="47"/>
      <c r="D103" s="47">
        <v>94</v>
      </c>
      <c r="E103" s="48"/>
      <c r="F103" s="47"/>
      <c r="G103" s="47"/>
      <c r="H103" s="47"/>
      <c r="I103" s="47"/>
      <c r="J103" s="47"/>
      <c r="K103" s="47"/>
      <c r="L103" s="47"/>
      <c r="M103" s="47"/>
      <c r="N103" s="47"/>
      <c r="O103" s="47"/>
      <c r="P103" s="47"/>
      <c r="Q103" s="47"/>
      <c r="R103" s="47"/>
      <c r="S103" s="47"/>
      <c r="T103" s="47"/>
      <c r="U103" s="49" t="str">
        <f ca="1">IF(COUNTIF(OFFSET($E103,0,1):OFFSET(U103,0,-1),"=*")&gt;0,IF($C103="К","-"," - "),IF(COUNTIF(OFFSET($E103,0,1):OFFSET(U103,0,-1),"&lt;4")&gt;0,IF(C103="К","-"," - "),(IFERROR(AVERAGE(OFFSET($E103,0,1):OFFSET(U103,0,-1)),"Очікую"))))</f>
        <v>Очікую</v>
      </c>
      <c r="V103" s="49" t="str">
        <f t="shared" ca="1" si="1"/>
        <v>Очікую</v>
      </c>
      <c r="W103" s="36"/>
      <c r="X103" s="42"/>
    </row>
    <row r="104" spans="1:24" s="12" customFormat="1" ht="15" customHeight="1" x14ac:dyDescent="0.25">
      <c r="A104" s="43"/>
      <c r="B104" s="34"/>
      <c r="C104" s="47"/>
      <c r="D104" s="47">
        <v>95</v>
      </c>
      <c r="E104" s="48"/>
      <c r="F104" s="47"/>
      <c r="G104" s="47"/>
      <c r="H104" s="47"/>
      <c r="I104" s="47"/>
      <c r="J104" s="47"/>
      <c r="K104" s="47"/>
      <c r="L104" s="47"/>
      <c r="M104" s="47"/>
      <c r="N104" s="47"/>
      <c r="O104" s="47"/>
      <c r="P104" s="47"/>
      <c r="Q104" s="47"/>
      <c r="R104" s="47"/>
      <c r="S104" s="47"/>
      <c r="T104" s="47"/>
      <c r="U104" s="49" t="str">
        <f ca="1">IF(COUNTIF(OFFSET($E104,0,1):OFFSET(U104,0,-1),"=*")&gt;0,IF($C104="К","-"," - "),IF(COUNTIF(OFFSET($E104,0,1):OFFSET(U104,0,-1),"&lt;4")&gt;0,IF(C104="К","-"," - "),(IFERROR(AVERAGE(OFFSET($E104,0,1):OFFSET(U104,0,-1)),"Очікую"))))</f>
        <v>Очікую</v>
      </c>
      <c r="V104" s="49" t="str">
        <f t="shared" ca="1" si="1"/>
        <v>Очікую</v>
      </c>
      <c r="W104" s="36"/>
      <c r="X104" s="42"/>
    </row>
    <row r="105" spans="1:24" s="12" customFormat="1" ht="15" customHeight="1" x14ac:dyDescent="0.25">
      <c r="A105" s="43"/>
      <c r="B105" s="34"/>
      <c r="C105" s="47"/>
      <c r="D105" s="47">
        <v>96</v>
      </c>
      <c r="E105" s="48"/>
      <c r="F105" s="47"/>
      <c r="G105" s="47"/>
      <c r="H105" s="47"/>
      <c r="I105" s="47"/>
      <c r="J105" s="47"/>
      <c r="K105" s="47"/>
      <c r="L105" s="47"/>
      <c r="M105" s="47"/>
      <c r="N105" s="47"/>
      <c r="O105" s="47"/>
      <c r="P105" s="47"/>
      <c r="Q105" s="47"/>
      <c r="R105" s="47"/>
      <c r="S105" s="47"/>
      <c r="T105" s="47"/>
      <c r="U105" s="49" t="str">
        <f ca="1">IF(COUNTIF(OFFSET($E105,0,1):OFFSET(U105,0,-1),"=*")&gt;0,IF($C105="К","-"," - "),IF(COUNTIF(OFFSET($E105,0,1):OFFSET(U105,0,-1),"&lt;4")&gt;0,IF(C105="К","-"," - "),(IFERROR(AVERAGE(OFFSET($E105,0,1):OFFSET(U105,0,-1)),"Очікую"))))</f>
        <v>Очікую</v>
      </c>
      <c r="V105" s="49" t="str">
        <f t="shared" ca="1" si="1"/>
        <v>Очікую</v>
      </c>
      <c r="W105" s="36"/>
      <c r="X105" s="42"/>
    </row>
    <row r="106" spans="1:24" s="12" customFormat="1" ht="15" customHeight="1" x14ac:dyDescent="0.25">
      <c r="A106" s="43"/>
      <c r="B106" s="34"/>
      <c r="C106" s="47"/>
      <c r="D106" s="47">
        <v>97</v>
      </c>
      <c r="E106" s="48"/>
      <c r="F106" s="47"/>
      <c r="G106" s="47"/>
      <c r="H106" s="47"/>
      <c r="I106" s="47"/>
      <c r="J106" s="47"/>
      <c r="K106" s="47"/>
      <c r="L106" s="47"/>
      <c r="M106" s="47"/>
      <c r="N106" s="47"/>
      <c r="O106" s="47"/>
      <c r="P106" s="47"/>
      <c r="Q106" s="47"/>
      <c r="R106" s="47"/>
      <c r="S106" s="47"/>
      <c r="T106" s="47"/>
      <c r="U106" s="49" t="str">
        <f ca="1">IF(COUNTIF(OFFSET($E106,0,1):OFFSET(U106,0,-1),"=*")&gt;0,IF($C106="К","-"," - "),IF(COUNTIF(OFFSET($E106,0,1):OFFSET(U106,0,-1),"&lt;4")&gt;0,IF(C106="К","-"," - "),(IFERROR(AVERAGE(OFFSET($E106,0,1):OFFSET(U106,0,-1)),"Очікую"))))</f>
        <v>Очікую</v>
      </c>
      <c r="V106" s="49" t="str">
        <f t="shared" ca="1" si="1"/>
        <v>Очікую</v>
      </c>
      <c r="W106" s="36"/>
      <c r="X106" s="42"/>
    </row>
    <row r="107" spans="1:24" s="12" customFormat="1" ht="15" customHeight="1" x14ac:dyDescent="0.25">
      <c r="A107" s="43"/>
      <c r="B107" s="34"/>
      <c r="C107" s="47"/>
      <c r="D107" s="47">
        <v>98</v>
      </c>
      <c r="E107" s="48"/>
      <c r="F107" s="47"/>
      <c r="G107" s="47"/>
      <c r="H107" s="47"/>
      <c r="I107" s="47"/>
      <c r="J107" s="47"/>
      <c r="K107" s="47"/>
      <c r="L107" s="47"/>
      <c r="M107" s="47"/>
      <c r="N107" s="47"/>
      <c r="O107" s="47"/>
      <c r="P107" s="47"/>
      <c r="Q107" s="47"/>
      <c r="R107" s="47"/>
      <c r="S107" s="47"/>
      <c r="T107" s="47"/>
      <c r="U107" s="49" t="str">
        <f ca="1">IF(COUNTIF(OFFSET($E107,0,1):OFFSET(U107,0,-1),"=*")&gt;0,IF($C107="К","-"," - "),IF(COUNTIF(OFFSET($E107,0,1):OFFSET(U107,0,-1),"&lt;4")&gt;0,IF(C107="К","-"," - "),(IFERROR(AVERAGE(OFFSET($E107,0,1):OFFSET(U107,0,-1)),"Очікую"))))</f>
        <v>Очікую</v>
      </c>
      <c r="V107" s="49" t="str">
        <f t="shared" ca="1" si="1"/>
        <v>Очікую</v>
      </c>
      <c r="W107" s="36"/>
      <c r="X107" s="42"/>
    </row>
    <row r="108" spans="1:24" s="12" customFormat="1" ht="15" customHeight="1" x14ac:dyDescent="0.25">
      <c r="A108" s="43"/>
      <c r="B108" s="34"/>
      <c r="C108" s="47"/>
      <c r="D108" s="47">
        <v>99</v>
      </c>
      <c r="E108" s="48"/>
      <c r="F108" s="47"/>
      <c r="G108" s="47"/>
      <c r="H108" s="47"/>
      <c r="I108" s="47"/>
      <c r="J108" s="47"/>
      <c r="K108" s="47"/>
      <c r="L108" s="47"/>
      <c r="M108" s="47"/>
      <c r="N108" s="47"/>
      <c r="O108" s="47"/>
      <c r="P108" s="47"/>
      <c r="Q108" s="47"/>
      <c r="R108" s="47"/>
      <c r="S108" s="47"/>
      <c r="T108" s="47"/>
      <c r="U108" s="49" t="str">
        <f ca="1">IF(COUNTIF(OFFSET($E108,0,1):OFFSET(U108,0,-1),"=*")&gt;0,IF($C108="К","-"," - "),IF(COUNTIF(OFFSET($E108,0,1):OFFSET(U108,0,-1),"&lt;4")&gt;0,IF(C108="К","-"," - "),(IFERROR(AVERAGE(OFFSET($E108,0,1):OFFSET(U108,0,-1)),"Очікую"))))</f>
        <v>Очікую</v>
      </c>
      <c r="V108" s="49" t="str">
        <f t="shared" ca="1" si="1"/>
        <v>Очікую</v>
      </c>
      <c r="W108" s="36"/>
      <c r="X108" s="42"/>
    </row>
    <row r="109" spans="1:24" s="12" customFormat="1" ht="15" customHeight="1" x14ac:dyDescent="0.25">
      <c r="A109" s="43"/>
      <c r="B109" s="34"/>
      <c r="C109" s="47"/>
      <c r="D109" s="47">
        <v>100</v>
      </c>
      <c r="E109" s="48"/>
      <c r="F109" s="47"/>
      <c r="G109" s="47"/>
      <c r="H109" s="47"/>
      <c r="I109" s="47"/>
      <c r="J109" s="47"/>
      <c r="K109" s="47"/>
      <c r="L109" s="47"/>
      <c r="M109" s="47"/>
      <c r="N109" s="47"/>
      <c r="O109" s="47"/>
      <c r="P109" s="47"/>
      <c r="Q109" s="47"/>
      <c r="R109" s="47"/>
      <c r="S109" s="47"/>
      <c r="T109" s="47"/>
      <c r="U109" s="49" t="str">
        <f ca="1">IF(COUNTIF(OFFSET($E109,0,1):OFFSET(U109,0,-1),"=*")&gt;0,IF($C109="К","-"," - "),IF(COUNTIF(OFFSET($E109,0,1):OFFSET(U109,0,-1),"&lt;4")&gt;0,IF(C109="К","-"," - "),(IFERROR(AVERAGE(OFFSET($E109,0,1):OFFSET(U109,0,-1)),"Очікую"))))</f>
        <v>Очікую</v>
      </c>
      <c r="V109" s="49" t="str">
        <f t="shared" ca="1" si="1"/>
        <v>Очікую</v>
      </c>
      <c r="W109" s="36"/>
      <c r="X109" s="42"/>
    </row>
    <row r="110" spans="1:24" ht="15" customHeight="1" x14ac:dyDescent="0.25">
      <c r="A110" s="43"/>
      <c r="B110" s="34"/>
      <c r="C110" s="27"/>
      <c r="D110" s="27"/>
      <c r="E110" s="28" t="s">
        <v>9</v>
      </c>
      <c r="F110" s="5" t="str">
        <f ca="1">З3!F115</f>
        <v>Очікую</v>
      </c>
      <c r="G110" s="27"/>
      <c r="H110" s="29"/>
      <c r="I110" s="27"/>
      <c r="J110" s="27"/>
      <c r="K110" s="27"/>
      <c r="L110" s="27"/>
      <c r="M110" s="27"/>
      <c r="N110" s="27"/>
      <c r="O110" s="27"/>
      <c r="P110" s="30"/>
      <c r="Q110" s="29"/>
      <c r="R110" s="27"/>
      <c r="S110" s="27"/>
      <c r="T110" s="27"/>
      <c r="U110" s="27"/>
      <c r="V110" s="27"/>
      <c r="W110" s="35"/>
      <c r="X110" s="42"/>
    </row>
    <row r="111" spans="1:24" ht="15" customHeight="1" x14ac:dyDescent="0.25">
      <c r="A111" s="43"/>
      <c r="B111" s="34"/>
      <c r="C111" s="27"/>
      <c r="D111" s="27"/>
      <c r="E111" s="28" t="s">
        <v>10</v>
      </c>
      <c r="F111" s="5" t="str">
        <f ca="1">З3!F116</f>
        <v>Очікую</v>
      </c>
      <c r="G111" s="27"/>
      <c r="H111" s="78" t="s">
        <v>11</v>
      </c>
      <c r="I111" s="78"/>
      <c r="J111" s="78"/>
      <c r="K111" s="78"/>
      <c r="L111" s="78"/>
      <c r="M111" s="7"/>
      <c r="N111" s="7"/>
      <c r="O111" s="7"/>
      <c r="P111" s="79" t="s">
        <v>81</v>
      </c>
      <c r="Q111" s="79"/>
      <c r="R111" s="79"/>
      <c r="S111" s="79"/>
      <c r="T111" s="79"/>
      <c r="U111" s="79"/>
      <c r="V111" s="27"/>
      <c r="W111" s="35"/>
      <c r="X111" s="42"/>
    </row>
    <row r="112" spans="1:24" ht="15" customHeight="1" x14ac:dyDescent="0.25">
      <c r="A112" s="43"/>
      <c r="B112" s="34"/>
      <c r="C112" s="27"/>
      <c r="D112" s="27"/>
      <c r="E112" s="28" t="s">
        <v>12</v>
      </c>
      <c r="F112" s="5">
        <f>З3!F117</f>
        <v>0</v>
      </c>
      <c r="G112" s="27"/>
      <c r="H112" s="11"/>
      <c r="I112" s="7"/>
      <c r="J112" s="7"/>
      <c r="K112" s="7"/>
      <c r="L112" s="7"/>
      <c r="M112" s="7"/>
      <c r="N112" s="7"/>
      <c r="O112" s="7"/>
      <c r="P112" s="11"/>
      <c r="Q112" s="11"/>
      <c r="R112" s="7"/>
      <c r="S112" s="7"/>
      <c r="T112" s="7"/>
      <c r="U112" s="7"/>
      <c r="V112" s="27"/>
      <c r="W112" s="35"/>
      <c r="X112" s="42"/>
    </row>
    <row r="113" spans="1:24" ht="15" customHeight="1" x14ac:dyDescent="0.25">
      <c r="A113" s="43"/>
      <c r="B113" s="34"/>
      <c r="C113" s="27"/>
      <c r="D113" s="27"/>
      <c r="E113" s="28" t="s">
        <v>13</v>
      </c>
      <c r="F113" s="5" t="str">
        <f ca="1">З3!F118</f>
        <v>Очікую</v>
      </c>
      <c r="G113" s="27"/>
      <c r="H113" s="79" t="s">
        <v>14</v>
      </c>
      <c r="I113" s="79"/>
      <c r="J113" s="79"/>
      <c r="K113" s="79"/>
      <c r="L113" s="79"/>
      <c r="M113" s="7"/>
      <c r="N113" s="7"/>
      <c r="O113" s="7"/>
      <c r="P113" s="79" t="s">
        <v>15</v>
      </c>
      <c r="Q113" s="79"/>
      <c r="R113" s="79"/>
      <c r="S113" s="79"/>
      <c r="T113" s="79"/>
      <c r="U113" s="79"/>
      <c r="V113" s="27"/>
      <c r="W113" s="35"/>
      <c r="X113" s="42"/>
    </row>
    <row r="114" spans="1:24" ht="12" customHeight="1" thickBot="1" x14ac:dyDescent="0.3">
      <c r="A114" s="43"/>
      <c r="B114" s="37"/>
      <c r="C114" s="38"/>
      <c r="D114" s="38"/>
      <c r="E114" s="38"/>
      <c r="F114" s="38"/>
      <c r="G114" s="38"/>
      <c r="H114" s="38"/>
      <c r="I114" s="38"/>
      <c r="J114" s="38"/>
      <c r="K114" s="38"/>
      <c r="L114" s="38"/>
      <c r="M114" s="38"/>
      <c r="N114" s="38"/>
      <c r="O114" s="38"/>
      <c r="P114" s="38"/>
      <c r="Q114" s="38"/>
      <c r="R114" s="38"/>
      <c r="S114" s="38"/>
      <c r="T114" s="38"/>
      <c r="U114" s="38"/>
      <c r="V114" s="38"/>
      <c r="W114" s="39"/>
      <c r="X114" s="42"/>
    </row>
    <row r="115" spans="1:24" ht="12" customHeight="1" x14ac:dyDescent="0.25">
      <c r="A115" s="41"/>
      <c r="B115" s="17"/>
      <c r="C115" s="17"/>
      <c r="D115" s="17"/>
      <c r="E115" s="17"/>
      <c r="F115" s="17"/>
      <c r="G115" s="17"/>
      <c r="H115" s="17"/>
      <c r="I115" s="17"/>
      <c r="J115" s="17"/>
      <c r="K115" s="17"/>
      <c r="L115" s="17"/>
      <c r="M115" s="17"/>
      <c r="N115" s="17"/>
      <c r="O115" s="17"/>
      <c r="P115" s="17"/>
      <c r="Q115" s="17"/>
      <c r="R115" s="17"/>
      <c r="S115" s="17"/>
      <c r="T115" s="17"/>
      <c r="U115" s="17"/>
      <c r="V115" s="17"/>
      <c r="W115" s="17"/>
      <c r="X115" s="42"/>
    </row>
    <row r="116" spans="1:24" ht="0" hidden="1" customHeight="1" x14ac:dyDescent="0.25">
      <c r="A116" s="44"/>
      <c r="X116" s="44"/>
    </row>
    <row r="117" spans="1:24" ht="0" hidden="1" customHeight="1" x14ac:dyDescent="0.25">
      <c r="A117" s="44"/>
      <c r="X117" s="44"/>
    </row>
    <row r="118" spans="1:24" ht="0" hidden="1" customHeight="1" x14ac:dyDescent="0.25">
      <c r="A118" s="44"/>
      <c r="X118" s="44"/>
    </row>
    <row r="119" spans="1:24" ht="0" hidden="1" customHeight="1" x14ac:dyDescent="0.25">
      <c r="A119" s="44"/>
      <c r="X119" s="44"/>
    </row>
    <row r="120" spans="1:24" ht="0" hidden="1"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row>
  </sheetData>
  <sheetProtection insertRows="0" deleteRows="0"/>
  <mergeCells count="13">
    <mergeCell ref="H111:L111"/>
    <mergeCell ref="P111:U111"/>
    <mergeCell ref="H113:L113"/>
    <mergeCell ref="P113:U113"/>
    <mergeCell ref="C8:C9"/>
    <mergeCell ref="D8:D9"/>
    <mergeCell ref="E8:E9"/>
    <mergeCell ref="F8:V8"/>
    <mergeCell ref="C3:V3"/>
    <mergeCell ref="C4:V4"/>
    <mergeCell ref="C5:V5"/>
    <mergeCell ref="C6:V6"/>
    <mergeCell ref="C7:V7"/>
  </mergeCells>
  <printOptions horizontalCentered="1"/>
  <pageMargins left="0.19685039370078741" right="0.19685039370078741" top="0.19685039370078741" bottom="0.19685039370078741" header="0" footer="0"/>
  <pageSetup paperSize="9" scale="3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26B0A"/>
    <pageSetUpPr fitToPage="1"/>
  </sheetPr>
  <dimension ref="A1:BI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2" width="11.28515625" style="1" customWidth="1"/>
    <col min="23" max="24" width="2.7109375" style="1" customWidth="1"/>
    <col min="25" max="30" width="14.42578125" style="1" hidden="1" customWidth="1"/>
    <col min="31" max="31" width="14.85546875" style="1" hidden="1" customWidth="1"/>
    <col min="32" max="45" width="3.7109375" style="1" hidden="1" customWidth="1"/>
    <col min="46" max="61" width="5.7109375" style="1" hidden="1" customWidth="1"/>
    <col min="62" max="16384" width="14.42578125" style="1" hidden="1"/>
  </cols>
  <sheetData>
    <row r="1" spans="1:24"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c r="X1" s="41"/>
    </row>
    <row r="2" spans="1:24" ht="12" customHeight="1" x14ac:dyDescent="0.25">
      <c r="A2" s="43"/>
      <c r="B2" s="31"/>
      <c r="C2" s="32"/>
      <c r="D2" s="32"/>
      <c r="E2" s="32"/>
      <c r="F2" s="32"/>
      <c r="G2" s="32"/>
      <c r="H2" s="32"/>
      <c r="I2" s="32"/>
      <c r="J2" s="32"/>
      <c r="K2" s="32"/>
      <c r="L2" s="32"/>
      <c r="M2" s="32"/>
      <c r="N2" s="32"/>
      <c r="O2" s="32"/>
      <c r="P2" s="32"/>
      <c r="Q2" s="32"/>
      <c r="R2" s="32"/>
      <c r="S2" s="32"/>
      <c r="T2" s="32"/>
      <c r="U2" s="32"/>
      <c r="V2" s="32"/>
      <c r="W2" s="33"/>
      <c r="X2" s="42"/>
    </row>
    <row r="3" spans="1:24" s="2" customFormat="1" ht="54.95" customHeight="1" x14ac:dyDescent="0.3">
      <c r="A3" s="43"/>
      <c r="B3" s="34"/>
      <c r="C3" s="74" t="s">
        <v>19</v>
      </c>
      <c r="D3" s="74"/>
      <c r="E3" s="74"/>
      <c r="F3" s="74"/>
      <c r="G3" s="74"/>
      <c r="H3" s="74"/>
      <c r="I3" s="74"/>
      <c r="J3" s="74"/>
      <c r="K3" s="74"/>
      <c r="L3" s="74"/>
      <c r="M3" s="74"/>
      <c r="N3" s="74"/>
      <c r="O3" s="74"/>
      <c r="P3" s="74"/>
      <c r="Q3" s="74"/>
      <c r="R3" s="74"/>
      <c r="S3" s="74"/>
      <c r="T3" s="74"/>
      <c r="U3" s="74"/>
      <c r="V3" s="74"/>
      <c r="W3" s="35"/>
      <c r="X3" s="42"/>
    </row>
    <row r="4" spans="1:24" s="3" customFormat="1" ht="15" customHeight="1" x14ac:dyDescent="0.25">
      <c r="A4" s="43"/>
      <c r="B4" s="34"/>
      <c r="C4" s="75" t="s">
        <v>38</v>
      </c>
      <c r="D4" s="75"/>
      <c r="E4" s="75"/>
      <c r="F4" s="75"/>
      <c r="G4" s="75"/>
      <c r="H4" s="75"/>
      <c r="I4" s="75"/>
      <c r="J4" s="75"/>
      <c r="K4" s="75"/>
      <c r="L4" s="75"/>
      <c r="M4" s="75"/>
      <c r="N4" s="75"/>
      <c r="O4" s="75"/>
      <c r="P4" s="75"/>
      <c r="Q4" s="75"/>
      <c r="R4" s="75"/>
      <c r="S4" s="75"/>
      <c r="T4" s="75"/>
      <c r="U4" s="75"/>
      <c r="V4" s="75"/>
      <c r="W4" s="35"/>
      <c r="X4" s="42"/>
    </row>
    <row r="5" spans="1:24" s="2" customFormat="1" ht="15" customHeight="1" x14ac:dyDescent="0.25">
      <c r="A5" s="43"/>
      <c r="B5" s="34"/>
      <c r="C5" s="76" t="s">
        <v>35</v>
      </c>
      <c r="D5" s="76"/>
      <c r="E5" s="76"/>
      <c r="F5" s="76"/>
      <c r="G5" s="76"/>
      <c r="H5" s="76"/>
      <c r="I5" s="76"/>
      <c r="J5" s="76"/>
      <c r="K5" s="76"/>
      <c r="L5" s="76"/>
      <c r="M5" s="76"/>
      <c r="N5" s="76"/>
      <c r="O5" s="76"/>
      <c r="P5" s="76"/>
      <c r="Q5" s="76"/>
      <c r="R5" s="76"/>
      <c r="S5" s="76"/>
      <c r="T5" s="76"/>
      <c r="U5" s="76"/>
      <c r="V5" s="76"/>
      <c r="W5" s="35"/>
      <c r="X5" s="42"/>
    </row>
    <row r="6" spans="1:24" s="2" customFormat="1" ht="15" customHeight="1" x14ac:dyDescent="0.25">
      <c r="A6" s="43"/>
      <c r="B6" s="34"/>
      <c r="C6" s="76" t="s">
        <v>37</v>
      </c>
      <c r="D6" s="76"/>
      <c r="E6" s="76"/>
      <c r="F6" s="76"/>
      <c r="G6" s="76"/>
      <c r="H6" s="76"/>
      <c r="I6" s="76"/>
      <c r="J6" s="76"/>
      <c r="K6" s="76"/>
      <c r="L6" s="76"/>
      <c r="M6" s="76"/>
      <c r="N6" s="76"/>
      <c r="O6" s="76"/>
      <c r="P6" s="76"/>
      <c r="Q6" s="76"/>
      <c r="R6" s="76"/>
      <c r="S6" s="76"/>
      <c r="T6" s="76"/>
      <c r="U6" s="76"/>
      <c r="V6" s="76"/>
      <c r="W6" s="35"/>
      <c r="X6" s="42"/>
    </row>
    <row r="7" spans="1:24" s="2" customFormat="1" ht="15" customHeight="1" x14ac:dyDescent="0.25">
      <c r="A7" s="43"/>
      <c r="B7" s="34"/>
      <c r="C7" s="77" t="s">
        <v>36</v>
      </c>
      <c r="D7" s="77"/>
      <c r="E7" s="77"/>
      <c r="F7" s="77"/>
      <c r="G7" s="77"/>
      <c r="H7" s="77"/>
      <c r="I7" s="77"/>
      <c r="J7" s="77"/>
      <c r="K7" s="77"/>
      <c r="L7" s="77"/>
      <c r="M7" s="77"/>
      <c r="N7" s="77"/>
      <c r="O7" s="77"/>
      <c r="P7" s="77"/>
      <c r="Q7" s="77"/>
      <c r="R7" s="77"/>
      <c r="S7" s="77"/>
      <c r="T7" s="77"/>
      <c r="U7" s="77"/>
      <c r="V7" s="77"/>
      <c r="W7" s="35"/>
      <c r="X7" s="42"/>
    </row>
    <row r="8" spans="1:24" ht="15" customHeight="1" x14ac:dyDescent="0.25">
      <c r="A8" s="43"/>
      <c r="B8" s="34"/>
      <c r="C8" s="80" t="s">
        <v>0</v>
      </c>
      <c r="D8" s="82" t="s">
        <v>1</v>
      </c>
      <c r="E8" s="82" t="s">
        <v>2</v>
      </c>
      <c r="F8" s="81" t="s">
        <v>17</v>
      </c>
      <c r="G8" s="81"/>
      <c r="H8" s="81"/>
      <c r="I8" s="81"/>
      <c r="J8" s="81"/>
      <c r="K8" s="81"/>
      <c r="L8" s="81"/>
      <c r="M8" s="81"/>
      <c r="N8" s="81"/>
      <c r="O8" s="81"/>
      <c r="P8" s="81"/>
      <c r="Q8" s="81"/>
      <c r="R8" s="81"/>
      <c r="S8" s="81"/>
      <c r="T8" s="81"/>
      <c r="U8" s="81"/>
      <c r="V8" s="81"/>
      <c r="W8" s="35"/>
      <c r="X8" s="42"/>
    </row>
    <row r="9" spans="1:24" ht="125.1" customHeight="1" x14ac:dyDescent="0.25">
      <c r="A9" s="43"/>
      <c r="B9" s="34"/>
      <c r="C9" s="81"/>
      <c r="D9" s="81"/>
      <c r="E9" s="81"/>
      <c r="F9" s="25" t="s">
        <v>20</v>
      </c>
      <c r="G9" s="25" t="s">
        <v>21</v>
      </c>
      <c r="H9" s="25" t="s">
        <v>22</v>
      </c>
      <c r="I9" s="25" t="s">
        <v>23</v>
      </c>
      <c r="J9" s="25" t="s">
        <v>24</v>
      </c>
      <c r="K9" s="25" t="s">
        <v>25</v>
      </c>
      <c r="L9" s="25" t="s">
        <v>26</v>
      </c>
      <c r="M9" s="25" t="s">
        <v>27</v>
      </c>
      <c r="N9" s="25" t="s">
        <v>28</v>
      </c>
      <c r="O9" s="25" t="s">
        <v>29</v>
      </c>
      <c r="P9" s="25" t="s">
        <v>30</v>
      </c>
      <c r="Q9" s="25" t="s">
        <v>31</v>
      </c>
      <c r="R9" s="25" t="s">
        <v>32</v>
      </c>
      <c r="S9" s="25" t="s">
        <v>33</v>
      </c>
      <c r="T9" s="25" t="s">
        <v>34</v>
      </c>
      <c r="U9" s="26" t="s">
        <v>3</v>
      </c>
      <c r="V9" s="26" t="s">
        <v>39</v>
      </c>
      <c r="W9" s="35"/>
      <c r="X9" s="42"/>
    </row>
    <row r="10" spans="1:24" s="12" customFormat="1" ht="15" customHeight="1" x14ac:dyDescent="0.25">
      <c r="A10" s="43"/>
      <c r="B10" s="34"/>
      <c r="C10" s="47"/>
      <c r="D10" s="47">
        <v>1</v>
      </c>
      <c r="E10" s="48"/>
      <c r="F10" s="47"/>
      <c r="G10" s="47"/>
      <c r="H10" s="47"/>
      <c r="I10" s="47"/>
      <c r="J10" s="47"/>
      <c r="K10" s="47"/>
      <c r="L10" s="47"/>
      <c r="M10" s="47"/>
      <c r="N10" s="47"/>
      <c r="O10" s="47"/>
      <c r="P10" s="47"/>
      <c r="Q10" s="47"/>
      <c r="R10" s="47"/>
      <c r="S10" s="47"/>
      <c r="T10" s="47"/>
      <c r="U10" s="49" t="str">
        <f ca="1">IF(COUNTIF(OFFSET($E10,0,1):OFFSET(U10,0,-1),"=*")&gt;0,IF($C10="К","-"," - "),IF(COUNTIF(OFFSET($E10,0,1):OFFSET(U10,0,-1),"&lt;4")&gt;0,IF(C10="К","-"," - "),(IFERROR(AVERAGE(OFFSET($E10,0,1):OFFSET(U10,0,-1)),"Очікую"))))</f>
        <v>Очікую</v>
      </c>
      <c r="V10" s="49" t="str">
        <f ca="1">IFERROR(U10/12*90,"Очікую")</f>
        <v>Очікую</v>
      </c>
      <c r="W10" s="36"/>
      <c r="X10" s="42"/>
    </row>
    <row r="11" spans="1:24" s="12" customFormat="1" ht="15" customHeight="1" x14ac:dyDescent="0.25">
      <c r="A11" s="43"/>
      <c r="B11" s="34"/>
      <c r="C11" s="47"/>
      <c r="D11" s="47">
        <v>2</v>
      </c>
      <c r="E11" s="48"/>
      <c r="F11" s="47"/>
      <c r="G11" s="47"/>
      <c r="H11" s="47"/>
      <c r="I11" s="47"/>
      <c r="J11" s="47"/>
      <c r="K11" s="47"/>
      <c r="L11" s="47"/>
      <c r="M11" s="47"/>
      <c r="N11" s="47"/>
      <c r="O11" s="47"/>
      <c r="P11" s="47"/>
      <c r="Q11" s="47"/>
      <c r="R11" s="47"/>
      <c r="S11" s="47"/>
      <c r="T11" s="47"/>
      <c r="U11" s="49" t="str">
        <f ca="1">IF(COUNTIF(OFFSET($E11,0,1):OFFSET(U11,0,-1),"=*")&gt;0,IF($C11="К","-"," - "),IF(COUNTIF(OFFSET($E11,0,1):OFFSET(U11,0,-1),"&lt;4")&gt;0,IF(C11="К","-"," - "),(IFERROR(AVERAGE(OFFSET($E11,0,1):OFFSET(U11,0,-1)),"Очікую"))))</f>
        <v>Очікую</v>
      </c>
      <c r="V11" s="49" t="str">
        <f t="shared" ref="V11:V74" ca="1" si="0">IFERROR(U11/12*90,"Очікую")</f>
        <v>Очікую</v>
      </c>
      <c r="W11" s="36"/>
      <c r="X11" s="42"/>
    </row>
    <row r="12" spans="1:24" s="12" customFormat="1" ht="15" customHeight="1" x14ac:dyDescent="0.25">
      <c r="A12" s="43"/>
      <c r="B12" s="34"/>
      <c r="C12" s="47"/>
      <c r="D12" s="47">
        <v>3</v>
      </c>
      <c r="E12" s="48"/>
      <c r="F12" s="47"/>
      <c r="G12" s="47"/>
      <c r="H12" s="47"/>
      <c r="I12" s="47"/>
      <c r="J12" s="47"/>
      <c r="K12" s="47"/>
      <c r="L12" s="47"/>
      <c r="M12" s="47"/>
      <c r="N12" s="47"/>
      <c r="O12" s="47"/>
      <c r="P12" s="47"/>
      <c r="Q12" s="47"/>
      <c r="R12" s="47"/>
      <c r="S12" s="47"/>
      <c r="T12" s="47"/>
      <c r="U12" s="49" t="str">
        <f ca="1">IF(COUNTIF(OFFSET($E12,0,1):OFFSET(U12,0,-1),"=*")&gt;0,IF($C12="К","-"," - "),IF(COUNTIF(OFFSET($E12,0,1):OFFSET(U12,0,-1),"&lt;4")&gt;0,IF(C12="К","-"," - "),(IFERROR(AVERAGE(OFFSET($E12,0,1):OFFSET(U12,0,-1)),"Очікую"))))</f>
        <v>Очікую</v>
      </c>
      <c r="V12" s="49" t="str">
        <f t="shared" ca="1" si="0"/>
        <v>Очікую</v>
      </c>
      <c r="W12" s="36"/>
      <c r="X12" s="42"/>
    </row>
    <row r="13" spans="1:24" s="12" customFormat="1" ht="15" customHeight="1" x14ac:dyDescent="0.25">
      <c r="A13" s="43"/>
      <c r="B13" s="34"/>
      <c r="C13" s="47"/>
      <c r="D13" s="47">
        <v>4</v>
      </c>
      <c r="E13" s="48"/>
      <c r="F13" s="47"/>
      <c r="G13" s="47"/>
      <c r="H13" s="47"/>
      <c r="I13" s="47"/>
      <c r="J13" s="47"/>
      <c r="K13" s="47"/>
      <c r="L13" s="47"/>
      <c r="M13" s="47"/>
      <c r="N13" s="47"/>
      <c r="O13" s="47"/>
      <c r="P13" s="47"/>
      <c r="Q13" s="47"/>
      <c r="R13" s="47"/>
      <c r="S13" s="47"/>
      <c r="T13" s="47"/>
      <c r="U13" s="49" t="str">
        <f ca="1">IF(COUNTIF(OFFSET($E13,0,1):OFFSET(U13,0,-1),"=*")&gt;0,IF($C13="К","-"," - "),IF(COUNTIF(OFFSET($E13,0,1):OFFSET(U13,0,-1),"&lt;4")&gt;0,IF(C13="К","-"," - "),(IFERROR(AVERAGE(OFFSET($E13,0,1):OFFSET(U13,0,-1)),"Очікую"))))</f>
        <v>Очікую</v>
      </c>
      <c r="V13" s="49" t="str">
        <f t="shared" ca="1" si="0"/>
        <v>Очікую</v>
      </c>
      <c r="W13" s="36"/>
      <c r="X13" s="42"/>
    </row>
    <row r="14" spans="1:24" s="12" customFormat="1" ht="15" customHeight="1" x14ac:dyDescent="0.25">
      <c r="A14" s="43"/>
      <c r="B14" s="34"/>
      <c r="C14" s="47"/>
      <c r="D14" s="47">
        <v>5</v>
      </c>
      <c r="E14" s="48"/>
      <c r="F14" s="47"/>
      <c r="G14" s="47"/>
      <c r="H14" s="47"/>
      <c r="I14" s="47"/>
      <c r="J14" s="47"/>
      <c r="K14" s="47"/>
      <c r="L14" s="47"/>
      <c r="M14" s="47"/>
      <c r="N14" s="47"/>
      <c r="O14" s="47"/>
      <c r="P14" s="47"/>
      <c r="Q14" s="47"/>
      <c r="R14" s="47"/>
      <c r="S14" s="47"/>
      <c r="T14" s="47"/>
      <c r="U14" s="49" t="str">
        <f ca="1">IF(COUNTIF(OFFSET($E14,0,1):OFFSET(U14,0,-1),"=*")&gt;0,IF($C14="К","-"," - "),IF(COUNTIF(OFFSET($E14,0,1):OFFSET(U14,0,-1),"&lt;4")&gt;0,IF(C14="К","-"," - "),(IFERROR(AVERAGE(OFFSET($E14,0,1):OFFSET(U14,0,-1)),"Очікую"))))</f>
        <v>Очікую</v>
      </c>
      <c r="V14" s="49" t="str">
        <f t="shared" ca="1" si="0"/>
        <v>Очікую</v>
      </c>
      <c r="W14" s="36"/>
      <c r="X14" s="42"/>
    </row>
    <row r="15" spans="1:24" s="12" customFormat="1" ht="15" customHeight="1" x14ac:dyDescent="0.25">
      <c r="A15" s="43"/>
      <c r="B15" s="34"/>
      <c r="C15" s="47"/>
      <c r="D15" s="47">
        <v>6</v>
      </c>
      <c r="E15" s="48"/>
      <c r="F15" s="47"/>
      <c r="G15" s="47"/>
      <c r="H15" s="47"/>
      <c r="I15" s="47"/>
      <c r="J15" s="47"/>
      <c r="K15" s="47"/>
      <c r="L15" s="47"/>
      <c r="M15" s="47"/>
      <c r="N15" s="47"/>
      <c r="O15" s="47"/>
      <c r="P15" s="47"/>
      <c r="Q15" s="47"/>
      <c r="R15" s="47"/>
      <c r="S15" s="47"/>
      <c r="T15" s="47"/>
      <c r="U15" s="49" t="str">
        <f ca="1">IF(COUNTIF(OFFSET($E15,0,1):OFFSET(U15,0,-1),"=*")&gt;0,IF($C15="К","-"," - "),IF(COUNTIF(OFFSET($E15,0,1):OFFSET(U15,0,-1),"&lt;4")&gt;0,IF(C15="К","-"," - "),(IFERROR(AVERAGE(OFFSET($E15,0,1):OFFSET(U15,0,-1)),"Очікую"))))</f>
        <v>Очікую</v>
      </c>
      <c r="V15" s="49" t="str">
        <f t="shared" ca="1" si="0"/>
        <v>Очікую</v>
      </c>
      <c r="W15" s="36"/>
      <c r="X15" s="42"/>
    </row>
    <row r="16" spans="1:24" s="12" customFormat="1" ht="15" customHeight="1" x14ac:dyDescent="0.25">
      <c r="A16" s="43"/>
      <c r="B16" s="34"/>
      <c r="C16" s="47"/>
      <c r="D16" s="47">
        <v>7</v>
      </c>
      <c r="E16" s="48"/>
      <c r="F16" s="47"/>
      <c r="G16" s="47"/>
      <c r="H16" s="47"/>
      <c r="I16" s="47"/>
      <c r="J16" s="47"/>
      <c r="K16" s="47"/>
      <c r="L16" s="47"/>
      <c r="M16" s="47"/>
      <c r="N16" s="47"/>
      <c r="O16" s="47"/>
      <c r="P16" s="47"/>
      <c r="Q16" s="47"/>
      <c r="R16" s="47"/>
      <c r="S16" s="47"/>
      <c r="T16" s="47"/>
      <c r="U16" s="49" t="str">
        <f ca="1">IF(COUNTIF(OFFSET($E16,0,1):OFFSET(U16,0,-1),"=*")&gt;0,IF($C16="К","-"," - "),IF(COUNTIF(OFFSET($E16,0,1):OFFSET(U16,0,-1),"&lt;4")&gt;0,IF(C16="К","-"," - "),(IFERROR(AVERAGE(OFFSET($E16,0,1):OFFSET(U16,0,-1)),"Очікую"))))</f>
        <v>Очікую</v>
      </c>
      <c r="V16" s="49" t="str">
        <f t="shared" ca="1" si="0"/>
        <v>Очікую</v>
      </c>
      <c r="W16" s="36"/>
      <c r="X16" s="42"/>
    </row>
    <row r="17" spans="1:24" s="12" customFormat="1" ht="15" customHeight="1" x14ac:dyDescent="0.25">
      <c r="A17" s="43"/>
      <c r="B17" s="34"/>
      <c r="C17" s="47"/>
      <c r="D17" s="47">
        <v>8</v>
      </c>
      <c r="E17" s="48"/>
      <c r="F17" s="47"/>
      <c r="G17" s="47"/>
      <c r="H17" s="47"/>
      <c r="I17" s="47"/>
      <c r="J17" s="47"/>
      <c r="K17" s="47"/>
      <c r="L17" s="47"/>
      <c r="M17" s="47"/>
      <c r="N17" s="47"/>
      <c r="O17" s="47"/>
      <c r="P17" s="47"/>
      <c r="Q17" s="47"/>
      <c r="R17" s="47"/>
      <c r="S17" s="47"/>
      <c r="T17" s="47"/>
      <c r="U17" s="49" t="str">
        <f ca="1">IF(COUNTIF(OFFSET($E17,0,1):OFFSET(U17,0,-1),"=*")&gt;0,IF($C17="К","-"," - "),IF(COUNTIF(OFFSET($E17,0,1):OFFSET(U17,0,-1),"&lt;4")&gt;0,IF(C17="К","-"," - "),(IFERROR(AVERAGE(OFFSET($E17,0,1):OFFSET(U17,0,-1)),"Очікую"))))</f>
        <v>Очікую</v>
      </c>
      <c r="V17" s="49" t="str">
        <f t="shared" ca="1" si="0"/>
        <v>Очікую</v>
      </c>
      <c r="W17" s="36"/>
      <c r="X17" s="42"/>
    </row>
    <row r="18" spans="1:24" s="12" customFormat="1" ht="15" customHeight="1" x14ac:dyDescent="0.25">
      <c r="A18" s="43"/>
      <c r="B18" s="34"/>
      <c r="C18" s="47"/>
      <c r="D18" s="47">
        <v>9</v>
      </c>
      <c r="E18" s="48"/>
      <c r="F18" s="47"/>
      <c r="G18" s="47"/>
      <c r="H18" s="47"/>
      <c r="I18" s="47"/>
      <c r="J18" s="47"/>
      <c r="K18" s="47"/>
      <c r="L18" s="47"/>
      <c r="M18" s="47"/>
      <c r="N18" s="47"/>
      <c r="O18" s="47"/>
      <c r="P18" s="47"/>
      <c r="Q18" s="47"/>
      <c r="R18" s="47"/>
      <c r="S18" s="47"/>
      <c r="T18" s="47"/>
      <c r="U18" s="49" t="str">
        <f ca="1">IF(COUNTIF(OFFSET($E18,0,1):OFFSET(U18,0,-1),"=*")&gt;0,IF($C18="К","-"," - "),IF(COUNTIF(OFFSET($E18,0,1):OFFSET(U18,0,-1),"&lt;4")&gt;0,IF(C18="К","-"," - "),(IFERROR(AVERAGE(OFFSET($E18,0,1):OFFSET(U18,0,-1)),"Очікую"))))</f>
        <v>Очікую</v>
      </c>
      <c r="V18" s="49" t="str">
        <f t="shared" ca="1" si="0"/>
        <v>Очікую</v>
      </c>
      <c r="W18" s="36"/>
      <c r="X18" s="42"/>
    </row>
    <row r="19" spans="1:24" s="12" customFormat="1" ht="15" customHeight="1" x14ac:dyDescent="0.25">
      <c r="A19" s="43"/>
      <c r="B19" s="34"/>
      <c r="C19" s="47"/>
      <c r="D19" s="47">
        <v>10</v>
      </c>
      <c r="E19" s="48"/>
      <c r="F19" s="47"/>
      <c r="G19" s="47"/>
      <c r="H19" s="47"/>
      <c r="I19" s="47"/>
      <c r="J19" s="47"/>
      <c r="K19" s="47"/>
      <c r="L19" s="47"/>
      <c r="M19" s="47"/>
      <c r="N19" s="47"/>
      <c r="O19" s="47"/>
      <c r="P19" s="47"/>
      <c r="Q19" s="47"/>
      <c r="R19" s="47"/>
      <c r="S19" s="47"/>
      <c r="T19" s="47"/>
      <c r="U19" s="49" t="str">
        <f ca="1">IF(COUNTIF(OFFSET($E19,0,1):OFFSET(U19,0,-1),"=*")&gt;0,IF($C19="К","-"," - "),IF(COUNTIF(OFFSET($E19,0,1):OFFSET(U19,0,-1),"&lt;4")&gt;0,IF(C19="К","-"," - "),(IFERROR(AVERAGE(OFFSET($E19,0,1):OFFSET(U19,0,-1)),"Очікую"))))</f>
        <v>Очікую</v>
      </c>
      <c r="V19" s="49" t="str">
        <f t="shared" ca="1" si="0"/>
        <v>Очікую</v>
      </c>
      <c r="W19" s="36"/>
      <c r="X19" s="42"/>
    </row>
    <row r="20" spans="1:24" s="12" customFormat="1" ht="15" customHeight="1" x14ac:dyDescent="0.25">
      <c r="A20" s="43"/>
      <c r="B20" s="34"/>
      <c r="C20" s="47"/>
      <c r="D20" s="47">
        <v>11</v>
      </c>
      <c r="E20" s="48"/>
      <c r="F20" s="47"/>
      <c r="G20" s="47"/>
      <c r="H20" s="47"/>
      <c r="I20" s="47"/>
      <c r="J20" s="47"/>
      <c r="K20" s="47"/>
      <c r="L20" s="47"/>
      <c r="M20" s="47"/>
      <c r="N20" s="47"/>
      <c r="O20" s="47"/>
      <c r="P20" s="47"/>
      <c r="Q20" s="47"/>
      <c r="R20" s="47"/>
      <c r="S20" s="47"/>
      <c r="T20" s="47"/>
      <c r="U20" s="49" t="str">
        <f ca="1">IF(COUNTIF(OFFSET($E20,0,1):OFFSET(U20,0,-1),"=*")&gt;0,IF($C20="К","-"," - "),IF(COUNTIF(OFFSET($E20,0,1):OFFSET(U20,0,-1),"&lt;4")&gt;0,IF(C20="К","-"," - "),(IFERROR(AVERAGE(OFFSET($E20,0,1):OFFSET(U20,0,-1)),"Очікую"))))</f>
        <v>Очікую</v>
      </c>
      <c r="V20" s="49" t="str">
        <f t="shared" ca="1" si="0"/>
        <v>Очікую</v>
      </c>
      <c r="W20" s="36"/>
      <c r="X20" s="42"/>
    </row>
    <row r="21" spans="1:24" s="12" customFormat="1" ht="15" customHeight="1" x14ac:dyDescent="0.25">
      <c r="A21" s="43"/>
      <c r="B21" s="34"/>
      <c r="C21" s="47"/>
      <c r="D21" s="47">
        <v>12</v>
      </c>
      <c r="E21" s="48"/>
      <c r="F21" s="47"/>
      <c r="G21" s="47"/>
      <c r="H21" s="47"/>
      <c r="I21" s="47"/>
      <c r="J21" s="47"/>
      <c r="K21" s="47"/>
      <c r="L21" s="47"/>
      <c r="M21" s="47"/>
      <c r="N21" s="47"/>
      <c r="O21" s="47"/>
      <c r="P21" s="47"/>
      <c r="Q21" s="47"/>
      <c r="R21" s="47"/>
      <c r="S21" s="47"/>
      <c r="T21" s="47"/>
      <c r="U21" s="49" t="str">
        <f ca="1">IF(COUNTIF(OFFSET($E21,0,1):OFFSET(U21,0,-1),"=*")&gt;0,IF($C21="К","-"," - "),IF(COUNTIF(OFFSET($E21,0,1):OFFSET(U21,0,-1),"&lt;4")&gt;0,IF(C21="К","-"," - "),(IFERROR(AVERAGE(OFFSET($E21,0,1):OFFSET(U21,0,-1)),"Очікую"))))</f>
        <v>Очікую</v>
      </c>
      <c r="V21" s="49" t="str">
        <f t="shared" ca="1" si="0"/>
        <v>Очікую</v>
      </c>
      <c r="W21" s="36"/>
      <c r="X21" s="42"/>
    </row>
    <row r="22" spans="1:24" s="12" customFormat="1" ht="15" customHeight="1" x14ac:dyDescent="0.25">
      <c r="A22" s="43"/>
      <c r="B22" s="34"/>
      <c r="C22" s="47"/>
      <c r="D22" s="47">
        <v>13</v>
      </c>
      <c r="E22" s="48"/>
      <c r="F22" s="47"/>
      <c r="G22" s="47"/>
      <c r="H22" s="47"/>
      <c r="I22" s="47"/>
      <c r="J22" s="47"/>
      <c r="K22" s="47"/>
      <c r="L22" s="47"/>
      <c r="M22" s="47"/>
      <c r="N22" s="47"/>
      <c r="O22" s="47"/>
      <c r="P22" s="47"/>
      <c r="Q22" s="47"/>
      <c r="R22" s="47"/>
      <c r="S22" s="47"/>
      <c r="T22" s="47"/>
      <c r="U22" s="49" t="str">
        <f ca="1">IF(COUNTIF(OFFSET($E22,0,1):OFFSET(U22,0,-1),"=*")&gt;0,IF($C22="К","-"," - "),IF(COUNTIF(OFFSET($E22,0,1):OFFSET(U22,0,-1),"&lt;4")&gt;0,IF(C22="К","-"," - "),(IFERROR(AVERAGE(OFFSET($E22,0,1):OFFSET(U22,0,-1)),"Очікую"))))</f>
        <v>Очікую</v>
      </c>
      <c r="V22" s="49" t="str">
        <f t="shared" ca="1" si="0"/>
        <v>Очікую</v>
      </c>
      <c r="W22" s="36"/>
      <c r="X22" s="42"/>
    </row>
    <row r="23" spans="1:24" s="12" customFormat="1" ht="15" customHeight="1" x14ac:dyDescent="0.25">
      <c r="A23" s="43"/>
      <c r="B23" s="34"/>
      <c r="C23" s="47"/>
      <c r="D23" s="47">
        <v>14</v>
      </c>
      <c r="E23" s="48"/>
      <c r="F23" s="47"/>
      <c r="G23" s="47"/>
      <c r="H23" s="47"/>
      <c r="I23" s="47"/>
      <c r="J23" s="47"/>
      <c r="K23" s="47"/>
      <c r="L23" s="47"/>
      <c r="M23" s="47"/>
      <c r="N23" s="47"/>
      <c r="O23" s="47"/>
      <c r="P23" s="47"/>
      <c r="Q23" s="47"/>
      <c r="R23" s="47"/>
      <c r="S23" s="47"/>
      <c r="T23" s="47"/>
      <c r="U23" s="49" t="str">
        <f ca="1">IF(COUNTIF(OFFSET($E23,0,1):OFFSET(U23,0,-1),"=*")&gt;0,IF($C23="К","-"," - "),IF(COUNTIF(OFFSET($E23,0,1):OFFSET(U23,0,-1),"&lt;4")&gt;0,IF(C23="К","-"," - "),(IFERROR(AVERAGE(OFFSET($E23,0,1):OFFSET(U23,0,-1)),"Очікую"))))</f>
        <v>Очікую</v>
      </c>
      <c r="V23" s="49" t="str">
        <f t="shared" ca="1" si="0"/>
        <v>Очікую</v>
      </c>
      <c r="W23" s="36"/>
      <c r="X23" s="42"/>
    </row>
    <row r="24" spans="1:24" s="12" customFormat="1" ht="15" customHeight="1" x14ac:dyDescent="0.25">
      <c r="A24" s="43"/>
      <c r="B24" s="34"/>
      <c r="C24" s="47"/>
      <c r="D24" s="47">
        <v>15</v>
      </c>
      <c r="E24" s="48"/>
      <c r="F24" s="47"/>
      <c r="G24" s="47"/>
      <c r="H24" s="47"/>
      <c r="I24" s="47"/>
      <c r="J24" s="47"/>
      <c r="K24" s="47"/>
      <c r="L24" s="47"/>
      <c r="M24" s="47"/>
      <c r="N24" s="47"/>
      <c r="O24" s="47"/>
      <c r="P24" s="47"/>
      <c r="Q24" s="47"/>
      <c r="R24" s="47"/>
      <c r="S24" s="47"/>
      <c r="T24" s="47"/>
      <c r="U24" s="49" t="str">
        <f ca="1">IF(COUNTIF(OFFSET($E24,0,1):OFFSET(U24,0,-1),"=*")&gt;0,IF($C24="К","-"," - "),IF(COUNTIF(OFFSET($E24,0,1):OFFSET(U24,0,-1),"&lt;4")&gt;0,IF(C24="К","-"," - "),(IFERROR(AVERAGE(OFFSET($E24,0,1):OFFSET(U24,0,-1)),"Очікую"))))</f>
        <v>Очікую</v>
      </c>
      <c r="V24" s="49" t="str">
        <f t="shared" ca="1" si="0"/>
        <v>Очікую</v>
      </c>
      <c r="W24" s="36"/>
      <c r="X24" s="42"/>
    </row>
    <row r="25" spans="1:24" s="12" customFormat="1" ht="15" customHeight="1" x14ac:dyDescent="0.25">
      <c r="A25" s="43"/>
      <c r="B25" s="34"/>
      <c r="C25" s="47"/>
      <c r="D25" s="47">
        <v>16</v>
      </c>
      <c r="E25" s="48"/>
      <c r="F25" s="47"/>
      <c r="G25" s="47"/>
      <c r="H25" s="47"/>
      <c r="I25" s="47"/>
      <c r="J25" s="47"/>
      <c r="K25" s="47"/>
      <c r="L25" s="47"/>
      <c r="M25" s="47"/>
      <c r="N25" s="47"/>
      <c r="O25" s="47"/>
      <c r="P25" s="47"/>
      <c r="Q25" s="47"/>
      <c r="R25" s="47"/>
      <c r="S25" s="47"/>
      <c r="T25" s="47"/>
      <c r="U25" s="49" t="str">
        <f ca="1">IF(COUNTIF(OFFSET($E25,0,1):OFFSET(U25,0,-1),"=*")&gt;0,IF($C25="К","-"," - "),IF(COUNTIF(OFFSET($E25,0,1):OFFSET(U25,0,-1),"&lt;4")&gt;0,IF(C25="К","-"," - "),(IFERROR(AVERAGE(OFFSET($E25,0,1):OFFSET(U25,0,-1)),"Очікую"))))</f>
        <v>Очікую</v>
      </c>
      <c r="V25" s="49" t="str">
        <f t="shared" ca="1" si="0"/>
        <v>Очікую</v>
      </c>
      <c r="W25" s="36"/>
      <c r="X25" s="42"/>
    </row>
    <row r="26" spans="1:24" s="12" customFormat="1" ht="15" customHeight="1" x14ac:dyDescent="0.25">
      <c r="A26" s="43"/>
      <c r="B26" s="34"/>
      <c r="C26" s="47"/>
      <c r="D26" s="47">
        <v>17</v>
      </c>
      <c r="E26" s="48"/>
      <c r="F26" s="47"/>
      <c r="G26" s="47"/>
      <c r="H26" s="47"/>
      <c r="I26" s="47"/>
      <c r="J26" s="47"/>
      <c r="K26" s="47"/>
      <c r="L26" s="47"/>
      <c r="M26" s="47"/>
      <c r="N26" s="47"/>
      <c r="O26" s="47"/>
      <c r="P26" s="47"/>
      <c r="Q26" s="47"/>
      <c r="R26" s="47"/>
      <c r="S26" s="47"/>
      <c r="T26" s="47"/>
      <c r="U26" s="49" t="str">
        <f ca="1">IF(COUNTIF(OFFSET($E26,0,1):OFFSET(U26,0,-1),"=*")&gt;0,IF($C26="К","-"," - "),IF(COUNTIF(OFFSET($E26,0,1):OFFSET(U26,0,-1),"&lt;4")&gt;0,IF(C26="К","-"," - "),(IFERROR(AVERAGE(OFFSET($E26,0,1):OFFSET(U26,0,-1)),"Очікую"))))</f>
        <v>Очікую</v>
      </c>
      <c r="V26" s="49" t="str">
        <f t="shared" ca="1" si="0"/>
        <v>Очікую</v>
      </c>
      <c r="W26" s="36"/>
      <c r="X26" s="42"/>
    </row>
    <row r="27" spans="1:24" s="12" customFormat="1" ht="15" customHeight="1" x14ac:dyDescent="0.25">
      <c r="A27" s="43"/>
      <c r="B27" s="34"/>
      <c r="C27" s="47"/>
      <c r="D27" s="47">
        <v>18</v>
      </c>
      <c r="E27" s="48"/>
      <c r="F27" s="47"/>
      <c r="G27" s="47"/>
      <c r="H27" s="47"/>
      <c r="I27" s="47"/>
      <c r="J27" s="47"/>
      <c r="K27" s="47"/>
      <c r="L27" s="47"/>
      <c r="M27" s="47"/>
      <c r="N27" s="47"/>
      <c r="O27" s="47"/>
      <c r="P27" s="47"/>
      <c r="Q27" s="47"/>
      <c r="R27" s="47"/>
      <c r="S27" s="47"/>
      <c r="T27" s="47"/>
      <c r="U27" s="49" t="str">
        <f ca="1">IF(COUNTIF(OFFSET($E27,0,1):OFFSET(U27,0,-1),"=*")&gt;0,IF($C27="К","-"," - "),IF(COUNTIF(OFFSET($E27,0,1):OFFSET(U27,0,-1),"&lt;4")&gt;0,IF(C27="К","-"," - "),(IFERROR(AVERAGE(OFFSET($E27,0,1):OFFSET(U27,0,-1)),"Очікую"))))</f>
        <v>Очікую</v>
      </c>
      <c r="V27" s="49" t="str">
        <f t="shared" ca="1" si="0"/>
        <v>Очікую</v>
      </c>
      <c r="W27" s="36"/>
      <c r="X27" s="42"/>
    </row>
    <row r="28" spans="1:24" s="12" customFormat="1" ht="15" customHeight="1" x14ac:dyDescent="0.25">
      <c r="A28" s="43"/>
      <c r="B28" s="34"/>
      <c r="C28" s="47"/>
      <c r="D28" s="47">
        <v>19</v>
      </c>
      <c r="E28" s="48"/>
      <c r="F28" s="47"/>
      <c r="G28" s="47"/>
      <c r="H28" s="47"/>
      <c r="I28" s="47"/>
      <c r="J28" s="47"/>
      <c r="K28" s="47"/>
      <c r="L28" s="47"/>
      <c r="M28" s="47"/>
      <c r="N28" s="47"/>
      <c r="O28" s="47"/>
      <c r="P28" s="47"/>
      <c r="Q28" s="47"/>
      <c r="R28" s="47"/>
      <c r="S28" s="47"/>
      <c r="T28" s="47"/>
      <c r="U28" s="49" t="str">
        <f ca="1">IF(COUNTIF(OFFSET($E28,0,1):OFFSET(U28,0,-1),"=*")&gt;0,IF($C28="К","-"," - "),IF(COUNTIF(OFFSET($E28,0,1):OFFSET(U28,0,-1),"&lt;4")&gt;0,IF(C28="К","-"," - "),(IFERROR(AVERAGE(OFFSET($E28,0,1):OFFSET(U28,0,-1)),"Очікую"))))</f>
        <v>Очікую</v>
      </c>
      <c r="V28" s="49" t="str">
        <f t="shared" ca="1" si="0"/>
        <v>Очікую</v>
      </c>
      <c r="W28" s="36"/>
      <c r="X28" s="42"/>
    </row>
    <row r="29" spans="1:24" s="12" customFormat="1" ht="15" customHeight="1" x14ac:dyDescent="0.25">
      <c r="A29" s="43"/>
      <c r="B29" s="34"/>
      <c r="C29" s="47"/>
      <c r="D29" s="47">
        <v>20</v>
      </c>
      <c r="E29" s="48"/>
      <c r="F29" s="47"/>
      <c r="G29" s="47"/>
      <c r="H29" s="47"/>
      <c r="I29" s="47"/>
      <c r="J29" s="47"/>
      <c r="K29" s="47"/>
      <c r="L29" s="47"/>
      <c r="M29" s="47"/>
      <c r="N29" s="47"/>
      <c r="O29" s="47"/>
      <c r="P29" s="47"/>
      <c r="Q29" s="47"/>
      <c r="R29" s="47"/>
      <c r="S29" s="47"/>
      <c r="T29" s="47"/>
      <c r="U29" s="49" t="str">
        <f ca="1">IF(COUNTIF(OFFSET($E29,0,1):OFFSET(U29,0,-1),"=*")&gt;0,IF($C29="К","-"," - "),IF(COUNTIF(OFFSET($E29,0,1):OFFSET(U29,0,-1),"&lt;4")&gt;0,IF(C29="К","-"," - "),(IFERROR(AVERAGE(OFFSET($E29,0,1):OFFSET(U29,0,-1)),"Очікую"))))</f>
        <v>Очікую</v>
      </c>
      <c r="V29" s="49" t="str">
        <f t="shared" ca="1" si="0"/>
        <v>Очікую</v>
      </c>
      <c r="W29" s="36"/>
      <c r="X29" s="42"/>
    </row>
    <row r="30" spans="1:24" s="12" customFormat="1" ht="15" customHeight="1" x14ac:dyDescent="0.25">
      <c r="A30" s="43"/>
      <c r="B30" s="34"/>
      <c r="C30" s="47"/>
      <c r="D30" s="47">
        <v>21</v>
      </c>
      <c r="E30" s="48"/>
      <c r="F30" s="47"/>
      <c r="G30" s="47"/>
      <c r="H30" s="47"/>
      <c r="I30" s="47"/>
      <c r="J30" s="47"/>
      <c r="K30" s="47"/>
      <c r="L30" s="47"/>
      <c r="M30" s="47"/>
      <c r="N30" s="47"/>
      <c r="O30" s="47"/>
      <c r="P30" s="47"/>
      <c r="Q30" s="47"/>
      <c r="R30" s="47"/>
      <c r="S30" s="47"/>
      <c r="T30" s="47"/>
      <c r="U30" s="49" t="str">
        <f ca="1">IF(COUNTIF(OFFSET($E30,0,1):OFFSET(U30,0,-1),"=*")&gt;0,IF($C30="К","-"," - "),IF(COUNTIF(OFFSET($E30,0,1):OFFSET(U30,0,-1),"&lt;4")&gt;0,IF(C30="К","-"," - "),(IFERROR(AVERAGE(OFFSET($E30,0,1):OFFSET(U30,0,-1)),"Очікую"))))</f>
        <v>Очікую</v>
      </c>
      <c r="V30" s="49" t="str">
        <f t="shared" ca="1" si="0"/>
        <v>Очікую</v>
      </c>
      <c r="W30" s="36"/>
      <c r="X30" s="42"/>
    </row>
    <row r="31" spans="1:24" s="12" customFormat="1" ht="15" customHeight="1" x14ac:dyDescent="0.25">
      <c r="A31" s="43"/>
      <c r="B31" s="34"/>
      <c r="C31" s="47"/>
      <c r="D31" s="47">
        <v>22</v>
      </c>
      <c r="E31" s="48"/>
      <c r="F31" s="47"/>
      <c r="G31" s="47"/>
      <c r="H31" s="47"/>
      <c r="I31" s="47"/>
      <c r="J31" s="47"/>
      <c r="K31" s="47"/>
      <c r="L31" s="47"/>
      <c r="M31" s="47"/>
      <c r="N31" s="47"/>
      <c r="O31" s="47"/>
      <c r="P31" s="47"/>
      <c r="Q31" s="47"/>
      <c r="R31" s="47"/>
      <c r="S31" s="47"/>
      <c r="T31" s="47"/>
      <c r="U31" s="49" t="str">
        <f ca="1">IF(COUNTIF(OFFSET($E31,0,1):OFFSET(U31,0,-1),"=*")&gt;0,IF($C31="К","-"," - "),IF(COUNTIF(OFFSET($E31,0,1):OFFSET(U31,0,-1),"&lt;4")&gt;0,IF(C31="К","-"," - "),(IFERROR(AVERAGE(OFFSET($E31,0,1):OFFSET(U31,0,-1)),"Очікую"))))</f>
        <v>Очікую</v>
      </c>
      <c r="V31" s="49" t="str">
        <f t="shared" ca="1" si="0"/>
        <v>Очікую</v>
      </c>
      <c r="W31" s="36"/>
      <c r="X31" s="42"/>
    </row>
    <row r="32" spans="1:24" s="12" customFormat="1" ht="15" customHeight="1" x14ac:dyDescent="0.25">
      <c r="A32" s="43"/>
      <c r="B32" s="34"/>
      <c r="C32" s="47"/>
      <c r="D32" s="47">
        <v>23</v>
      </c>
      <c r="E32" s="48"/>
      <c r="F32" s="47"/>
      <c r="G32" s="47"/>
      <c r="H32" s="47"/>
      <c r="I32" s="47"/>
      <c r="J32" s="47"/>
      <c r="K32" s="47"/>
      <c r="L32" s="47"/>
      <c r="M32" s="47"/>
      <c r="N32" s="47"/>
      <c r="O32" s="47"/>
      <c r="P32" s="47"/>
      <c r="Q32" s="47"/>
      <c r="R32" s="47"/>
      <c r="S32" s="47"/>
      <c r="T32" s="47"/>
      <c r="U32" s="49" t="str">
        <f ca="1">IF(COUNTIF(OFFSET($E32,0,1):OFFSET(U32,0,-1),"=*")&gt;0,IF($C32="К","-"," - "),IF(COUNTIF(OFFSET($E32,0,1):OFFSET(U32,0,-1),"&lt;4")&gt;0,IF(C32="К","-"," - "),(IFERROR(AVERAGE(OFFSET($E32,0,1):OFFSET(U32,0,-1)),"Очікую"))))</f>
        <v>Очікую</v>
      </c>
      <c r="V32" s="49" t="str">
        <f t="shared" ca="1" si="0"/>
        <v>Очікую</v>
      </c>
      <c r="W32" s="36"/>
      <c r="X32" s="42"/>
    </row>
    <row r="33" spans="1:24" s="12" customFormat="1" ht="15" customHeight="1" x14ac:dyDescent="0.25">
      <c r="A33" s="43"/>
      <c r="B33" s="34"/>
      <c r="C33" s="47"/>
      <c r="D33" s="47">
        <v>24</v>
      </c>
      <c r="E33" s="48"/>
      <c r="F33" s="47"/>
      <c r="G33" s="47"/>
      <c r="H33" s="47"/>
      <c r="I33" s="47"/>
      <c r="J33" s="47"/>
      <c r="K33" s="47"/>
      <c r="L33" s="47"/>
      <c r="M33" s="47"/>
      <c r="N33" s="47"/>
      <c r="O33" s="47"/>
      <c r="P33" s="47"/>
      <c r="Q33" s="47"/>
      <c r="R33" s="47"/>
      <c r="S33" s="47"/>
      <c r="T33" s="47"/>
      <c r="U33" s="49" t="str">
        <f ca="1">IF(COUNTIF(OFFSET($E33,0,1):OFFSET(U33,0,-1),"=*")&gt;0,IF($C33="К","-"," - "),IF(COUNTIF(OFFSET($E33,0,1):OFFSET(U33,0,-1),"&lt;4")&gt;0,IF(C33="К","-"," - "),(IFERROR(AVERAGE(OFFSET($E33,0,1):OFFSET(U33,0,-1)),"Очікую"))))</f>
        <v>Очікую</v>
      </c>
      <c r="V33" s="49" t="str">
        <f t="shared" ca="1" si="0"/>
        <v>Очікую</v>
      </c>
      <c r="W33" s="36"/>
      <c r="X33" s="42"/>
    </row>
    <row r="34" spans="1:24" s="12" customFormat="1" ht="15" customHeight="1" x14ac:dyDescent="0.25">
      <c r="A34" s="43"/>
      <c r="B34" s="34"/>
      <c r="C34" s="47"/>
      <c r="D34" s="47">
        <v>25</v>
      </c>
      <c r="E34" s="48"/>
      <c r="F34" s="47"/>
      <c r="G34" s="47"/>
      <c r="H34" s="47"/>
      <c r="I34" s="47"/>
      <c r="J34" s="47"/>
      <c r="K34" s="47"/>
      <c r="L34" s="47"/>
      <c r="M34" s="47"/>
      <c r="N34" s="47"/>
      <c r="O34" s="47"/>
      <c r="P34" s="47"/>
      <c r="Q34" s="47"/>
      <c r="R34" s="47"/>
      <c r="S34" s="47"/>
      <c r="T34" s="47"/>
      <c r="U34" s="49" t="str">
        <f ca="1">IF(COUNTIF(OFFSET($E34,0,1):OFFSET(U34,0,-1),"=*")&gt;0,IF($C34="К","-"," - "),IF(COUNTIF(OFFSET($E34,0,1):OFFSET(U34,0,-1),"&lt;4")&gt;0,IF(C34="К","-"," - "),(IFERROR(AVERAGE(OFFSET($E34,0,1):OFFSET(U34,0,-1)),"Очікую"))))</f>
        <v>Очікую</v>
      </c>
      <c r="V34" s="49" t="str">
        <f t="shared" ca="1" si="0"/>
        <v>Очікую</v>
      </c>
      <c r="W34" s="36"/>
      <c r="X34" s="42"/>
    </row>
    <row r="35" spans="1:24" s="12" customFormat="1" ht="15" customHeight="1" x14ac:dyDescent="0.25">
      <c r="A35" s="43"/>
      <c r="B35" s="34"/>
      <c r="C35" s="47"/>
      <c r="D35" s="47">
        <v>26</v>
      </c>
      <c r="E35" s="48"/>
      <c r="F35" s="47"/>
      <c r="G35" s="47"/>
      <c r="H35" s="47"/>
      <c r="I35" s="47"/>
      <c r="J35" s="47"/>
      <c r="K35" s="47"/>
      <c r="L35" s="47"/>
      <c r="M35" s="47"/>
      <c r="N35" s="47"/>
      <c r="O35" s="47"/>
      <c r="P35" s="47"/>
      <c r="Q35" s="47"/>
      <c r="R35" s="47"/>
      <c r="S35" s="47"/>
      <c r="T35" s="47"/>
      <c r="U35" s="49" t="str">
        <f ca="1">IF(COUNTIF(OFFSET($E35,0,1):OFFSET(U35,0,-1),"=*")&gt;0,IF($C35="К","-"," - "),IF(COUNTIF(OFFSET($E35,0,1):OFFSET(U35,0,-1),"&lt;4")&gt;0,IF(C35="К","-"," - "),(IFERROR(AVERAGE(OFFSET($E35,0,1):OFFSET(U35,0,-1)),"Очікую"))))</f>
        <v>Очікую</v>
      </c>
      <c r="V35" s="49" t="str">
        <f t="shared" ca="1" si="0"/>
        <v>Очікую</v>
      </c>
      <c r="W35" s="36"/>
      <c r="X35" s="42"/>
    </row>
    <row r="36" spans="1:24" s="12" customFormat="1" ht="15" customHeight="1" x14ac:dyDescent="0.25">
      <c r="A36" s="43"/>
      <c r="B36" s="34"/>
      <c r="C36" s="47"/>
      <c r="D36" s="47">
        <v>27</v>
      </c>
      <c r="E36" s="48"/>
      <c r="F36" s="47"/>
      <c r="G36" s="47"/>
      <c r="H36" s="47"/>
      <c r="I36" s="47"/>
      <c r="J36" s="47"/>
      <c r="K36" s="47"/>
      <c r="L36" s="47"/>
      <c r="M36" s="47"/>
      <c r="N36" s="47"/>
      <c r="O36" s="47"/>
      <c r="P36" s="47"/>
      <c r="Q36" s="47"/>
      <c r="R36" s="47"/>
      <c r="S36" s="47"/>
      <c r="T36" s="47"/>
      <c r="U36" s="49" t="str">
        <f ca="1">IF(COUNTIF(OFFSET($E36,0,1):OFFSET(U36,0,-1),"=*")&gt;0,IF($C36="К","-"," - "),IF(COUNTIF(OFFSET($E36,0,1):OFFSET(U36,0,-1),"&lt;4")&gt;0,IF(C36="К","-"," - "),(IFERROR(AVERAGE(OFFSET($E36,0,1):OFFSET(U36,0,-1)),"Очікую"))))</f>
        <v>Очікую</v>
      </c>
      <c r="V36" s="49" t="str">
        <f t="shared" ca="1" si="0"/>
        <v>Очікую</v>
      </c>
      <c r="W36" s="36"/>
      <c r="X36" s="42"/>
    </row>
    <row r="37" spans="1:24" s="12" customFormat="1" ht="15" customHeight="1" x14ac:dyDescent="0.25">
      <c r="A37" s="43"/>
      <c r="B37" s="34"/>
      <c r="C37" s="47"/>
      <c r="D37" s="47">
        <v>28</v>
      </c>
      <c r="E37" s="48"/>
      <c r="F37" s="47"/>
      <c r="G37" s="47"/>
      <c r="H37" s="47"/>
      <c r="I37" s="47"/>
      <c r="J37" s="47"/>
      <c r="K37" s="47"/>
      <c r="L37" s="47"/>
      <c r="M37" s="47"/>
      <c r="N37" s="47"/>
      <c r="O37" s="47"/>
      <c r="P37" s="47"/>
      <c r="Q37" s="47"/>
      <c r="R37" s="47"/>
      <c r="S37" s="47"/>
      <c r="T37" s="47"/>
      <c r="U37" s="49" t="str">
        <f ca="1">IF(COUNTIF(OFFSET($E37,0,1):OFFSET(U37,0,-1),"=*")&gt;0,IF($C37="К","-"," - "),IF(COUNTIF(OFFSET($E37,0,1):OFFSET(U37,0,-1),"&lt;4")&gt;0,IF(C37="К","-"," - "),(IFERROR(AVERAGE(OFFSET($E37,0,1):OFFSET(U37,0,-1)),"Очікую"))))</f>
        <v>Очікую</v>
      </c>
      <c r="V37" s="49" t="str">
        <f t="shared" ca="1" si="0"/>
        <v>Очікую</v>
      </c>
      <c r="W37" s="36"/>
      <c r="X37" s="42"/>
    </row>
    <row r="38" spans="1:24" s="12" customFormat="1" ht="15" customHeight="1" x14ac:dyDescent="0.25">
      <c r="A38" s="43"/>
      <c r="B38" s="34"/>
      <c r="C38" s="47"/>
      <c r="D38" s="47">
        <v>29</v>
      </c>
      <c r="E38" s="48"/>
      <c r="F38" s="47"/>
      <c r="G38" s="47"/>
      <c r="H38" s="47"/>
      <c r="I38" s="47"/>
      <c r="J38" s="47"/>
      <c r="K38" s="47"/>
      <c r="L38" s="47"/>
      <c r="M38" s="47"/>
      <c r="N38" s="47"/>
      <c r="O38" s="47"/>
      <c r="P38" s="47"/>
      <c r="Q38" s="47"/>
      <c r="R38" s="47"/>
      <c r="S38" s="47"/>
      <c r="T38" s="47"/>
      <c r="U38" s="49" t="str">
        <f ca="1">IF(COUNTIF(OFFSET($E38,0,1):OFFSET(U38,0,-1),"=*")&gt;0,IF($C38="К","-"," - "),IF(COUNTIF(OFFSET($E38,0,1):OFFSET(U38,0,-1),"&lt;4")&gt;0,IF(C38="К","-"," - "),(IFERROR(AVERAGE(OFFSET($E38,0,1):OFFSET(U38,0,-1)),"Очікую"))))</f>
        <v>Очікую</v>
      </c>
      <c r="V38" s="49" t="str">
        <f t="shared" ca="1" si="0"/>
        <v>Очікую</v>
      </c>
      <c r="W38" s="36"/>
      <c r="X38" s="42"/>
    </row>
    <row r="39" spans="1:24" s="12" customFormat="1" ht="15" customHeight="1" x14ac:dyDescent="0.25">
      <c r="A39" s="43"/>
      <c r="B39" s="34"/>
      <c r="C39" s="47"/>
      <c r="D39" s="47">
        <v>30</v>
      </c>
      <c r="E39" s="48"/>
      <c r="F39" s="47"/>
      <c r="G39" s="47"/>
      <c r="H39" s="47"/>
      <c r="I39" s="47"/>
      <c r="J39" s="47"/>
      <c r="K39" s="47"/>
      <c r="L39" s="47"/>
      <c r="M39" s="47"/>
      <c r="N39" s="47"/>
      <c r="O39" s="47"/>
      <c r="P39" s="47"/>
      <c r="Q39" s="47"/>
      <c r="R39" s="47"/>
      <c r="S39" s="47"/>
      <c r="T39" s="47"/>
      <c r="U39" s="49" t="str">
        <f ca="1">IF(COUNTIF(OFFSET($E39,0,1):OFFSET(U39,0,-1),"=*")&gt;0,IF($C39="К","-"," - "),IF(COUNTIF(OFFSET($E39,0,1):OFFSET(U39,0,-1),"&lt;4")&gt;0,IF(C39="К","-"," - "),(IFERROR(AVERAGE(OFFSET($E39,0,1):OFFSET(U39,0,-1)),"Очікую"))))</f>
        <v>Очікую</v>
      </c>
      <c r="V39" s="49" t="str">
        <f t="shared" ca="1" si="0"/>
        <v>Очікую</v>
      </c>
      <c r="W39" s="36"/>
      <c r="X39" s="42"/>
    </row>
    <row r="40" spans="1:24" s="12" customFormat="1" ht="15" customHeight="1" x14ac:dyDescent="0.25">
      <c r="A40" s="43"/>
      <c r="B40" s="34"/>
      <c r="C40" s="47"/>
      <c r="D40" s="47">
        <v>31</v>
      </c>
      <c r="E40" s="48"/>
      <c r="F40" s="47"/>
      <c r="G40" s="47"/>
      <c r="H40" s="47"/>
      <c r="I40" s="47"/>
      <c r="J40" s="47"/>
      <c r="K40" s="47"/>
      <c r="L40" s="47"/>
      <c r="M40" s="47"/>
      <c r="N40" s="47"/>
      <c r="O40" s="47"/>
      <c r="P40" s="47"/>
      <c r="Q40" s="47"/>
      <c r="R40" s="47"/>
      <c r="S40" s="47"/>
      <c r="T40" s="47"/>
      <c r="U40" s="49" t="str">
        <f ca="1">IF(COUNTIF(OFFSET($E40,0,1):OFFSET(U40,0,-1),"=*")&gt;0,IF($C40="К","-"," - "),IF(COUNTIF(OFFSET($E40,0,1):OFFSET(U40,0,-1),"&lt;4")&gt;0,IF(C40="К","-"," - "),(IFERROR(AVERAGE(OFFSET($E40,0,1):OFFSET(U40,0,-1)),"Очікую"))))</f>
        <v>Очікую</v>
      </c>
      <c r="V40" s="49" t="str">
        <f t="shared" ca="1" si="0"/>
        <v>Очікую</v>
      </c>
      <c r="W40" s="36"/>
      <c r="X40" s="42"/>
    </row>
    <row r="41" spans="1:24" s="12" customFormat="1" ht="15" customHeight="1" x14ac:dyDescent="0.25">
      <c r="A41" s="43"/>
      <c r="B41" s="34"/>
      <c r="C41" s="47"/>
      <c r="D41" s="47">
        <v>32</v>
      </c>
      <c r="E41" s="48"/>
      <c r="F41" s="47"/>
      <c r="G41" s="47"/>
      <c r="H41" s="47"/>
      <c r="I41" s="47"/>
      <c r="J41" s="47"/>
      <c r="K41" s="47"/>
      <c r="L41" s="47"/>
      <c r="M41" s="47"/>
      <c r="N41" s="47"/>
      <c r="O41" s="47"/>
      <c r="P41" s="47"/>
      <c r="Q41" s="47"/>
      <c r="R41" s="47"/>
      <c r="S41" s="47"/>
      <c r="T41" s="47"/>
      <c r="U41" s="49" t="str">
        <f ca="1">IF(COUNTIF(OFFSET($E41,0,1):OFFSET(U41,0,-1),"=*")&gt;0,IF($C41="К","-"," - "),IF(COUNTIF(OFFSET($E41,0,1):OFFSET(U41,0,-1),"&lt;4")&gt;0,IF(C41="К","-"," - "),(IFERROR(AVERAGE(OFFSET($E41,0,1):OFFSET(U41,0,-1)),"Очікую"))))</f>
        <v>Очікую</v>
      </c>
      <c r="V41" s="49" t="str">
        <f t="shared" ca="1" si="0"/>
        <v>Очікую</v>
      </c>
      <c r="W41" s="36"/>
      <c r="X41" s="42"/>
    </row>
    <row r="42" spans="1:24" s="12" customFormat="1" ht="15" customHeight="1" x14ac:dyDescent="0.25">
      <c r="A42" s="43"/>
      <c r="B42" s="34"/>
      <c r="C42" s="47"/>
      <c r="D42" s="47">
        <v>33</v>
      </c>
      <c r="E42" s="48"/>
      <c r="F42" s="47"/>
      <c r="G42" s="47"/>
      <c r="H42" s="47"/>
      <c r="I42" s="47"/>
      <c r="J42" s="47"/>
      <c r="K42" s="47"/>
      <c r="L42" s="47"/>
      <c r="M42" s="47"/>
      <c r="N42" s="47"/>
      <c r="O42" s="47"/>
      <c r="P42" s="47"/>
      <c r="Q42" s="47"/>
      <c r="R42" s="47"/>
      <c r="S42" s="47"/>
      <c r="T42" s="47"/>
      <c r="U42" s="49" t="str">
        <f ca="1">IF(COUNTIF(OFFSET($E42,0,1):OFFSET(U42,0,-1),"=*")&gt;0,IF($C42="К","-"," - "),IF(COUNTIF(OFFSET($E42,0,1):OFFSET(U42,0,-1),"&lt;4")&gt;0,IF(C42="К","-"," - "),(IFERROR(AVERAGE(OFFSET($E42,0,1):OFFSET(U42,0,-1)),"Очікую"))))</f>
        <v>Очікую</v>
      </c>
      <c r="V42" s="49" t="str">
        <f t="shared" ca="1" si="0"/>
        <v>Очікую</v>
      </c>
      <c r="W42" s="36"/>
      <c r="X42" s="42"/>
    </row>
    <row r="43" spans="1:24" s="12" customFormat="1" ht="15" customHeight="1" x14ac:dyDescent="0.25">
      <c r="A43" s="43"/>
      <c r="B43" s="34"/>
      <c r="C43" s="47"/>
      <c r="D43" s="47">
        <v>34</v>
      </c>
      <c r="E43" s="48"/>
      <c r="F43" s="47"/>
      <c r="G43" s="47"/>
      <c r="H43" s="47"/>
      <c r="I43" s="47"/>
      <c r="J43" s="47"/>
      <c r="K43" s="47"/>
      <c r="L43" s="47"/>
      <c r="M43" s="47"/>
      <c r="N43" s="47"/>
      <c r="O43" s="47"/>
      <c r="P43" s="47"/>
      <c r="Q43" s="47"/>
      <c r="R43" s="47"/>
      <c r="S43" s="47"/>
      <c r="T43" s="47"/>
      <c r="U43" s="49" t="str">
        <f ca="1">IF(COUNTIF(OFFSET($E43,0,1):OFFSET(U43,0,-1),"=*")&gt;0,IF($C43="К","-"," - "),IF(COUNTIF(OFFSET($E43,0,1):OFFSET(U43,0,-1),"&lt;4")&gt;0,IF(C43="К","-"," - "),(IFERROR(AVERAGE(OFFSET($E43,0,1):OFFSET(U43,0,-1)),"Очікую"))))</f>
        <v>Очікую</v>
      </c>
      <c r="V43" s="49" t="str">
        <f t="shared" ca="1" si="0"/>
        <v>Очікую</v>
      </c>
      <c r="W43" s="36"/>
      <c r="X43" s="42"/>
    </row>
    <row r="44" spans="1:24" s="12" customFormat="1" ht="15" customHeight="1" x14ac:dyDescent="0.25">
      <c r="A44" s="43"/>
      <c r="B44" s="34"/>
      <c r="C44" s="47"/>
      <c r="D44" s="47">
        <v>35</v>
      </c>
      <c r="E44" s="48"/>
      <c r="F44" s="47"/>
      <c r="G44" s="47"/>
      <c r="H44" s="47"/>
      <c r="I44" s="47"/>
      <c r="J44" s="47"/>
      <c r="K44" s="47"/>
      <c r="L44" s="47"/>
      <c r="M44" s="47"/>
      <c r="N44" s="47"/>
      <c r="O44" s="47"/>
      <c r="P44" s="47"/>
      <c r="Q44" s="47"/>
      <c r="R44" s="47"/>
      <c r="S44" s="47"/>
      <c r="T44" s="47"/>
      <c r="U44" s="49" t="str">
        <f ca="1">IF(COUNTIF(OFFSET($E44,0,1):OFFSET(U44,0,-1),"=*")&gt;0,IF($C44="К","-"," - "),IF(COUNTIF(OFFSET($E44,0,1):OFFSET(U44,0,-1),"&lt;4")&gt;0,IF(C44="К","-"," - "),(IFERROR(AVERAGE(OFFSET($E44,0,1):OFFSET(U44,0,-1)),"Очікую"))))</f>
        <v>Очікую</v>
      </c>
      <c r="V44" s="49" t="str">
        <f t="shared" ca="1" si="0"/>
        <v>Очікую</v>
      </c>
      <c r="W44" s="36"/>
      <c r="X44" s="42"/>
    </row>
    <row r="45" spans="1:24" s="12" customFormat="1" ht="15" customHeight="1" x14ac:dyDescent="0.25">
      <c r="A45" s="43"/>
      <c r="B45" s="34"/>
      <c r="C45" s="47"/>
      <c r="D45" s="47">
        <v>36</v>
      </c>
      <c r="E45" s="48"/>
      <c r="F45" s="47"/>
      <c r="G45" s="47"/>
      <c r="H45" s="47"/>
      <c r="I45" s="47"/>
      <c r="J45" s="47"/>
      <c r="K45" s="47"/>
      <c r="L45" s="47"/>
      <c r="M45" s="47"/>
      <c r="N45" s="47"/>
      <c r="O45" s="47"/>
      <c r="P45" s="47"/>
      <c r="Q45" s="47"/>
      <c r="R45" s="47"/>
      <c r="S45" s="47"/>
      <c r="T45" s="47"/>
      <c r="U45" s="49" t="str">
        <f ca="1">IF(COUNTIF(OFFSET($E45,0,1):OFFSET(U45,0,-1),"=*")&gt;0,IF($C45="К","-"," - "),IF(COUNTIF(OFFSET($E45,0,1):OFFSET(U45,0,-1),"&lt;4")&gt;0,IF(C45="К","-"," - "),(IFERROR(AVERAGE(OFFSET($E45,0,1):OFFSET(U45,0,-1)),"Очікую"))))</f>
        <v>Очікую</v>
      </c>
      <c r="V45" s="49" t="str">
        <f t="shared" ca="1" si="0"/>
        <v>Очікую</v>
      </c>
      <c r="W45" s="36"/>
      <c r="X45" s="42"/>
    </row>
    <row r="46" spans="1:24" s="12" customFormat="1" ht="15" customHeight="1" x14ac:dyDescent="0.25">
      <c r="A46" s="43"/>
      <c r="B46" s="34"/>
      <c r="C46" s="47"/>
      <c r="D46" s="47">
        <v>37</v>
      </c>
      <c r="E46" s="48"/>
      <c r="F46" s="47"/>
      <c r="G46" s="47"/>
      <c r="H46" s="47"/>
      <c r="I46" s="47"/>
      <c r="J46" s="47"/>
      <c r="K46" s="47"/>
      <c r="L46" s="47"/>
      <c r="M46" s="47"/>
      <c r="N46" s="47"/>
      <c r="O46" s="47"/>
      <c r="P46" s="47"/>
      <c r="Q46" s="47"/>
      <c r="R46" s="47"/>
      <c r="S46" s="47"/>
      <c r="T46" s="47"/>
      <c r="U46" s="49" t="str">
        <f ca="1">IF(COUNTIF(OFFSET($E46,0,1):OFFSET(U46,0,-1),"=*")&gt;0,IF($C46="К","-"," - "),IF(COUNTIF(OFFSET($E46,0,1):OFFSET(U46,0,-1),"&lt;4")&gt;0,IF(C46="К","-"," - "),(IFERROR(AVERAGE(OFFSET($E46,0,1):OFFSET(U46,0,-1)),"Очікую"))))</f>
        <v>Очікую</v>
      </c>
      <c r="V46" s="49" t="str">
        <f t="shared" ca="1" si="0"/>
        <v>Очікую</v>
      </c>
      <c r="W46" s="36"/>
      <c r="X46" s="42"/>
    </row>
    <row r="47" spans="1:24" s="12" customFormat="1" ht="15" customHeight="1" x14ac:dyDescent="0.25">
      <c r="A47" s="43"/>
      <c r="B47" s="34"/>
      <c r="C47" s="47"/>
      <c r="D47" s="47">
        <v>38</v>
      </c>
      <c r="E47" s="48"/>
      <c r="F47" s="47"/>
      <c r="G47" s="47"/>
      <c r="H47" s="47"/>
      <c r="I47" s="47"/>
      <c r="J47" s="47"/>
      <c r="K47" s="47"/>
      <c r="L47" s="47"/>
      <c r="M47" s="47"/>
      <c r="N47" s="47"/>
      <c r="O47" s="47"/>
      <c r="P47" s="47"/>
      <c r="Q47" s="47"/>
      <c r="R47" s="47"/>
      <c r="S47" s="47"/>
      <c r="T47" s="47"/>
      <c r="U47" s="49" t="str">
        <f ca="1">IF(COUNTIF(OFFSET($E47,0,1):OFFSET(U47,0,-1),"=*")&gt;0,IF($C47="К","-"," - "),IF(COUNTIF(OFFSET($E47,0,1):OFFSET(U47,0,-1),"&lt;4")&gt;0,IF(C47="К","-"," - "),(IFERROR(AVERAGE(OFFSET($E47,0,1):OFFSET(U47,0,-1)),"Очікую"))))</f>
        <v>Очікую</v>
      </c>
      <c r="V47" s="49" t="str">
        <f t="shared" ca="1" si="0"/>
        <v>Очікую</v>
      </c>
      <c r="W47" s="36"/>
      <c r="X47" s="42"/>
    </row>
    <row r="48" spans="1:24" s="12" customFormat="1" ht="15" customHeight="1" x14ac:dyDescent="0.25">
      <c r="A48" s="43"/>
      <c r="B48" s="34"/>
      <c r="C48" s="47"/>
      <c r="D48" s="47">
        <v>39</v>
      </c>
      <c r="E48" s="48"/>
      <c r="F48" s="47"/>
      <c r="G48" s="47"/>
      <c r="H48" s="47"/>
      <c r="I48" s="47"/>
      <c r="J48" s="47"/>
      <c r="K48" s="47"/>
      <c r="L48" s="47"/>
      <c r="M48" s="47"/>
      <c r="N48" s="47"/>
      <c r="O48" s="47"/>
      <c r="P48" s="47"/>
      <c r="Q48" s="47"/>
      <c r="R48" s="47"/>
      <c r="S48" s="47"/>
      <c r="T48" s="47"/>
      <c r="U48" s="49" t="str">
        <f ca="1">IF(COUNTIF(OFFSET($E48,0,1):OFFSET(U48,0,-1),"=*")&gt;0,IF($C48="К","-"," - "),IF(COUNTIF(OFFSET($E48,0,1):OFFSET(U48,0,-1),"&lt;4")&gt;0,IF(C48="К","-"," - "),(IFERROR(AVERAGE(OFFSET($E48,0,1):OFFSET(U48,0,-1)),"Очікую"))))</f>
        <v>Очікую</v>
      </c>
      <c r="V48" s="49" t="str">
        <f t="shared" ca="1" si="0"/>
        <v>Очікую</v>
      </c>
      <c r="W48" s="36"/>
      <c r="X48" s="42"/>
    </row>
    <row r="49" spans="1:24" s="12" customFormat="1" ht="15" customHeight="1" x14ac:dyDescent="0.25">
      <c r="A49" s="43"/>
      <c r="B49" s="34"/>
      <c r="C49" s="47"/>
      <c r="D49" s="47">
        <v>40</v>
      </c>
      <c r="E49" s="48"/>
      <c r="F49" s="47"/>
      <c r="G49" s="47"/>
      <c r="H49" s="47"/>
      <c r="I49" s="47"/>
      <c r="J49" s="47"/>
      <c r="K49" s="47"/>
      <c r="L49" s="47"/>
      <c r="M49" s="47"/>
      <c r="N49" s="47"/>
      <c r="O49" s="47"/>
      <c r="P49" s="47"/>
      <c r="Q49" s="47"/>
      <c r="R49" s="47"/>
      <c r="S49" s="47"/>
      <c r="T49" s="47"/>
      <c r="U49" s="49" t="str">
        <f ca="1">IF(COUNTIF(OFFSET($E49,0,1):OFFSET(U49,0,-1),"=*")&gt;0,IF($C49="К","-"," - "),IF(COUNTIF(OFFSET($E49,0,1):OFFSET(U49,0,-1),"&lt;4")&gt;0,IF(C49="К","-"," - "),(IFERROR(AVERAGE(OFFSET($E49,0,1):OFFSET(U49,0,-1)),"Очікую"))))</f>
        <v>Очікую</v>
      </c>
      <c r="V49" s="49" t="str">
        <f t="shared" ca="1" si="0"/>
        <v>Очікую</v>
      </c>
      <c r="W49" s="36"/>
      <c r="X49" s="42"/>
    </row>
    <row r="50" spans="1:24" s="12" customFormat="1" ht="15" customHeight="1" x14ac:dyDescent="0.25">
      <c r="A50" s="43"/>
      <c r="B50" s="34"/>
      <c r="C50" s="47"/>
      <c r="D50" s="47">
        <v>41</v>
      </c>
      <c r="E50" s="48"/>
      <c r="F50" s="47"/>
      <c r="G50" s="47"/>
      <c r="H50" s="47"/>
      <c r="I50" s="47"/>
      <c r="J50" s="47"/>
      <c r="K50" s="47"/>
      <c r="L50" s="47"/>
      <c r="M50" s="47"/>
      <c r="N50" s="47"/>
      <c r="O50" s="47"/>
      <c r="P50" s="47"/>
      <c r="Q50" s="47"/>
      <c r="R50" s="47"/>
      <c r="S50" s="47"/>
      <c r="T50" s="47"/>
      <c r="U50" s="49" t="str">
        <f ca="1">IF(COUNTIF(OFFSET($E50,0,1):OFFSET(U50,0,-1),"=*")&gt;0,IF($C50="К","-"," - "),IF(COUNTIF(OFFSET($E50,0,1):OFFSET(U50,0,-1),"&lt;4")&gt;0,IF(C50="К","-"," - "),(IFERROR(AVERAGE(OFFSET($E50,0,1):OFFSET(U50,0,-1)),"Очікую"))))</f>
        <v>Очікую</v>
      </c>
      <c r="V50" s="49" t="str">
        <f t="shared" ca="1" si="0"/>
        <v>Очікую</v>
      </c>
      <c r="W50" s="36"/>
      <c r="X50" s="42"/>
    </row>
    <row r="51" spans="1:24" s="12" customFormat="1" ht="15" customHeight="1" x14ac:dyDescent="0.25">
      <c r="A51" s="43"/>
      <c r="B51" s="34"/>
      <c r="C51" s="47"/>
      <c r="D51" s="47">
        <v>42</v>
      </c>
      <c r="E51" s="48"/>
      <c r="F51" s="47"/>
      <c r="G51" s="47"/>
      <c r="H51" s="47"/>
      <c r="I51" s="47"/>
      <c r="J51" s="47"/>
      <c r="K51" s="47"/>
      <c r="L51" s="47"/>
      <c r="M51" s="47"/>
      <c r="N51" s="47"/>
      <c r="O51" s="47"/>
      <c r="P51" s="47"/>
      <c r="Q51" s="47"/>
      <c r="R51" s="47"/>
      <c r="S51" s="47"/>
      <c r="T51" s="47"/>
      <c r="U51" s="49" t="str">
        <f ca="1">IF(COUNTIF(OFFSET($E51,0,1):OFFSET(U51,0,-1),"=*")&gt;0,IF($C51="К","-"," - "),IF(COUNTIF(OFFSET($E51,0,1):OFFSET(U51,0,-1),"&lt;4")&gt;0,IF(C51="К","-"," - "),(IFERROR(AVERAGE(OFFSET($E51,0,1):OFFSET(U51,0,-1)),"Очікую"))))</f>
        <v>Очікую</v>
      </c>
      <c r="V51" s="49" t="str">
        <f t="shared" ca="1" si="0"/>
        <v>Очікую</v>
      </c>
      <c r="W51" s="36"/>
      <c r="X51" s="42"/>
    </row>
    <row r="52" spans="1:24" s="12" customFormat="1" ht="15" customHeight="1" x14ac:dyDescent="0.25">
      <c r="A52" s="43"/>
      <c r="B52" s="34"/>
      <c r="C52" s="47"/>
      <c r="D52" s="47">
        <v>43</v>
      </c>
      <c r="E52" s="48"/>
      <c r="F52" s="47"/>
      <c r="G52" s="47"/>
      <c r="H52" s="47"/>
      <c r="I52" s="47"/>
      <c r="J52" s="47"/>
      <c r="K52" s="47"/>
      <c r="L52" s="47"/>
      <c r="M52" s="47"/>
      <c r="N52" s="47"/>
      <c r="O52" s="47"/>
      <c r="P52" s="47"/>
      <c r="Q52" s="47"/>
      <c r="R52" s="47"/>
      <c r="S52" s="47"/>
      <c r="T52" s="47"/>
      <c r="U52" s="49" t="str">
        <f ca="1">IF(COUNTIF(OFFSET($E52,0,1):OFFSET(U52,0,-1),"=*")&gt;0,IF($C52="К","-"," - "),IF(COUNTIF(OFFSET($E52,0,1):OFFSET(U52,0,-1),"&lt;4")&gt;0,IF(C52="К","-"," - "),(IFERROR(AVERAGE(OFFSET($E52,0,1):OFFSET(U52,0,-1)),"Очікую"))))</f>
        <v>Очікую</v>
      </c>
      <c r="V52" s="49" t="str">
        <f t="shared" ca="1" si="0"/>
        <v>Очікую</v>
      </c>
      <c r="W52" s="36"/>
      <c r="X52" s="42"/>
    </row>
    <row r="53" spans="1:24" s="12" customFormat="1" ht="15" customHeight="1" x14ac:dyDescent="0.25">
      <c r="A53" s="43"/>
      <c r="B53" s="34"/>
      <c r="C53" s="47"/>
      <c r="D53" s="47">
        <v>44</v>
      </c>
      <c r="E53" s="48"/>
      <c r="F53" s="47"/>
      <c r="G53" s="47"/>
      <c r="H53" s="47"/>
      <c r="I53" s="47"/>
      <c r="J53" s="47"/>
      <c r="K53" s="47"/>
      <c r="L53" s="47"/>
      <c r="M53" s="47"/>
      <c r="N53" s="47"/>
      <c r="O53" s="47"/>
      <c r="P53" s="47"/>
      <c r="Q53" s="47"/>
      <c r="R53" s="47"/>
      <c r="S53" s="47"/>
      <c r="T53" s="47"/>
      <c r="U53" s="49" t="str">
        <f ca="1">IF(COUNTIF(OFFSET($E53,0,1):OFFSET(U53,0,-1),"=*")&gt;0,IF($C53="К","-"," - "),IF(COUNTIF(OFFSET($E53,0,1):OFFSET(U53,0,-1),"&lt;4")&gt;0,IF(C53="К","-"," - "),(IFERROR(AVERAGE(OFFSET($E53,0,1):OFFSET(U53,0,-1)),"Очікую"))))</f>
        <v>Очікую</v>
      </c>
      <c r="V53" s="49" t="str">
        <f t="shared" ca="1" si="0"/>
        <v>Очікую</v>
      </c>
      <c r="W53" s="36"/>
      <c r="X53" s="42"/>
    </row>
    <row r="54" spans="1:24" s="12" customFormat="1" ht="15" customHeight="1" x14ac:dyDescent="0.25">
      <c r="A54" s="43"/>
      <c r="B54" s="34"/>
      <c r="C54" s="47"/>
      <c r="D54" s="47">
        <v>45</v>
      </c>
      <c r="E54" s="48"/>
      <c r="F54" s="47"/>
      <c r="G54" s="47"/>
      <c r="H54" s="47"/>
      <c r="I54" s="47"/>
      <c r="J54" s="47"/>
      <c r="K54" s="47"/>
      <c r="L54" s="47"/>
      <c r="M54" s="47"/>
      <c r="N54" s="47"/>
      <c r="O54" s="47"/>
      <c r="P54" s="47"/>
      <c r="Q54" s="47"/>
      <c r="R54" s="47"/>
      <c r="S54" s="47"/>
      <c r="T54" s="47"/>
      <c r="U54" s="49" t="str">
        <f ca="1">IF(COUNTIF(OFFSET($E54,0,1):OFFSET(U54,0,-1),"=*")&gt;0,IF($C54="К","-"," - "),IF(COUNTIF(OFFSET($E54,0,1):OFFSET(U54,0,-1),"&lt;4")&gt;0,IF(C54="К","-"," - "),(IFERROR(AVERAGE(OFFSET($E54,0,1):OFFSET(U54,0,-1)),"Очікую"))))</f>
        <v>Очікую</v>
      </c>
      <c r="V54" s="49" t="str">
        <f t="shared" ca="1" si="0"/>
        <v>Очікую</v>
      </c>
      <c r="W54" s="36"/>
      <c r="X54" s="42"/>
    </row>
    <row r="55" spans="1:24" s="12" customFormat="1" ht="15" customHeight="1" x14ac:dyDescent="0.25">
      <c r="A55" s="43"/>
      <c r="B55" s="34"/>
      <c r="C55" s="47"/>
      <c r="D55" s="47">
        <v>46</v>
      </c>
      <c r="E55" s="48"/>
      <c r="F55" s="47"/>
      <c r="G55" s="47"/>
      <c r="H55" s="47"/>
      <c r="I55" s="47"/>
      <c r="J55" s="47"/>
      <c r="K55" s="47"/>
      <c r="L55" s="47"/>
      <c r="M55" s="47"/>
      <c r="N55" s="47"/>
      <c r="O55" s="47"/>
      <c r="P55" s="47"/>
      <c r="Q55" s="47"/>
      <c r="R55" s="47"/>
      <c r="S55" s="47"/>
      <c r="T55" s="47"/>
      <c r="U55" s="49" t="str">
        <f ca="1">IF(COUNTIF(OFFSET($E55,0,1):OFFSET(U55,0,-1),"=*")&gt;0,IF($C55="К","-"," - "),IF(COUNTIF(OFFSET($E55,0,1):OFFSET(U55,0,-1),"&lt;4")&gt;0,IF(C55="К","-"," - "),(IFERROR(AVERAGE(OFFSET($E55,0,1):OFFSET(U55,0,-1)),"Очікую"))))</f>
        <v>Очікую</v>
      </c>
      <c r="V55" s="49" t="str">
        <f t="shared" ca="1" si="0"/>
        <v>Очікую</v>
      </c>
      <c r="W55" s="36"/>
      <c r="X55" s="42"/>
    </row>
    <row r="56" spans="1:24" s="12" customFormat="1" ht="15" customHeight="1" x14ac:dyDescent="0.25">
      <c r="A56" s="43"/>
      <c r="B56" s="34"/>
      <c r="C56" s="47"/>
      <c r="D56" s="47">
        <v>47</v>
      </c>
      <c r="E56" s="48"/>
      <c r="F56" s="47"/>
      <c r="G56" s="47"/>
      <c r="H56" s="47"/>
      <c r="I56" s="47"/>
      <c r="J56" s="47"/>
      <c r="K56" s="47"/>
      <c r="L56" s="47"/>
      <c r="M56" s="47"/>
      <c r="N56" s="47"/>
      <c r="O56" s="47"/>
      <c r="P56" s="47"/>
      <c r="Q56" s="47"/>
      <c r="R56" s="47"/>
      <c r="S56" s="47"/>
      <c r="T56" s="47"/>
      <c r="U56" s="49" t="str">
        <f ca="1">IF(COUNTIF(OFFSET($E56,0,1):OFFSET(U56,0,-1),"=*")&gt;0,IF($C56="К","-"," - "),IF(COUNTIF(OFFSET($E56,0,1):OFFSET(U56,0,-1),"&lt;4")&gt;0,IF(C56="К","-"," - "),(IFERROR(AVERAGE(OFFSET($E56,0,1):OFFSET(U56,0,-1)),"Очікую"))))</f>
        <v>Очікую</v>
      </c>
      <c r="V56" s="49" t="str">
        <f t="shared" ca="1" si="0"/>
        <v>Очікую</v>
      </c>
      <c r="W56" s="36"/>
      <c r="X56" s="42"/>
    </row>
    <row r="57" spans="1:24" s="12" customFormat="1" ht="15" customHeight="1" x14ac:dyDescent="0.25">
      <c r="A57" s="43"/>
      <c r="B57" s="34"/>
      <c r="C57" s="47"/>
      <c r="D57" s="47">
        <v>48</v>
      </c>
      <c r="E57" s="48"/>
      <c r="F57" s="47"/>
      <c r="G57" s="47"/>
      <c r="H57" s="47"/>
      <c r="I57" s="47"/>
      <c r="J57" s="47"/>
      <c r="K57" s="47"/>
      <c r="L57" s="47"/>
      <c r="M57" s="47"/>
      <c r="N57" s="47"/>
      <c r="O57" s="47"/>
      <c r="P57" s="47"/>
      <c r="Q57" s="47"/>
      <c r="R57" s="47"/>
      <c r="S57" s="47"/>
      <c r="T57" s="47"/>
      <c r="U57" s="49" t="str">
        <f ca="1">IF(COUNTIF(OFFSET($E57,0,1):OFFSET(U57,0,-1),"=*")&gt;0,IF($C57="К","-"," - "),IF(COUNTIF(OFFSET($E57,0,1):OFFSET(U57,0,-1),"&lt;4")&gt;0,IF(C57="К","-"," - "),(IFERROR(AVERAGE(OFFSET($E57,0,1):OFFSET(U57,0,-1)),"Очікую"))))</f>
        <v>Очікую</v>
      </c>
      <c r="V57" s="49" t="str">
        <f t="shared" ca="1" si="0"/>
        <v>Очікую</v>
      </c>
      <c r="W57" s="36"/>
      <c r="X57" s="42"/>
    </row>
    <row r="58" spans="1:24" s="12" customFormat="1" ht="15" customHeight="1" x14ac:dyDescent="0.25">
      <c r="A58" s="43"/>
      <c r="B58" s="34"/>
      <c r="C58" s="47"/>
      <c r="D58" s="47">
        <v>49</v>
      </c>
      <c r="E58" s="48"/>
      <c r="F58" s="47"/>
      <c r="G58" s="47"/>
      <c r="H58" s="47"/>
      <c r="I58" s="47"/>
      <c r="J58" s="47"/>
      <c r="K58" s="47"/>
      <c r="L58" s="47"/>
      <c r="M58" s="47"/>
      <c r="N58" s="47"/>
      <c r="O58" s="47"/>
      <c r="P58" s="47"/>
      <c r="Q58" s="47"/>
      <c r="R58" s="47"/>
      <c r="S58" s="47"/>
      <c r="T58" s="47"/>
      <c r="U58" s="49" t="str">
        <f ca="1">IF(COUNTIF(OFFSET($E58,0,1):OFFSET(U58,0,-1),"=*")&gt;0,IF($C58="К","-"," - "),IF(COUNTIF(OFFSET($E58,0,1):OFFSET(U58,0,-1),"&lt;4")&gt;0,IF(C58="К","-"," - "),(IFERROR(AVERAGE(OFFSET($E58,0,1):OFFSET(U58,0,-1)),"Очікую"))))</f>
        <v>Очікую</v>
      </c>
      <c r="V58" s="49" t="str">
        <f t="shared" ca="1" si="0"/>
        <v>Очікую</v>
      </c>
      <c r="W58" s="36"/>
      <c r="X58" s="42"/>
    </row>
    <row r="59" spans="1:24" s="12" customFormat="1" ht="15" customHeight="1" x14ac:dyDescent="0.25">
      <c r="A59" s="43"/>
      <c r="B59" s="34"/>
      <c r="C59" s="47"/>
      <c r="D59" s="47">
        <v>50</v>
      </c>
      <c r="E59" s="48"/>
      <c r="F59" s="47"/>
      <c r="G59" s="47"/>
      <c r="H59" s="47"/>
      <c r="I59" s="47"/>
      <c r="J59" s="47"/>
      <c r="K59" s="47"/>
      <c r="L59" s="47"/>
      <c r="M59" s="47"/>
      <c r="N59" s="47"/>
      <c r="O59" s="47"/>
      <c r="P59" s="47"/>
      <c r="Q59" s="47"/>
      <c r="R59" s="47"/>
      <c r="S59" s="47"/>
      <c r="T59" s="47"/>
      <c r="U59" s="49" t="str">
        <f ca="1">IF(COUNTIF(OFFSET($E59,0,1):OFFSET(U59,0,-1),"=*")&gt;0,IF($C59="К","-"," - "),IF(COUNTIF(OFFSET($E59,0,1):OFFSET(U59,0,-1),"&lt;4")&gt;0,IF(C59="К","-"," - "),(IFERROR(AVERAGE(OFFSET($E59,0,1):OFFSET(U59,0,-1)),"Очікую"))))</f>
        <v>Очікую</v>
      </c>
      <c r="V59" s="49" t="str">
        <f t="shared" ca="1" si="0"/>
        <v>Очікую</v>
      </c>
      <c r="W59" s="36"/>
      <c r="X59" s="42"/>
    </row>
    <row r="60" spans="1:24" s="12" customFormat="1" ht="15" customHeight="1" x14ac:dyDescent="0.25">
      <c r="A60" s="43"/>
      <c r="B60" s="34"/>
      <c r="C60" s="47"/>
      <c r="D60" s="47">
        <v>51</v>
      </c>
      <c r="E60" s="48"/>
      <c r="F60" s="47"/>
      <c r="G60" s="47"/>
      <c r="H60" s="47"/>
      <c r="I60" s="47"/>
      <c r="J60" s="47"/>
      <c r="K60" s="47"/>
      <c r="L60" s="47"/>
      <c r="M60" s="47"/>
      <c r="N60" s="47"/>
      <c r="O60" s="47"/>
      <c r="P60" s="47"/>
      <c r="Q60" s="47"/>
      <c r="R60" s="47"/>
      <c r="S60" s="47"/>
      <c r="T60" s="47"/>
      <c r="U60" s="49" t="str">
        <f ca="1">IF(COUNTIF(OFFSET($E60,0,1):OFFSET(U60,0,-1),"=*")&gt;0,IF($C60="К","-"," - "),IF(COUNTIF(OFFSET($E60,0,1):OFFSET(U60,0,-1),"&lt;4")&gt;0,IF(C60="К","-"," - "),(IFERROR(AVERAGE(OFFSET($E60,0,1):OFFSET(U60,0,-1)),"Очікую"))))</f>
        <v>Очікую</v>
      </c>
      <c r="V60" s="49" t="str">
        <f t="shared" ca="1" si="0"/>
        <v>Очікую</v>
      </c>
      <c r="W60" s="36"/>
      <c r="X60" s="42"/>
    </row>
    <row r="61" spans="1:24" s="12" customFormat="1" ht="15" customHeight="1" x14ac:dyDescent="0.25">
      <c r="A61" s="43"/>
      <c r="B61" s="34"/>
      <c r="C61" s="47"/>
      <c r="D61" s="47">
        <v>52</v>
      </c>
      <c r="E61" s="48"/>
      <c r="F61" s="47"/>
      <c r="G61" s="47"/>
      <c r="H61" s="47"/>
      <c r="I61" s="47"/>
      <c r="J61" s="47"/>
      <c r="K61" s="47"/>
      <c r="L61" s="47"/>
      <c r="M61" s="47"/>
      <c r="N61" s="47"/>
      <c r="O61" s="47"/>
      <c r="P61" s="47"/>
      <c r="Q61" s="47"/>
      <c r="R61" s="47"/>
      <c r="S61" s="47"/>
      <c r="T61" s="47"/>
      <c r="U61" s="49" t="str">
        <f ca="1">IF(COUNTIF(OFFSET($E61,0,1):OFFSET(U61,0,-1),"=*")&gt;0,IF($C61="К","-"," - "),IF(COUNTIF(OFFSET($E61,0,1):OFFSET(U61,0,-1),"&lt;4")&gt;0,IF(C61="К","-"," - "),(IFERROR(AVERAGE(OFFSET($E61,0,1):OFFSET(U61,0,-1)),"Очікую"))))</f>
        <v>Очікую</v>
      </c>
      <c r="V61" s="49" t="str">
        <f t="shared" ca="1" si="0"/>
        <v>Очікую</v>
      </c>
      <c r="W61" s="36"/>
      <c r="X61" s="42"/>
    </row>
    <row r="62" spans="1:24" s="12" customFormat="1" ht="15" customHeight="1" x14ac:dyDescent="0.25">
      <c r="A62" s="43"/>
      <c r="B62" s="34"/>
      <c r="C62" s="47"/>
      <c r="D62" s="47">
        <v>53</v>
      </c>
      <c r="E62" s="48"/>
      <c r="F62" s="47"/>
      <c r="G62" s="47"/>
      <c r="H62" s="47"/>
      <c r="I62" s="47"/>
      <c r="J62" s="47"/>
      <c r="K62" s="47"/>
      <c r="L62" s="47"/>
      <c r="M62" s="47"/>
      <c r="N62" s="47"/>
      <c r="O62" s="47"/>
      <c r="P62" s="47"/>
      <c r="Q62" s="47"/>
      <c r="R62" s="47"/>
      <c r="S62" s="47"/>
      <c r="T62" s="47"/>
      <c r="U62" s="49" t="str">
        <f ca="1">IF(COUNTIF(OFFSET($E62,0,1):OFFSET(U62,0,-1),"=*")&gt;0,IF($C62="К","-"," - "),IF(COUNTIF(OFFSET($E62,0,1):OFFSET(U62,0,-1),"&lt;4")&gt;0,IF(C62="К","-"," - "),(IFERROR(AVERAGE(OFFSET($E62,0,1):OFFSET(U62,0,-1)),"Очікую"))))</f>
        <v>Очікую</v>
      </c>
      <c r="V62" s="49" t="str">
        <f t="shared" ca="1" si="0"/>
        <v>Очікую</v>
      </c>
      <c r="W62" s="36"/>
      <c r="X62" s="42"/>
    </row>
    <row r="63" spans="1:24" s="12" customFormat="1" ht="15" customHeight="1" x14ac:dyDescent="0.25">
      <c r="A63" s="43"/>
      <c r="B63" s="34"/>
      <c r="C63" s="47"/>
      <c r="D63" s="47">
        <v>54</v>
      </c>
      <c r="E63" s="48"/>
      <c r="F63" s="47"/>
      <c r="G63" s="47"/>
      <c r="H63" s="47"/>
      <c r="I63" s="47"/>
      <c r="J63" s="47"/>
      <c r="K63" s="47"/>
      <c r="L63" s="47"/>
      <c r="M63" s="47"/>
      <c r="N63" s="47"/>
      <c r="O63" s="47"/>
      <c r="P63" s="47"/>
      <c r="Q63" s="47"/>
      <c r="R63" s="47"/>
      <c r="S63" s="47"/>
      <c r="T63" s="47"/>
      <c r="U63" s="49" t="str">
        <f ca="1">IF(COUNTIF(OFFSET($E63,0,1):OFFSET(U63,0,-1),"=*")&gt;0,IF($C63="К","-"," - "),IF(COUNTIF(OFFSET($E63,0,1):OFFSET(U63,0,-1),"&lt;4")&gt;0,IF(C63="К","-"," - "),(IFERROR(AVERAGE(OFFSET($E63,0,1):OFFSET(U63,0,-1)),"Очікую"))))</f>
        <v>Очікую</v>
      </c>
      <c r="V63" s="49" t="str">
        <f t="shared" ca="1" si="0"/>
        <v>Очікую</v>
      </c>
      <c r="W63" s="36"/>
      <c r="X63" s="42"/>
    </row>
    <row r="64" spans="1:24" s="12" customFormat="1" ht="15" customHeight="1" x14ac:dyDescent="0.25">
      <c r="A64" s="43"/>
      <c r="B64" s="34"/>
      <c r="C64" s="47"/>
      <c r="D64" s="47">
        <v>55</v>
      </c>
      <c r="E64" s="48"/>
      <c r="F64" s="47"/>
      <c r="G64" s="47"/>
      <c r="H64" s="47"/>
      <c r="I64" s="47"/>
      <c r="J64" s="47"/>
      <c r="K64" s="47"/>
      <c r="L64" s="47"/>
      <c r="M64" s="47"/>
      <c r="N64" s="47"/>
      <c r="O64" s="47"/>
      <c r="P64" s="47"/>
      <c r="Q64" s="47"/>
      <c r="R64" s="47"/>
      <c r="S64" s="47"/>
      <c r="T64" s="47"/>
      <c r="U64" s="49" t="str">
        <f ca="1">IF(COUNTIF(OFFSET($E64,0,1):OFFSET(U64,0,-1),"=*")&gt;0,IF($C64="К","-"," - "),IF(COUNTIF(OFFSET($E64,0,1):OFFSET(U64,0,-1),"&lt;4")&gt;0,IF(C64="К","-"," - "),(IFERROR(AVERAGE(OFFSET($E64,0,1):OFFSET(U64,0,-1)),"Очікую"))))</f>
        <v>Очікую</v>
      </c>
      <c r="V64" s="49" t="str">
        <f t="shared" ca="1" si="0"/>
        <v>Очікую</v>
      </c>
      <c r="W64" s="36"/>
      <c r="X64" s="42"/>
    </row>
    <row r="65" spans="1:24" s="12" customFormat="1" ht="15" customHeight="1" x14ac:dyDescent="0.25">
      <c r="A65" s="43"/>
      <c r="B65" s="34"/>
      <c r="C65" s="47"/>
      <c r="D65" s="47">
        <v>56</v>
      </c>
      <c r="E65" s="48"/>
      <c r="F65" s="47"/>
      <c r="G65" s="47"/>
      <c r="H65" s="47"/>
      <c r="I65" s="47"/>
      <c r="J65" s="47"/>
      <c r="K65" s="47"/>
      <c r="L65" s="47"/>
      <c r="M65" s="47"/>
      <c r="N65" s="47"/>
      <c r="O65" s="47"/>
      <c r="P65" s="47"/>
      <c r="Q65" s="47"/>
      <c r="R65" s="47"/>
      <c r="S65" s="47"/>
      <c r="T65" s="47"/>
      <c r="U65" s="49" t="str">
        <f ca="1">IF(COUNTIF(OFFSET($E65,0,1):OFFSET(U65,0,-1),"=*")&gt;0,IF($C65="К","-"," - "),IF(COUNTIF(OFFSET($E65,0,1):OFFSET(U65,0,-1),"&lt;4")&gt;0,IF(C65="К","-"," - "),(IFERROR(AVERAGE(OFFSET($E65,0,1):OFFSET(U65,0,-1)),"Очікую"))))</f>
        <v>Очікую</v>
      </c>
      <c r="V65" s="49" t="str">
        <f t="shared" ca="1" si="0"/>
        <v>Очікую</v>
      </c>
      <c r="W65" s="36"/>
      <c r="X65" s="42"/>
    </row>
    <row r="66" spans="1:24" s="12" customFormat="1" ht="15" customHeight="1" x14ac:dyDescent="0.25">
      <c r="A66" s="43"/>
      <c r="B66" s="34"/>
      <c r="C66" s="47"/>
      <c r="D66" s="47">
        <v>57</v>
      </c>
      <c r="E66" s="48"/>
      <c r="F66" s="47"/>
      <c r="G66" s="47"/>
      <c r="H66" s="47"/>
      <c r="I66" s="47"/>
      <c r="J66" s="47"/>
      <c r="K66" s="47"/>
      <c r="L66" s="47"/>
      <c r="M66" s="47"/>
      <c r="N66" s="47"/>
      <c r="O66" s="47"/>
      <c r="P66" s="47"/>
      <c r="Q66" s="47"/>
      <c r="R66" s="47"/>
      <c r="S66" s="47"/>
      <c r="T66" s="47"/>
      <c r="U66" s="49" t="str">
        <f ca="1">IF(COUNTIF(OFFSET($E66,0,1):OFFSET(U66,0,-1),"=*")&gt;0,IF($C66="К","-"," - "),IF(COUNTIF(OFFSET($E66,0,1):OFFSET(U66,0,-1),"&lt;4")&gt;0,IF(C66="К","-"," - "),(IFERROR(AVERAGE(OFFSET($E66,0,1):OFFSET(U66,0,-1)),"Очікую"))))</f>
        <v>Очікую</v>
      </c>
      <c r="V66" s="49" t="str">
        <f t="shared" ca="1" si="0"/>
        <v>Очікую</v>
      </c>
      <c r="W66" s="36"/>
      <c r="X66" s="42"/>
    </row>
    <row r="67" spans="1:24" s="12" customFormat="1" ht="15" customHeight="1" x14ac:dyDescent="0.25">
      <c r="A67" s="43"/>
      <c r="B67" s="34"/>
      <c r="C67" s="47"/>
      <c r="D67" s="47">
        <v>58</v>
      </c>
      <c r="E67" s="48"/>
      <c r="F67" s="47"/>
      <c r="G67" s="47"/>
      <c r="H67" s="47"/>
      <c r="I67" s="47"/>
      <c r="J67" s="47"/>
      <c r="K67" s="47"/>
      <c r="L67" s="47"/>
      <c r="M67" s="47"/>
      <c r="N67" s="47"/>
      <c r="O67" s="47"/>
      <c r="P67" s="47"/>
      <c r="Q67" s="47"/>
      <c r="R67" s="47"/>
      <c r="S67" s="47"/>
      <c r="T67" s="47"/>
      <c r="U67" s="49" t="str">
        <f ca="1">IF(COUNTIF(OFFSET($E67,0,1):OFFSET(U67,0,-1),"=*")&gt;0,IF($C67="К","-"," - "),IF(COUNTIF(OFFSET($E67,0,1):OFFSET(U67,0,-1),"&lt;4")&gt;0,IF(C67="К","-"," - "),(IFERROR(AVERAGE(OFFSET($E67,0,1):OFFSET(U67,0,-1)),"Очікую"))))</f>
        <v>Очікую</v>
      </c>
      <c r="V67" s="49" t="str">
        <f t="shared" ca="1" si="0"/>
        <v>Очікую</v>
      </c>
      <c r="W67" s="36"/>
      <c r="X67" s="42"/>
    </row>
    <row r="68" spans="1:24" s="12" customFormat="1" ht="15" customHeight="1" x14ac:dyDescent="0.25">
      <c r="A68" s="43"/>
      <c r="B68" s="34"/>
      <c r="C68" s="47"/>
      <c r="D68" s="47">
        <v>59</v>
      </c>
      <c r="E68" s="48"/>
      <c r="F68" s="47"/>
      <c r="G68" s="47"/>
      <c r="H68" s="47"/>
      <c r="I68" s="47"/>
      <c r="J68" s="47"/>
      <c r="K68" s="47"/>
      <c r="L68" s="47"/>
      <c r="M68" s="47"/>
      <c r="N68" s="47"/>
      <c r="O68" s="47"/>
      <c r="P68" s="47"/>
      <c r="Q68" s="47"/>
      <c r="R68" s="47"/>
      <c r="S68" s="47"/>
      <c r="T68" s="47"/>
      <c r="U68" s="49" t="str">
        <f ca="1">IF(COUNTIF(OFFSET($E68,0,1):OFFSET(U68,0,-1),"=*")&gt;0,IF($C68="К","-"," - "),IF(COUNTIF(OFFSET($E68,0,1):OFFSET(U68,0,-1),"&lt;4")&gt;0,IF(C68="К","-"," - "),(IFERROR(AVERAGE(OFFSET($E68,0,1):OFFSET(U68,0,-1)),"Очікую"))))</f>
        <v>Очікую</v>
      </c>
      <c r="V68" s="49" t="str">
        <f t="shared" ca="1" si="0"/>
        <v>Очікую</v>
      </c>
      <c r="W68" s="36"/>
      <c r="X68" s="42"/>
    </row>
    <row r="69" spans="1:24" s="12" customFormat="1" ht="15" customHeight="1" x14ac:dyDescent="0.25">
      <c r="A69" s="43"/>
      <c r="B69" s="34"/>
      <c r="C69" s="47"/>
      <c r="D69" s="47">
        <v>60</v>
      </c>
      <c r="E69" s="48"/>
      <c r="F69" s="47"/>
      <c r="G69" s="47"/>
      <c r="H69" s="47"/>
      <c r="I69" s="47"/>
      <c r="J69" s="47"/>
      <c r="K69" s="47"/>
      <c r="L69" s="47"/>
      <c r="M69" s="47"/>
      <c r="N69" s="47"/>
      <c r="O69" s="47"/>
      <c r="P69" s="47"/>
      <c r="Q69" s="47"/>
      <c r="R69" s="47"/>
      <c r="S69" s="47"/>
      <c r="T69" s="47"/>
      <c r="U69" s="49" t="str">
        <f ca="1">IF(COUNTIF(OFFSET($E69,0,1):OFFSET(U69,0,-1),"=*")&gt;0,IF($C69="К","-"," - "),IF(COUNTIF(OFFSET($E69,0,1):OFFSET(U69,0,-1),"&lt;4")&gt;0,IF(C69="К","-"," - "),(IFERROR(AVERAGE(OFFSET($E69,0,1):OFFSET(U69,0,-1)),"Очікую"))))</f>
        <v>Очікую</v>
      </c>
      <c r="V69" s="49" t="str">
        <f t="shared" ca="1" si="0"/>
        <v>Очікую</v>
      </c>
      <c r="W69" s="36"/>
      <c r="X69" s="42"/>
    </row>
    <row r="70" spans="1:24" s="12" customFormat="1" ht="15" customHeight="1" x14ac:dyDescent="0.25">
      <c r="A70" s="43"/>
      <c r="B70" s="34"/>
      <c r="C70" s="47"/>
      <c r="D70" s="47">
        <v>61</v>
      </c>
      <c r="E70" s="48"/>
      <c r="F70" s="47"/>
      <c r="G70" s="47"/>
      <c r="H70" s="47"/>
      <c r="I70" s="47"/>
      <c r="J70" s="47"/>
      <c r="K70" s="47"/>
      <c r="L70" s="47"/>
      <c r="M70" s="47"/>
      <c r="N70" s="47"/>
      <c r="O70" s="47"/>
      <c r="P70" s="47"/>
      <c r="Q70" s="47"/>
      <c r="R70" s="47"/>
      <c r="S70" s="47"/>
      <c r="T70" s="47"/>
      <c r="U70" s="49" t="str">
        <f ca="1">IF(COUNTIF(OFFSET($E70,0,1):OFFSET(U70,0,-1),"=*")&gt;0,IF($C70="К","-"," - "),IF(COUNTIF(OFFSET($E70,0,1):OFFSET(U70,0,-1),"&lt;4")&gt;0,IF(C70="К","-"," - "),(IFERROR(AVERAGE(OFFSET($E70,0,1):OFFSET(U70,0,-1)),"Очікую"))))</f>
        <v>Очікую</v>
      </c>
      <c r="V70" s="49" t="str">
        <f t="shared" ca="1" si="0"/>
        <v>Очікую</v>
      </c>
      <c r="W70" s="36"/>
      <c r="X70" s="42"/>
    </row>
    <row r="71" spans="1:24" s="12" customFormat="1" ht="15" customHeight="1" x14ac:dyDescent="0.25">
      <c r="A71" s="43"/>
      <c r="B71" s="34"/>
      <c r="C71" s="47"/>
      <c r="D71" s="47">
        <v>62</v>
      </c>
      <c r="E71" s="48"/>
      <c r="F71" s="47"/>
      <c r="G71" s="47"/>
      <c r="H71" s="47"/>
      <c r="I71" s="47"/>
      <c r="J71" s="47"/>
      <c r="K71" s="47"/>
      <c r="L71" s="47"/>
      <c r="M71" s="47"/>
      <c r="N71" s="47"/>
      <c r="O71" s="47"/>
      <c r="P71" s="47"/>
      <c r="Q71" s="47"/>
      <c r="R71" s="47"/>
      <c r="S71" s="47"/>
      <c r="T71" s="47"/>
      <c r="U71" s="49" t="str">
        <f ca="1">IF(COUNTIF(OFFSET($E71,0,1):OFFSET(U71,0,-1),"=*")&gt;0,IF($C71="К","-"," - "),IF(COUNTIF(OFFSET($E71,0,1):OFFSET(U71,0,-1),"&lt;4")&gt;0,IF(C71="К","-"," - "),(IFERROR(AVERAGE(OFFSET($E71,0,1):OFFSET(U71,0,-1)),"Очікую"))))</f>
        <v>Очікую</v>
      </c>
      <c r="V71" s="49" t="str">
        <f t="shared" ca="1" si="0"/>
        <v>Очікую</v>
      </c>
      <c r="W71" s="36"/>
      <c r="X71" s="42"/>
    </row>
    <row r="72" spans="1:24" s="12" customFormat="1" ht="15" customHeight="1" x14ac:dyDescent="0.25">
      <c r="A72" s="43"/>
      <c r="B72" s="34"/>
      <c r="C72" s="47"/>
      <c r="D72" s="47">
        <v>63</v>
      </c>
      <c r="E72" s="48"/>
      <c r="F72" s="47"/>
      <c r="G72" s="47"/>
      <c r="H72" s="47"/>
      <c r="I72" s="47"/>
      <c r="J72" s="47"/>
      <c r="K72" s="47"/>
      <c r="L72" s="47"/>
      <c r="M72" s="47"/>
      <c r="N72" s="47"/>
      <c r="O72" s="47"/>
      <c r="P72" s="47"/>
      <c r="Q72" s="47"/>
      <c r="R72" s="47"/>
      <c r="S72" s="47"/>
      <c r="T72" s="47"/>
      <c r="U72" s="49" t="str">
        <f ca="1">IF(COUNTIF(OFFSET($E72,0,1):OFFSET(U72,0,-1),"=*")&gt;0,IF($C72="К","-"," - "),IF(COUNTIF(OFFSET($E72,0,1):OFFSET(U72,0,-1),"&lt;4")&gt;0,IF(C72="К","-"," - "),(IFERROR(AVERAGE(OFFSET($E72,0,1):OFFSET(U72,0,-1)),"Очікую"))))</f>
        <v>Очікую</v>
      </c>
      <c r="V72" s="49" t="str">
        <f t="shared" ca="1" si="0"/>
        <v>Очікую</v>
      </c>
      <c r="W72" s="36"/>
      <c r="X72" s="42"/>
    </row>
    <row r="73" spans="1:24" s="12" customFormat="1" ht="15" customHeight="1" x14ac:dyDescent="0.25">
      <c r="A73" s="43"/>
      <c r="B73" s="34"/>
      <c r="C73" s="47"/>
      <c r="D73" s="47">
        <v>64</v>
      </c>
      <c r="E73" s="48"/>
      <c r="F73" s="47"/>
      <c r="G73" s="47"/>
      <c r="H73" s="47"/>
      <c r="I73" s="47"/>
      <c r="J73" s="47"/>
      <c r="K73" s="47"/>
      <c r="L73" s="47"/>
      <c r="M73" s="47"/>
      <c r="N73" s="47"/>
      <c r="O73" s="47"/>
      <c r="P73" s="47"/>
      <c r="Q73" s="47"/>
      <c r="R73" s="47"/>
      <c r="S73" s="47"/>
      <c r="T73" s="47"/>
      <c r="U73" s="49" t="str">
        <f ca="1">IF(COUNTIF(OFFSET($E73,0,1):OFFSET(U73,0,-1),"=*")&gt;0,IF($C73="К","-"," - "),IF(COUNTIF(OFFSET($E73,0,1):OFFSET(U73,0,-1),"&lt;4")&gt;0,IF(C73="К","-"," - "),(IFERROR(AVERAGE(OFFSET($E73,0,1):OFFSET(U73,0,-1)),"Очікую"))))</f>
        <v>Очікую</v>
      </c>
      <c r="V73" s="49" t="str">
        <f t="shared" ca="1" si="0"/>
        <v>Очікую</v>
      </c>
      <c r="W73" s="36"/>
      <c r="X73" s="42"/>
    </row>
    <row r="74" spans="1:24" s="12" customFormat="1" ht="15" customHeight="1" x14ac:dyDescent="0.25">
      <c r="A74" s="43"/>
      <c r="B74" s="34"/>
      <c r="C74" s="47"/>
      <c r="D74" s="47">
        <v>65</v>
      </c>
      <c r="E74" s="48"/>
      <c r="F74" s="47"/>
      <c r="G74" s="47"/>
      <c r="H74" s="47"/>
      <c r="I74" s="47"/>
      <c r="J74" s="47"/>
      <c r="K74" s="47"/>
      <c r="L74" s="47"/>
      <c r="M74" s="47"/>
      <c r="N74" s="47"/>
      <c r="O74" s="47"/>
      <c r="P74" s="47"/>
      <c r="Q74" s="47"/>
      <c r="R74" s="47"/>
      <c r="S74" s="47"/>
      <c r="T74" s="47"/>
      <c r="U74" s="49" t="str">
        <f ca="1">IF(COUNTIF(OFFSET($E74,0,1):OFFSET(U74,0,-1),"=*")&gt;0,IF($C74="К","-"," - "),IF(COUNTIF(OFFSET($E74,0,1):OFFSET(U74,0,-1),"&lt;4")&gt;0,IF(C74="К","-"," - "),(IFERROR(AVERAGE(OFFSET($E74,0,1):OFFSET(U74,0,-1)),"Очікую"))))</f>
        <v>Очікую</v>
      </c>
      <c r="V74" s="49" t="str">
        <f t="shared" ca="1" si="0"/>
        <v>Очікую</v>
      </c>
      <c r="W74" s="36"/>
      <c r="X74" s="42"/>
    </row>
    <row r="75" spans="1:24" s="12" customFormat="1" ht="15" customHeight="1" x14ac:dyDescent="0.25">
      <c r="A75" s="43"/>
      <c r="B75" s="34"/>
      <c r="C75" s="47"/>
      <c r="D75" s="47">
        <v>66</v>
      </c>
      <c r="E75" s="48"/>
      <c r="F75" s="47"/>
      <c r="G75" s="47"/>
      <c r="H75" s="47"/>
      <c r="I75" s="47"/>
      <c r="J75" s="47"/>
      <c r="K75" s="47"/>
      <c r="L75" s="47"/>
      <c r="M75" s="47"/>
      <c r="N75" s="47"/>
      <c r="O75" s="47"/>
      <c r="P75" s="47"/>
      <c r="Q75" s="47"/>
      <c r="R75" s="47"/>
      <c r="S75" s="47"/>
      <c r="T75" s="47"/>
      <c r="U75" s="49" t="str">
        <f ca="1">IF(COUNTIF(OFFSET($E75,0,1):OFFSET(U75,0,-1),"=*")&gt;0,IF($C75="К","-"," - "),IF(COUNTIF(OFFSET($E75,0,1):OFFSET(U75,0,-1),"&lt;4")&gt;0,IF(C75="К","-"," - "),(IFERROR(AVERAGE(OFFSET($E75,0,1):OFFSET(U75,0,-1)),"Очікую"))))</f>
        <v>Очікую</v>
      </c>
      <c r="V75" s="49" t="str">
        <f t="shared" ref="V75:V109" ca="1" si="1">IFERROR(U75/12*90,"Очікую")</f>
        <v>Очікую</v>
      </c>
      <c r="W75" s="36"/>
      <c r="X75" s="42"/>
    </row>
    <row r="76" spans="1:24" s="12" customFormat="1" ht="15" customHeight="1" x14ac:dyDescent="0.25">
      <c r="A76" s="43"/>
      <c r="B76" s="34"/>
      <c r="C76" s="47"/>
      <c r="D76" s="47">
        <v>67</v>
      </c>
      <c r="E76" s="48"/>
      <c r="F76" s="47"/>
      <c r="G76" s="47"/>
      <c r="H76" s="47"/>
      <c r="I76" s="47"/>
      <c r="J76" s="47"/>
      <c r="K76" s="47"/>
      <c r="L76" s="47"/>
      <c r="M76" s="47"/>
      <c r="N76" s="47"/>
      <c r="O76" s="47"/>
      <c r="P76" s="47"/>
      <c r="Q76" s="47"/>
      <c r="R76" s="47"/>
      <c r="S76" s="47"/>
      <c r="T76" s="47"/>
      <c r="U76" s="49" t="str">
        <f ca="1">IF(COUNTIF(OFFSET($E76,0,1):OFFSET(U76,0,-1),"=*")&gt;0,IF($C76="К","-"," - "),IF(COUNTIF(OFFSET($E76,0,1):OFFSET(U76,0,-1),"&lt;4")&gt;0,IF(C76="К","-"," - "),(IFERROR(AVERAGE(OFFSET($E76,0,1):OFFSET(U76,0,-1)),"Очікую"))))</f>
        <v>Очікую</v>
      </c>
      <c r="V76" s="49" t="str">
        <f t="shared" ca="1" si="1"/>
        <v>Очікую</v>
      </c>
      <c r="W76" s="36"/>
      <c r="X76" s="42"/>
    </row>
    <row r="77" spans="1:24" s="12" customFormat="1" ht="15" customHeight="1" x14ac:dyDescent="0.25">
      <c r="A77" s="43"/>
      <c r="B77" s="34"/>
      <c r="C77" s="47"/>
      <c r="D77" s="47">
        <v>68</v>
      </c>
      <c r="E77" s="48"/>
      <c r="F77" s="47"/>
      <c r="G77" s="47"/>
      <c r="H77" s="47"/>
      <c r="I77" s="47"/>
      <c r="J77" s="47"/>
      <c r="K77" s="47"/>
      <c r="L77" s="47"/>
      <c r="M77" s="47"/>
      <c r="N77" s="47"/>
      <c r="O77" s="47"/>
      <c r="P77" s="47"/>
      <c r="Q77" s="47"/>
      <c r="R77" s="47"/>
      <c r="S77" s="47"/>
      <c r="T77" s="47"/>
      <c r="U77" s="49" t="str">
        <f ca="1">IF(COUNTIF(OFFSET($E77,0,1):OFFSET(U77,0,-1),"=*")&gt;0,IF($C77="К","-"," - "),IF(COUNTIF(OFFSET($E77,0,1):OFFSET(U77,0,-1),"&lt;4")&gt;0,IF(C77="К","-"," - "),(IFERROR(AVERAGE(OFFSET($E77,0,1):OFFSET(U77,0,-1)),"Очікую"))))</f>
        <v>Очікую</v>
      </c>
      <c r="V77" s="49" t="str">
        <f t="shared" ca="1" si="1"/>
        <v>Очікую</v>
      </c>
      <c r="W77" s="36"/>
      <c r="X77" s="42"/>
    </row>
    <row r="78" spans="1:24" s="12" customFormat="1" ht="15" customHeight="1" x14ac:dyDescent="0.25">
      <c r="A78" s="43"/>
      <c r="B78" s="34"/>
      <c r="C78" s="47"/>
      <c r="D78" s="47">
        <v>69</v>
      </c>
      <c r="E78" s="48"/>
      <c r="F78" s="47"/>
      <c r="G78" s="47"/>
      <c r="H78" s="47"/>
      <c r="I78" s="47"/>
      <c r="J78" s="47"/>
      <c r="K78" s="47"/>
      <c r="L78" s="47"/>
      <c r="M78" s="47"/>
      <c r="N78" s="47"/>
      <c r="O78" s="47"/>
      <c r="P78" s="47"/>
      <c r="Q78" s="47"/>
      <c r="R78" s="47"/>
      <c r="S78" s="47"/>
      <c r="T78" s="47"/>
      <c r="U78" s="49" t="str">
        <f ca="1">IF(COUNTIF(OFFSET($E78,0,1):OFFSET(U78,0,-1),"=*")&gt;0,IF($C78="К","-"," - "),IF(COUNTIF(OFFSET($E78,0,1):OFFSET(U78,0,-1),"&lt;4")&gt;0,IF(C78="К","-"," - "),(IFERROR(AVERAGE(OFFSET($E78,0,1):OFFSET(U78,0,-1)),"Очікую"))))</f>
        <v>Очікую</v>
      </c>
      <c r="V78" s="49" t="str">
        <f t="shared" ca="1" si="1"/>
        <v>Очікую</v>
      </c>
      <c r="W78" s="36"/>
      <c r="X78" s="42"/>
    </row>
    <row r="79" spans="1:24" s="12" customFormat="1" ht="15" customHeight="1" x14ac:dyDescent="0.25">
      <c r="A79" s="43"/>
      <c r="B79" s="34"/>
      <c r="C79" s="47"/>
      <c r="D79" s="47">
        <v>70</v>
      </c>
      <c r="E79" s="48"/>
      <c r="F79" s="47"/>
      <c r="G79" s="47"/>
      <c r="H79" s="47"/>
      <c r="I79" s="47"/>
      <c r="J79" s="47"/>
      <c r="K79" s="47"/>
      <c r="L79" s="47"/>
      <c r="M79" s="47"/>
      <c r="N79" s="47"/>
      <c r="O79" s="47"/>
      <c r="P79" s="47"/>
      <c r="Q79" s="47"/>
      <c r="R79" s="47"/>
      <c r="S79" s="47"/>
      <c r="T79" s="47"/>
      <c r="U79" s="49" t="str">
        <f ca="1">IF(COUNTIF(OFFSET($E79,0,1):OFFSET(U79,0,-1),"=*")&gt;0,IF($C79="К","-"," - "),IF(COUNTIF(OFFSET($E79,0,1):OFFSET(U79,0,-1),"&lt;4")&gt;0,IF(C79="К","-"," - "),(IFERROR(AVERAGE(OFFSET($E79,0,1):OFFSET(U79,0,-1)),"Очікую"))))</f>
        <v>Очікую</v>
      </c>
      <c r="V79" s="49" t="str">
        <f t="shared" ca="1" si="1"/>
        <v>Очікую</v>
      </c>
      <c r="W79" s="36"/>
      <c r="X79" s="42"/>
    </row>
    <row r="80" spans="1:24" s="12" customFormat="1" ht="15" customHeight="1" x14ac:dyDescent="0.25">
      <c r="A80" s="43"/>
      <c r="B80" s="34"/>
      <c r="C80" s="47"/>
      <c r="D80" s="47">
        <v>71</v>
      </c>
      <c r="E80" s="48"/>
      <c r="F80" s="47"/>
      <c r="G80" s="47"/>
      <c r="H80" s="47"/>
      <c r="I80" s="47"/>
      <c r="J80" s="47"/>
      <c r="K80" s="47"/>
      <c r="L80" s="47"/>
      <c r="M80" s="47"/>
      <c r="N80" s="47"/>
      <c r="O80" s="47"/>
      <c r="P80" s="47"/>
      <c r="Q80" s="47"/>
      <c r="R80" s="47"/>
      <c r="S80" s="47"/>
      <c r="T80" s="47"/>
      <c r="U80" s="49" t="str">
        <f ca="1">IF(COUNTIF(OFFSET($E80,0,1):OFFSET(U80,0,-1),"=*")&gt;0,IF($C80="К","-"," - "),IF(COUNTIF(OFFSET($E80,0,1):OFFSET(U80,0,-1),"&lt;4")&gt;0,IF(C80="К","-"," - "),(IFERROR(AVERAGE(OFFSET($E80,0,1):OFFSET(U80,0,-1)),"Очікую"))))</f>
        <v>Очікую</v>
      </c>
      <c r="V80" s="49" t="str">
        <f t="shared" ca="1" si="1"/>
        <v>Очікую</v>
      </c>
      <c r="W80" s="36"/>
      <c r="X80" s="42"/>
    </row>
    <row r="81" spans="1:24" s="12" customFormat="1" ht="15" customHeight="1" x14ac:dyDescent="0.25">
      <c r="A81" s="43"/>
      <c r="B81" s="34"/>
      <c r="C81" s="47"/>
      <c r="D81" s="47">
        <v>72</v>
      </c>
      <c r="E81" s="48"/>
      <c r="F81" s="47"/>
      <c r="G81" s="47"/>
      <c r="H81" s="47"/>
      <c r="I81" s="47"/>
      <c r="J81" s="47"/>
      <c r="K81" s="47"/>
      <c r="L81" s="47"/>
      <c r="M81" s="47"/>
      <c r="N81" s="47"/>
      <c r="O81" s="47"/>
      <c r="P81" s="47"/>
      <c r="Q81" s="47"/>
      <c r="R81" s="47"/>
      <c r="S81" s="47"/>
      <c r="T81" s="47"/>
      <c r="U81" s="49" t="str">
        <f ca="1">IF(COUNTIF(OFFSET($E81,0,1):OFFSET(U81,0,-1),"=*")&gt;0,IF($C81="К","-"," - "),IF(COUNTIF(OFFSET($E81,0,1):OFFSET(U81,0,-1),"&lt;4")&gt;0,IF(C81="К","-"," - "),(IFERROR(AVERAGE(OFFSET($E81,0,1):OFFSET(U81,0,-1)),"Очікую"))))</f>
        <v>Очікую</v>
      </c>
      <c r="V81" s="49" t="str">
        <f t="shared" ca="1" si="1"/>
        <v>Очікую</v>
      </c>
      <c r="W81" s="36"/>
      <c r="X81" s="42"/>
    </row>
    <row r="82" spans="1:24" s="12" customFormat="1" ht="15" customHeight="1" x14ac:dyDescent="0.25">
      <c r="A82" s="43"/>
      <c r="B82" s="34"/>
      <c r="C82" s="47"/>
      <c r="D82" s="47">
        <v>73</v>
      </c>
      <c r="E82" s="48"/>
      <c r="F82" s="47"/>
      <c r="G82" s="47"/>
      <c r="H82" s="47"/>
      <c r="I82" s="47"/>
      <c r="J82" s="47"/>
      <c r="K82" s="47"/>
      <c r="L82" s="47"/>
      <c r="M82" s="47"/>
      <c r="N82" s="47"/>
      <c r="O82" s="47"/>
      <c r="P82" s="47"/>
      <c r="Q82" s="47"/>
      <c r="R82" s="47"/>
      <c r="S82" s="47"/>
      <c r="T82" s="47"/>
      <c r="U82" s="49" t="str">
        <f ca="1">IF(COUNTIF(OFFSET($E82,0,1):OFFSET(U82,0,-1),"=*")&gt;0,IF($C82="К","-"," - "),IF(COUNTIF(OFFSET($E82,0,1):OFFSET(U82,0,-1),"&lt;4")&gt;0,IF(C82="К","-"," - "),(IFERROR(AVERAGE(OFFSET($E82,0,1):OFFSET(U82,0,-1)),"Очікую"))))</f>
        <v>Очікую</v>
      </c>
      <c r="V82" s="49" t="str">
        <f t="shared" ca="1" si="1"/>
        <v>Очікую</v>
      </c>
      <c r="W82" s="36"/>
      <c r="X82" s="42"/>
    </row>
    <row r="83" spans="1:24" s="12" customFormat="1" ht="15" customHeight="1" x14ac:dyDescent="0.25">
      <c r="A83" s="43"/>
      <c r="B83" s="34"/>
      <c r="C83" s="47"/>
      <c r="D83" s="47">
        <v>74</v>
      </c>
      <c r="E83" s="48"/>
      <c r="F83" s="47"/>
      <c r="G83" s="47"/>
      <c r="H83" s="47"/>
      <c r="I83" s="47"/>
      <c r="J83" s="47"/>
      <c r="K83" s="47"/>
      <c r="L83" s="47"/>
      <c r="M83" s="47"/>
      <c r="N83" s="47"/>
      <c r="O83" s="47"/>
      <c r="P83" s="47"/>
      <c r="Q83" s="47"/>
      <c r="R83" s="47"/>
      <c r="S83" s="47"/>
      <c r="T83" s="47"/>
      <c r="U83" s="49" t="str">
        <f ca="1">IF(COUNTIF(OFFSET($E83,0,1):OFFSET(U83,0,-1),"=*")&gt;0,IF($C83="К","-"," - "),IF(COUNTIF(OFFSET($E83,0,1):OFFSET(U83,0,-1),"&lt;4")&gt;0,IF(C83="К","-"," - "),(IFERROR(AVERAGE(OFFSET($E83,0,1):OFFSET(U83,0,-1)),"Очікую"))))</f>
        <v>Очікую</v>
      </c>
      <c r="V83" s="49" t="str">
        <f t="shared" ca="1" si="1"/>
        <v>Очікую</v>
      </c>
      <c r="W83" s="36"/>
      <c r="X83" s="42"/>
    </row>
    <row r="84" spans="1:24" s="12" customFormat="1" ht="15" customHeight="1" x14ac:dyDescent="0.25">
      <c r="A84" s="43"/>
      <c r="B84" s="34"/>
      <c r="C84" s="47"/>
      <c r="D84" s="47">
        <v>75</v>
      </c>
      <c r="E84" s="48"/>
      <c r="F84" s="47"/>
      <c r="G84" s="47"/>
      <c r="H84" s="47"/>
      <c r="I84" s="47"/>
      <c r="J84" s="47"/>
      <c r="K84" s="47"/>
      <c r="L84" s="47"/>
      <c r="M84" s="47"/>
      <c r="N84" s="47"/>
      <c r="O84" s="47"/>
      <c r="P84" s="47"/>
      <c r="Q84" s="47"/>
      <c r="R84" s="47"/>
      <c r="S84" s="47"/>
      <c r="T84" s="47"/>
      <c r="U84" s="49" t="str">
        <f ca="1">IF(COUNTIF(OFFSET($E84,0,1):OFFSET(U84,0,-1),"=*")&gt;0,IF($C84="К","-"," - "),IF(COUNTIF(OFFSET($E84,0,1):OFFSET(U84,0,-1),"&lt;4")&gt;0,IF(C84="К","-"," - "),(IFERROR(AVERAGE(OFFSET($E84,0,1):OFFSET(U84,0,-1)),"Очікую"))))</f>
        <v>Очікую</v>
      </c>
      <c r="V84" s="49" t="str">
        <f t="shared" ca="1" si="1"/>
        <v>Очікую</v>
      </c>
      <c r="W84" s="36"/>
      <c r="X84" s="42"/>
    </row>
    <row r="85" spans="1:24" s="12" customFormat="1" ht="15" customHeight="1" x14ac:dyDescent="0.25">
      <c r="A85" s="43"/>
      <c r="B85" s="34"/>
      <c r="C85" s="47"/>
      <c r="D85" s="47">
        <v>76</v>
      </c>
      <c r="E85" s="48"/>
      <c r="F85" s="47"/>
      <c r="G85" s="47"/>
      <c r="H85" s="47"/>
      <c r="I85" s="47"/>
      <c r="J85" s="47"/>
      <c r="K85" s="47"/>
      <c r="L85" s="47"/>
      <c r="M85" s="47"/>
      <c r="N85" s="47"/>
      <c r="O85" s="47"/>
      <c r="P85" s="47"/>
      <c r="Q85" s="47"/>
      <c r="R85" s="47"/>
      <c r="S85" s="47"/>
      <c r="T85" s="47"/>
      <c r="U85" s="49" t="str">
        <f ca="1">IF(COUNTIF(OFFSET($E85,0,1):OFFSET(U85,0,-1),"=*")&gt;0,IF($C85="К","-"," - "),IF(COUNTIF(OFFSET($E85,0,1):OFFSET(U85,0,-1),"&lt;4")&gt;0,IF(C85="К","-"," - "),(IFERROR(AVERAGE(OFFSET($E85,0,1):OFFSET(U85,0,-1)),"Очікую"))))</f>
        <v>Очікую</v>
      </c>
      <c r="V85" s="49" t="str">
        <f t="shared" ca="1" si="1"/>
        <v>Очікую</v>
      </c>
      <c r="W85" s="36"/>
      <c r="X85" s="42"/>
    </row>
    <row r="86" spans="1:24" s="12" customFormat="1" ht="15" customHeight="1" x14ac:dyDescent="0.25">
      <c r="A86" s="43"/>
      <c r="B86" s="34"/>
      <c r="C86" s="47"/>
      <c r="D86" s="47">
        <v>77</v>
      </c>
      <c r="E86" s="48"/>
      <c r="F86" s="47"/>
      <c r="G86" s="47"/>
      <c r="H86" s="47"/>
      <c r="I86" s="47"/>
      <c r="J86" s="47"/>
      <c r="K86" s="47"/>
      <c r="L86" s="47"/>
      <c r="M86" s="47"/>
      <c r="N86" s="47"/>
      <c r="O86" s="47"/>
      <c r="P86" s="47"/>
      <c r="Q86" s="47"/>
      <c r="R86" s="47"/>
      <c r="S86" s="47"/>
      <c r="T86" s="47"/>
      <c r="U86" s="49" t="str">
        <f ca="1">IF(COUNTIF(OFFSET($E86,0,1):OFFSET(U86,0,-1),"=*")&gt;0,IF($C86="К","-"," - "),IF(COUNTIF(OFFSET($E86,0,1):OFFSET(U86,0,-1),"&lt;4")&gt;0,IF(C86="К","-"," - "),(IFERROR(AVERAGE(OFFSET($E86,0,1):OFFSET(U86,0,-1)),"Очікую"))))</f>
        <v>Очікую</v>
      </c>
      <c r="V86" s="49" t="str">
        <f t="shared" ca="1" si="1"/>
        <v>Очікую</v>
      </c>
      <c r="W86" s="36"/>
      <c r="X86" s="42"/>
    </row>
    <row r="87" spans="1:24" s="12" customFormat="1" ht="15" customHeight="1" x14ac:dyDescent="0.25">
      <c r="A87" s="43"/>
      <c r="B87" s="34"/>
      <c r="C87" s="47"/>
      <c r="D87" s="47">
        <v>78</v>
      </c>
      <c r="E87" s="48"/>
      <c r="F87" s="47"/>
      <c r="G87" s="47"/>
      <c r="H87" s="47"/>
      <c r="I87" s="47"/>
      <c r="J87" s="47"/>
      <c r="K87" s="47"/>
      <c r="L87" s="47"/>
      <c r="M87" s="47"/>
      <c r="N87" s="47"/>
      <c r="O87" s="47"/>
      <c r="P87" s="47"/>
      <c r="Q87" s="47"/>
      <c r="R87" s="47"/>
      <c r="S87" s="47"/>
      <c r="T87" s="47"/>
      <c r="U87" s="49" t="str">
        <f ca="1">IF(COUNTIF(OFFSET($E87,0,1):OFFSET(U87,0,-1),"=*")&gt;0,IF($C87="К","-"," - "),IF(COUNTIF(OFFSET($E87,0,1):OFFSET(U87,0,-1),"&lt;4")&gt;0,IF(C87="К","-"," - "),(IFERROR(AVERAGE(OFFSET($E87,0,1):OFFSET(U87,0,-1)),"Очікую"))))</f>
        <v>Очікую</v>
      </c>
      <c r="V87" s="49" t="str">
        <f t="shared" ca="1" si="1"/>
        <v>Очікую</v>
      </c>
      <c r="W87" s="36"/>
      <c r="X87" s="42"/>
    </row>
    <row r="88" spans="1:24" s="12" customFormat="1" ht="15" customHeight="1" x14ac:dyDescent="0.25">
      <c r="A88" s="43"/>
      <c r="B88" s="34"/>
      <c r="C88" s="47"/>
      <c r="D88" s="47">
        <v>79</v>
      </c>
      <c r="E88" s="48"/>
      <c r="F88" s="47"/>
      <c r="G88" s="47"/>
      <c r="H88" s="47"/>
      <c r="I88" s="47"/>
      <c r="J88" s="47"/>
      <c r="K88" s="47"/>
      <c r="L88" s="47"/>
      <c r="M88" s="47"/>
      <c r="N88" s="47"/>
      <c r="O88" s="47"/>
      <c r="P88" s="47"/>
      <c r="Q88" s="47"/>
      <c r="R88" s="47"/>
      <c r="S88" s="47"/>
      <c r="T88" s="47"/>
      <c r="U88" s="49" t="str">
        <f ca="1">IF(COUNTIF(OFFSET($E88,0,1):OFFSET(U88,0,-1),"=*")&gt;0,IF($C88="К","-"," - "),IF(COUNTIF(OFFSET($E88,0,1):OFFSET(U88,0,-1),"&lt;4")&gt;0,IF(C88="К","-"," - "),(IFERROR(AVERAGE(OFFSET($E88,0,1):OFFSET(U88,0,-1)),"Очікую"))))</f>
        <v>Очікую</v>
      </c>
      <c r="V88" s="49" t="str">
        <f t="shared" ca="1" si="1"/>
        <v>Очікую</v>
      </c>
      <c r="W88" s="36"/>
      <c r="X88" s="42"/>
    </row>
    <row r="89" spans="1:24" s="12" customFormat="1" ht="15" customHeight="1" x14ac:dyDescent="0.25">
      <c r="A89" s="43"/>
      <c r="B89" s="34"/>
      <c r="C89" s="47"/>
      <c r="D89" s="47">
        <v>80</v>
      </c>
      <c r="E89" s="48"/>
      <c r="F89" s="47"/>
      <c r="G89" s="47"/>
      <c r="H89" s="47"/>
      <c r="I89" s="47"/>
      <c r="J89" s="47"/>
      <c r="K89" s="47"/>
      <c r="L89" s="47"/>
      <c r="M89" s="47"/>
      <c r="N89" s="47"/>
      <c r="O89" s="47"/>
      <c r="P89" s="47"/>
      <c r="Q89" s="47"/>
      <c r="R89" s="47"/>
      <c r="S89" s="47"/>
      <c r="T89" s="47"/>
      <c r="U89" s="49" t="str">
        <f ca="1">IF(COUNTIF(OFFSET($E89,0,1):OFFSET(U89,0,-1),"=*")&gt;0,IF($C89="К","-"," - "),IF(COUNTIF(OFFSET($E89,0,1):OFFSET(U89,0,-1),"&lt;4")&gt;0,IF(C89="К","-"," - "),(IFERROR(AVERAGE(OFFSET($E89,0,1):OFFSET(U89,0,-1)),"Очікую"))))</f>
        <v>Очікую</v>
      </c>
      <c r="V89" s="49" t="str">
        <f t="shared" ca="1" si="1"/>
        <v>Очікую</v>
      </c>
      <c r="W89" s="36"/>
      <c r="X89" s="42"/>
    </row>
    <row r="90" spans="1:24" s="12" customFormat="1" ht="15" customHeight="1" x14ac:dyDescent="0.25">
      <c r="A90" s="43"/>
      <c r="B90" s="34"/>
      <c r="C90" s="47"/>
      <c r="D90" s="47">
        <v>81</v>
      </c>
      <c r="E90" s="48"/>
      <c r="F90" s="47"/>
      <c r="G90" s="47"/>
      <c r="H90" s="47"/>
      <c r="I90" s="47"/>
      <c r="J90" s="47"/>
      <c r="K90" s="47"/>
      <c r="L90" s="47"/>
      <c r="M90" s="47"/>
      <c r="N90" s="47"/>
      <c r="O90" s="47"/>
      <c r="P90" s="47"/>
      <c r="Q90" s="47"/>
      <c r="R90" s="47"/>
      <c r="S90" s="47"/>
      <c r="T90" s="47"/>
      <c r="U90" s="49" t="str">
        <f ca="1">IF(COUNTIF(OFFSET($E90,0,1):OFFSET(U90,0,-1),"=*")&gt;0,IF($C90="К","-"," - "),IF(COUNTIF(OFFSET($E90,0,1):OFFSET(U90,0,-1),"&lt;4")&gt;0,IF(C90="К","-"," - "),(IFERROR(AVERAGE(OFFSET($E90,0,1):OFFSET(U90,0,-1)),"Очікую"))))</f>
        <v>Очікую</v>
      </c>
      <c r="V90" s="49" t="str">
        <f t="shared" ca="1" si="1"/>
        <v>Очікую</v>
      </c>
      <c r="W90" s="36"/>
      <c r="X90" s="42"/>
    </row>
    <row r="91" spans="1:24" s="12" customFormat="1" ht="15" customHeight="1" x14ac:dyDescent="0.25">
      <c r="A91" s="43"/>
      <c r="B91" s="34"/>
      <c r="C91" s="47"/>
      <c r="D91" s="47">
        <v>82</v>
      </c>
      <c r="E91" s="48"/>
      <c r="F91" s="47"/>
      <c r="G91" s="47"/>
      <c r="H91" s="47"/>
      <c r="I91" s="47"/>
      <c r="J91" s="47"/>
      <c r="K91" s="47"/>
      <c r="L91" s="47"/>
      <c r="M91" s="47"/>
      <c r="N91" s="47"/>
      <c r="O91" s="47"/>
      <c r="P91" s="47"/>
      <c r="Q91" s="47"/>
      <c r="R91" s="47"/>
      <c r="S91" s="47"/>
      <c r="T91" s="47"/>
      <c r="U91" s="49" t="str">
        <f ca="1">IF(COUNTIF(OFFSET($E91,0,1):OFFSET(U91,0,-1),"=*")&gt;0,IF($C91="К","-"," - "),IF(COUNTIF(OFFSET($E91,0,1):OFFSET(U91,0,-1),"&lt;4")&gt;0,IF(C91="К","-"," - "),(IFERROR(AVERAGE(OFFSET($E91,0,1):OFFSET(U91,0,-1)),"Очікую"))))</f>
        <v>Очікую</v>
      </c>
      <c r="V91" s="49" t="str">
        <f t="shared" ca="1" si="1"/>
        <v>Очікую</v>
      </c>
      <c r="W91" s="36"/>
      <c r="X91" s="42"/>
    </row>
    <row r="92" spans="1:24" s="12" customFormat="1" ht="15" customHeight="1" x14ac:dyDescent="0.25">
      <c r="A92" s="43"/>
      <c r="B92" s="34"/>
      <c r="C92" s="47"/>
      <c r="D92" s="47">
        <v>83</v>
      </c>
      <c r="E92" s="48"/>
      <c r="F92" s="47"/>
      <c r="G92" s="47"/>
      <c r="H92" s="47"/>
      <c r="I92" s="47"/>
      <c r="J92" s="47"/>
      <c r="K92" s="47"/>
      <c r="L92" s="47"/>
      <c r="M92" s="47"/>
      <c r="N92" s="47"/>
      <c r="O92" s="47"/>
      <c r="P92" s="47"/>
      <c r="Q92" s="47"/>
      <c r="R92" s="47"/>
      <c r="S92" s="47"/>
      <c r="T92" s="47"/>
      <c r="U92" s="49" t="str">
        <f ca="1">IF(COUNTIF(OFFSET($E92,0,1):OFFSET(U92,0,-1),"=*")&gt;0,IF($C92="К","-"," - "),IF(COUNTIF(OFFSET($E92,0,1):OFFSET(U92,0,-1),"&lt;4")&gt;0,IF(C92="К","-"," - "),(IFERROR(AVERAGE(OFFSET($E92,0,1):OFFSET(U92,0,-1)),"Очікую"))))</f>
        <v>Очікую</v>
      </c>
      <c r="V92" s="49" t="str">
        <f t="shared" ca="1" si="1"/>
        <v>Очікую</v>
      </c>
      <c r="W92" s="36"/>
      <c r="X92" s="42"/>
    </row>
    <row r="93" spans="1:24" s="12" customFormat="1" ht="15" customHeight="1" x14ac:dyDescent="0.25">
      <c r="A93" s="43"/>
      <c r="B93" s="34"/>
      <c r="C93" s="47"/>
      <c r="D93" s="47">
        <v>84</v>
      </c>
      <c r="E93" s="48"/>
      <c r="F93" s="47"/>
      <c r="G93" s="47"/>
      <c r="H93" s="47"/>
      <c r="I93" s="47"/>
      <c r="J93" s="47"/>
      <c r="K93" s="47"/>
      <c r="L93" s="47"/>
      <c r="M93" s="47"/>
      <c r="N93" s="47"/>
      <c r="O93" s="47"/>
      <c r="P93" s="47"/>
      <c r="Q93" s="47"/>
      <c r="R93" s="47"/>
      <c r="S93" s="47"/>
      <c r="T93" s="47"/>
      <c r="U93" s="49" t="str">
        <f ca="1">IF(COUNTIF(OFFSET($E93,0,1):OFFSET(U93,0,-1),"=*")&gt;0,IF($C93="К","-"," - "),IF(COUNTIF(OFFSET($E93,0,1):OFFSET(U93,0,-1),"&lt;4")&gt;0,IF(C93="К","-"," - "),(IFERROR(AVERAGE(OFFSET($E93,0,1):OFFSET(U93,0,-1)),"Очікую"))))</f>
        <v>Очікую</v>
      </c>
      <c r="V93" s="49" t="str">
        <f t="shared" ca="1" si="1"/>
        <v>Очікую</v>
      </c>
      <c r="W93" s="36"/>
      <c r="X93" s="42"/>
    </row>
    <row r="94" spans="1:24" s="12" customFormat="1" ht="15" customHeight="1" x14ac:dyDescent="0.25">
      <c r="A94" s="43"/>
      <c r="B94" s="34"/>
      <c r="C94" s="47"/>
      <c r="D94" s="47">
        <v>85</v>
      </c>
      <c r="E94" s="48"/>
      <c r="F94" s="47"/>
      <c r="G94" s="47"/>
      <c r="H94" s="47"/>
      <c r="I94" s="47"/>
      <c r="J94" s="47"/>
      <c r="K94" s="47"/>
      <c r="L94" s="47"/>
      <c r="M94" s="47"/>
      <c r="N94" s="47"/>
      <c r="O94" s="47"/>
      <c r="P94" s="47"/>
      <c r="Q94" s="47"/>
      <c r="R94" s="47"/>
      <c r="S94" s="47"/>
      <c r="T94" s="47"/>
      <c r="U94" s="49" t="str">
        <f ca="1">IF(COUNTIF(OFFSET($E94,0,1):OFFSET(U94,0,-1),"=*")&gt;0,IF($C94="К","-"," - "),IF(COUNTIF(OFFSET($E94,0,1):OFFSET(U94,0,-1),"&lt;4")&gt;0,IF(C94="К","-"," - "),(IFERROR(AVERAGE(OFFSET($E94,0,1):OFFSET(U94,0,-1)),"Очікую"))))</f>
        <v>Очікую</v>
      </c>
      <c r="V94" s="49" t="str">
        <f t="shared" ca="1" si="1"/>
        <v>Очікую</v>
      </c>
      <c r="W94" s="36"/>
      <c r="X94" s="42"/>
    </row>
    <row r="95" spans="1:24" s="12" customFormat="1" ht="15" customHeight="1" x14ac:dyDescent="0.25">
      <c r="A95" s="43"/>
      <c r="B95" s="34"/>
      <c r="C95" s="47"/>
      <c r="D95" s="47">
        <v>86</v>
      </c>
      <c r="E95" s="48"/>
      <c r="F95" s="47"/>
      <c r="G95" s="47"/>
      <c r="H95" s="47"/>
      <c r="I95" s="47"/>
      <c r="J95" s="47"/>
      <c r="K95" s="47"/>
      <c r="L95" s="47"/>
      <c r="M95" s="47"/>
      <c r="N95" s="47"/>
      <c r="O95" s="47"/>
      <c r="P95" s="47"/>
      <c r="Q95" s="47"/>
      <c r="R95" s="47"/>
      <c r="S95" s="47"/>
      <c r="T95" s="47"/>
      <c r="U95" s="49" t="str">
        <f ca="1">IF(COUNTIF(OFFSET($E95,0,1):OFFSET(U95,0,-1),"=*")&gt;0,IF($C95="К","-"," - "),IF(COUNTIF(OFFSET($E95,0,1):OFFSET(U95,0,-1),"&lt;4")&gt;0,IF(C95="К","-"," - "),(IFERROR(AVERAGE(OFFSET($E95,0,1):OFFSET(U95,0,-1)),"Очікую"))))</f>
        <v>Очікую</v>
      </c>
      <c r="V95" s="49" t="str">
        <f t="shared" ca="1" si="1"/>
        <v>Очікую</v>
      </c>
      <c r="W95" s="36"/>
      <c r="X95" s="42"/>
    </row>
    <row r="96" spans="1:24" s="12" customFormat="1" ht="15" customHeight="1" x14ac:dyDescent="0.25">
      <c r="A96" s="43"/>
      <c r="B96" s="34"/>
      <c r="C96" s="47"/>
      <c r="D96" s="47">
        <v>87</v>
      </c>
      <c r="E96" s="48"/>
      <c r="F96" s="47"/>
      <c r="G96" s="47"/>
      <c r="H96" s="47"/>
      <c r="I96" s="47"/>
      <c r="J96" s="47"/>
      <c r="K96" s="47"/>
      <c r="L96" s="47"/>
      <c r="M96" s="47"/>
      <c r="N96" s="47"/>
      <c r="O96" s="47"/>
      <c r="P96" s="47"/>
      <c r="Q96" s="47"/>
      <c r="R96" s="47"/>
      <c r="S96" s="47"/>
      <c r="T96" s="47"/>
      <c r="U96" s="49" t="str">
        <f ca="1">IF(COUNTIF(OFFSET($E96,0,1):OFFSET(U96,0,-1),"=*")&gt;0,IF($C96="К","-"," - "),IF(COUNTIF(OFFSET($E96,0,1):OFFSET(U96,0,-1),"&lt;4")&gt;0,IF(C96="К","-"," - "),(IFERROR(AVERAGE(OFFSET($E96,0,1):OFFSET(U96,0,-1)),"Очікую"))))</f>
        <v>Очікую</v>
      </c>
      <c r="V96" s="49" t="str">
        <f t="shared" ca="1" si="1"/>
        <v>Очікую</v>
      </c>
      <c r="W96" s="36"/>
      <c r="X96" s="42"/>
    </row>
    <row r="97" spans="1:24" s="12" customFormat="1" ht="15" customHeight="1" x14ac:dyDescent="0.25">
      <c r="A97" s="43"/>
      <c r="B97" s="34"/>
      <c r="C97" s="47"/>
      <c r="D97" s="47">
        <v>88</v>
      </c>
      <c r="E97" s="48"/>
      <c r="F97" s="47"/>
      <c r="G97" s="47"/>
      <c r="H97" s="47"/>
      <c r="I97" s="47"/>
      <c r="J97" s="47"/>
      <c r="K97" s="47"/>
      <c r="L97" s="47"/>
      <c r="M97" s="47"/>
      <c r="N97" s="47"/>
      <c r="O97" s="47"/>
      <c r="P97" s="47"/>
      <c r="Q97" s="47"/>
      <c r="R97" s="47"/>
      <c r="S97" s="47"/>
      <c r="T97" s="47"/>
      <c r="U97" s="49" t="str">
        <f ca="1">IF(COUNTIF(OFFSET($E97,0,1):OFFSET(U97,0,-1),"=*")&gt;0,IF($C97="К","-"," - "),IF(COUNTIF(OFFSET($E97,0,1):OFFSET(U97,0,-1),"&lt;4")&gt;0,IF(C97="К","-"," - "),(IFERROR(AVERAGE(OFFSET($E97,0,1):OFFSET(U97,0,-1)),"Очікую"))))</f>
        <v>Очікую</v>
      </c>
      <c r="V97" s="49" t="str">
        <f t="shared" ca="1" si="1"/>
        <v>Очікую</v>
      </c>
      <c r="W97" s="36"/>
      <c r="X97" s="42"/>
    </row>
    <row r="98" spans="1:24" s="12" customFormat="1" ht="15" customHeight="1" x14ac:dyDescent="0.25">
      <c r="A98" s="43"/>
      <c r="B98" s="34"/>
      <c r="C98" s="47"/>
      <c r="D98" s="47">
        <v>89</v>
      </c>
      <c r="E98" s="48"/>
      <c r="F98" s="47"/>
      <c r="G98" s="47"/>
      <c r="H98" s="47"/>
      <c r="I98" s="47"/>
      <c r="J98" s="47"/>
      <c r="K98" s="47"/>
      <c r="L98" s="47"/>
      <c r="M98" s="47"/>
      <c r="N98" s="47"/>
      <c r="O98" s="47"/>
      <c r="P98" s="47"/>
      <c r="Q98" s="47"/>
      <c r="R98" s="47"/>
      <c r="S98" s="47"/>
      <c r="T98" s="47"/>
      <c r="U98" s="49" t="str">
        <f ca="1">IF(COUNTIF(OFFSET($E98,0,1):OFFSET(U98,0,-1),"=*")&gt;0,IF($C98="К","-"," - "),IF(COUNTIF(OFFSET($E98,0,1):OFFSET(U98,0,-1),"&lt;4")&gt;0,IF(C98="К","-"," - "),(IFERROR(AVERAGE(OFFSET($E98,0,1):OFFSET(U98,0,-1)),"Очікую"))))</f>
        <v>Очікую</v>
      </c>
      <c r="V98" s="49" t="str">
        <f t="shared" ca="1" si="1"/>
        <v>Очікую</v>
      </c>
      <c r="W98" s="36"/>
      <c r="X98" s="42"/>
    </row>
    <row r="99" spans="1:24" s="12" customFormat="1" ht="15" customHeight="1" x14ac:dyDescent="0.25">
      <c r="A99" s="43"/>
      <c r="B99" s="34"/>
      <c r="C99" s="47"/>
      <c r="D99" s="47">
        <v>90</v>
      </c>
      <c r="E99" s="48"/>
      <c r="F99" s="47"/>
      <c r="G99" s="47"/>
      <c r="H99" s="47"/>
      <c r="I99" s="47"/>
      <c r="J99" s="47"/>
      <c r="K99" s="47"/>
      <c r="L99" s="47"/>
      <c r="M99" s="47"/>
      <c r="N99" s="47"/>
      <c r="O99" s="47"/>
      <c r="P99" s="47"/>
      <c r="Q99" s="47"/>
      <c r="R99" s="47"/>
      <c r="S99" s="47"/>
      <c r="T99" s="47"/>
      <c r="U99" s="49" t="str">
        <f ca="1">IF(COUNTIF(OFFSET($E99,0,1):OFFSET(U99,0,-1),"=*")&gt;0,IF($C99="К","-"," - "),IF(COUNTIF(OFFSET($E99,0,1):OFFSET(U99,0,-1),"&lt;4")&gt;0,IF(C99="К","-"," - "),(IFERROR(AVERAGE(OFFSET($E99,0,1):OFFSET(U99,0,-1)),"Очікую"))))</f>
        <v>Очікую</v>
      </c>
      <c r="V99" s="49" t="str">
        <f t="shared" ca="1" si="1"/>
        <v>Очікую</v>
      </c>
      <c r="W99" s="36"/>
      <c r="X99" s="42"/>
    </row>
    <row r="100" spans="1:24" s="12" customFormat="1" ht="15" customHeight="1" x14ac:dyDescent="0.25">
      <c r="A100" s="43"/>
      <c r="B100" s="34"/>
      <c r="C100" s="47"/>
      <c r="D100" s="47">
        <v>91</v>
      </c>
      <c r="E100" s="48"/>
      <c r="F100" s="47"/>
      <c r="G100" s="47"/>
      <c r="H100" s="47"/>
      <c r="I100" s="47"/>
      <c r="J100" s="47"/>
      <c r="K100" s="47"/>
      <c r="L100" s="47"/>
      <c r="M100" s="47"/>
      <c r="N100" s="47"/>
      <c r="O100" s="47"/>
      <c r="P100" s="47"/>
      <c r="Q100" s="47"/>
      <c r="R100" s="47"/>
      <c r="S100" s="47"/>
      <c r="T100" s="47"/>
      <c r="U100" s="49" t="str">
        <f ca="1">IF(COUNTIF(OFFSET($E100,0,1):OFFSET(U100,0,-1),"=*")&gt;0,IF($C100="К","-"," - "),IF(COUNTIF(OFFSET($E100,0,1):OFFSET(U100,0,-1),"&lt;4")&gt;0,IF(C100="К","-"," - "),(IFERROR(AVERAGE(OFFSET($E100,0,1):OFFSET(U100,0,-1)),"Очікую"))))</f>
        <v>Очікую</v>
      </c>
      <c r="V100" s="49" t="str">
        <f t="shared" ca="1" si="1"/>
        <v>Очікую</v>
      </c>
      <c r="W100" s="36"/>
      <c r="X100" s="42"/>
    </row>
    <row r="101" spans="1:24" s="12" customFormat="1" ht="15" customHeight="1" x14ac:dyDescent="0.25">
      <c r="A101" s="43"/>
      <c r="B101" s="34"/>
      <c r="C101" s="47"/>
      <c r="D101" s="47">
        <v>92</v>
      </c>
      <c r="E101" s="48"/>
      <c r="F101" s="47"/>
      <c r="G101" s="47"/>
      <c r="H101" s="47"/>
      <c r="I101" s="47"/>
      <c r="J101" s="47"/>
      <c r="K101" s="47"/>
      <c r="L101" s="47"/>
      <c r="M101" s="47"/>
      <c r="N101" s="47"/>
      <c r="O101" s="47"/>
      <c r="P101" s="47"/>
      <c r="Q101" s="47"/>
      <c r="R101" s="47"/>
      <c r="S101" s="47"/>
      <c r="T101" s="47"/>
      <c r="U101" s="49" t="str">
        <f ca="1">IF(COUNTIF(OFFSET($E101,0,1):OFFSET(U101,0,-1),"=*")&gt;0,IF($C101="К","-"," - "),IF(COUNTIF(OFFSET($E101,0,1):OFFSET(U101,0,-1),"&lt;4")&gt;0,IF(C101="К","-"," - "),(IFERROR(AVERAGE(OFFSET($E101,0,1):OFFSET(U101,0,-1)),"Очікую"))))</f>
        <v>Очікую</v>
      </c>
      <c r="V101" s="49" t="str">
        <f t="shared" ca="1" si="1"/>
        <v>Очікую</v>
      </c>
      <c r="W101" s="36"/>
      <c r="X101" s="42"/>
    </row>
    <row r="102" spans="1:24" s="12" customFormat="1" ht="15" customHeight="1" x14ac:dyDescent="0.25">
      <c r="A102" s="43"/>
      <c r="B102" s="34"/>
      <c r="C102" s="47"/>
      <c r="D102" s="47">
        <v>93</v>
      </c>
      <c r="E102" s="48"/>
      <c r="F102" s="47"/>
      <c r="G102" s="47"/>
      <c r="H102" s="47"/>
      <c r="I102" s="47"/>
      <c r="J102" s="47"/>
      <c r="K102" s="47"/>
      <c r="L102" s="47"/>
      <c r="M102" s="47"/>
      <c r="N102" s="47"/>
      <c r="O102" s="47"/>
      <c r="P102" s="47"/>
      <c r="Q102" s="47"/>
      <c r="R102" s="47"/>
      <c r="S102" s="47"/>
      <c r="T102" s="47"/>
      <c r="U102" s="49" t="str">
        <f ca="1">IF(COUNTIF(OFFSET($E102,0,1):OFFSET(U102,0,-1),"=*")&gt;0,IF($C102="К","-"," - "),IF(COUNTIF(OFFSET($E102,0,1):OFFSET(U102,0,-1),"&lt;4")&gt;0,IF(C102="К","-"," - "),(IFERROR(AVERAGE(OFFSET($E102,0,1):OFFSET(U102,0,-1)),"Очікую"))))</f>
        <v>Очікую</v>
      </c>
      <c r="V102" s="49" t="str">
        <f t="shared" ca="1" si="1"/>
        <v>Очікую</v>
      </c>
      <c r="W102" s="36"/>
      <c r="X102" s="42"/>
    </row>
    <row r="103" spans="1:24" s="12" customFormat="1" ht="15" customHeight="1" x14ac:dyDescent="0.25">
      <c r="A103" s="43"/>
      <c r="B103" s="34"/>
      <c r="C103" s="47"/>
      <c r="D103" s="47">
        <v>94</v>
      </c>
      <c r="E103" s="48"/>
      <c r="F103" s="47"/>
      <c r="G103" s="47"/>
      <c r="H103" s="47"/>
      <c r="I103" s="47"/>
      <c r="J103" s="47"/>
      <c r="K103" s="47"/>
      <c r="L103" s="47"/>
      <c r="M103" s="47"/>
      <c r="N103" s="47"/>
      <c r="O103" s="47"/>
      <c r="P103" s="47"/>
      <c r="Q103" s="47"/>
      <c r="R103" s="47"/>
      <c r="S103" s="47"/>
      <c r="T103" s="47"/>
      <c r="U103" s="49" t="str">
        <f ca="1">IF(COUNTIF(OFFSET($E103,0,1):OFFSET(U103,0,-1),"=*")&gt;0,IF($C103="К","-"," - "),IF(COUNTIF(OFFSET($E103,0,1):OFFSET(U103,0,-1),"&lt;4")&gt;0,IF(C103="К","-"," - "),(IFERROR(AVERAGE(OFFSET($E103,0,1):OFFSET(U103,0,-1)),"Очікую"))))</f>
        <v>Очікую</v>
      </c>
      <c r="V103" s="49" t="str">
        <f t="shared" ca="1" si="1"/>
        <v>Очікую</v>
      </c>
      <c r="W103" s="36"/>
      <c r="X103" s="42"/>
    </row>
    <row r="104" spans="1:24" s="12" customFormat="1" ht="15" customHeight="1" x14ac:dyDescent="0.25">
      <c r="A104" s="43"/>
      <c r="B104" s="34"/>
      <c r="C104" s="47"/>
      <c r="D104" s="47">
        <v>95</v>
      </c>
      <c r="E104" s="48"/>
      <c r="F104" s="47"/>
      <c r="G104" s="47"/>
      <c r="H104" s="47"/>
      <c r="I104" s="47"/>
      <c r="J104" s="47"/>
      <c r="K104" s="47"/>
      <c r="L104" s="47"/>
      <c r="M104" s="47"/>
      <c r="N104" s="47"/>
      <c r="O104" s="47"/>
      <c r="P104" s="47"/>
      <c r="Q104" s="47"/>
      <c r="R104" s="47"/>
      <c r="S104" s="47"/>
      <c r="T104" s="47"/>
      <c r="U104" s="49" t="str">
        <f ca="1">IF(COUNTIF(OFFSET($E104,0,1):OFFSET(U104,0,-1),"=*")&gt;0,IF($C104="К","-"," - "),IF(COUNTIF(OFFSET($E104,0,1):OFFSET(U104,0,-1),"&lt;4")&gt;0,IF(C104="К","-"," - "),(IFERROR(AVERAGE(OFFSET($E104,0,1):OFFSET(U104,0,-1)),"Очікую"))))</f>
        <v>Очікую</v>
      </c>
      <c r="V104" s="49" t="str">
        <f t="shared" ca="1" si="1"/>
        <v>Очікую</v>
      </c>
      <c r="W104" s="36"/>
      <c r="X104" s="42"/>
    </row>
    <row r="105" spans="1:24" s="12" customFormat="1" ht="15" customHeight="1" x14ac:dyDescent="0.25">
      <c r="A105" s="43"/>
      <c r="B105" s="34"/>
      <c r="C105" s="47"/>
      <c r="D105" s="47">
        <v>96</v>
      </c>
      <c r="E105" s="48"/>
      <c r="F105" s="47"/>
      <c r="G105" s="47"/>
      <c r="H105" s="47"/>
      <c r="I105" s="47"/>
      <c r="J105" s="47"/>
      <c r="K105" s="47"/>
      <c r="L105" s="47"/>
      <c r="M105" s="47"/>
      <c r="N105" s="47"/>
      <c r="O105" s="47"/>
      <c r="P105" s="47"/>
      <c r="Q105" s="47"/>
      <c r="R105" s="47"/>
      <c r="S105" s="47"/>
      <c r="T105" s="47"/>
      <c r="U105" s="49" t="str">
        <f ca="1">IF(COUNTIF(OFFSET($E105,0,1):OFFSET(U105,0,-1),"=*")&gt;0,IF($C105="К","-"," - "),IF(COUNTIF(OFFSET($E105,0,1):OFFSET(U105,0,-1),"&lt;4")&gt;0,IF(C105="К","-"," - "),(IFERROR(AVERAGE(OFFSET($E105,0,1):OFFSET(U105,0,-1)),"Очікую"))))</f>
        <v>Очікую</v>
      </c>
      <c r="V105" s="49" t="str">
        <f t="shared" ca="1" si="1"/>
        <v>Очікую</v>
      </c>
      <c r="W105" s="36"/>
      <c r="X105" s="42"/>
    </row>
    <row r="106" spans="1:24" s="12" customFormat="1" ht="15" customHeight="1" x14ac:dyDescent="0.25">
      <c r="A106" s="43"/>
      <c r="B106" s="34"/>
      <c r="C106" s="47"/>
      <c r="D106" s="47">
        <v>97</v>
      </c>
      <c r="E106" s="48"/>
      <c r="F106" s="47"/>
      <c r="G106" s="47"/>
      <c r="H106" s="47"/>
      <c r="I106" s="47"/>
      <c r="J106" s="47"/>
      <c r="K106" s="47"/>
      <c r="L106" s="47"/>
      <c r="M106" s="47"/>
      <c r="N106" s="47"/>
      <c r="O106" s="47"/>
      <c r="P106" s="47"/>
      <c r="Q106" s="47"/>
      <c r="R106" s="47"/>
      <c r="S106" s="47"/>
      <c r="T106" s="47"/>
      <c r="U106" s="49" t="str">
        <f ca="1">IF(COUNTIF(OFFSET($E106,0,1):OFFSET(U106,0,-1),"=*")&gt;0,IF($C106="К","-"," - "),IF(COUNTIF(OFFSET($E106,0,1):OFFSET(U106,0,-1),"&lt;4")&gt;0,IF(C106="К","-"," - "),(IFERROR(AVERAGE(OFFSET($E106,0,1):OFFSET(U106,0,-1)),"Очікую"))))</f>
        <v>Очікую</v>
      </c>
      <c r="V106" s="49" t="str">
        <f t="shared" ca="1" si="1"/>
        <v>Очікую</v>
      </c>
      <c r="W106" s="36"/>
      <c r="X106" s="42"/>
    </row>
    <row r="107" spans="1:24" s="12" customFormat="1" ht="15" customHeight="1" x14ac:dyDescent="0.25">
      <c r="A107" s="43"/>
      <c r="B107" s="34"/>
      <c r="C107" s="47"/>
      <c r="D107" s="47">
        <v>98</v>
      </c>
      <c r="E107" s="48"/>
      <c r="F107" s="47"/>
      <c r="G107" s="47"/>
      <c r="H107" s="47"/>
      <c r="I107" s="47"/>
      <c r="J107" s="47"/>
      <c r="K107" s="47"/>
      <c r="L107" s="47"/>
      <c r="M107" s="47"/>
      <c r="N107" s="47"/>
      <c r="O107" s="47"/>
      <c r="P107" s="47"/>
      <c r="Q107" s="47"/>
      <c r="R107" s="47"/>
      <c r="S107" s="47"/>
      <c r="T107" s="47"/>
      <c r="U107" s="49" t="str">
        <f ca="1">IF(COUNTIF(OFFSET($E107,0,1):OFFSET(U107,0,-1),"=*")&gt;0,IF($C107="К","-"," - "),IF(COUNTIF(OFFSET($E107,0,1):OFFSET(U107,0,-1),"&lt;4")&gt;0,IF(C107="К","-"," - "),(IFERROR(AVERAGE(OFFSET($E107,0,1):OFFSET(U107,0,-1)),"Очікую"))))</f>
        <v>Очікую</v>
      </c>
      <c r="V107" s="49" t="str">
        <f t="shared" ca="1" si="1"/>
        <v>Очікую</v>
      </c>
      <c r="W107" s="36"/>
      <c r="X107" s="42"/>
    </row>
    <row r="108" spans="1:24" s="12" customFormat="1" ht="15" customHeight="1" x14ac:dyDescent="0.25">
      <c r="A108" s="43"/>
      <c r="B108" s="34"/>
      <c r="C108" s="47"/>
      <c r="D108" s="47">
        <v>99</v>
      </c>
      <c r="E108" s="48"/>
      <c r="F108" s="47"/>
      <c r="G108" s="47"/>
      <c r="H108" s="47"/>
      <c r="I108" s="47"/>
      <c r="J108" s="47"/>
      <c r="K108" s="47"/>
      <c r="L108" s="47"/>
      <c r="M108" s="47"/>
      <c r="N108" s="47"/>
      <c r="O108" s="47"/>
      <c r="P108" s="47"/>
      <c r="Q108" s="47"/>
      <c r="R108" s="47"/>
      <c r="S108" s="47"/>
      <c r="T108" s="47"/>
      <c r="U108" s="49" t="str">
        <f ca="1">IF(COUNTIF(OFFSET($E108,0,1):OFFSET(U108,0,-1),"=*")&gt;0,IF($C108="К","-"," - "),IF(COUNTIF(OFFSET($E108,0,1):OFFSET(U108,0,-1),"&lt;4")&gt;0,IF(C108="К","-"," - "),(IFERROR(AVERAGE(OFFSET($E108,0,1):OFFSET(U108,0,-1)),"Очікую"))))</f>
        <v>Очікую</v>
      </c>
      <c r="V108" s="49" t="str">
        <f t="shared" ca="1" si="1"/>
        <v>Очікую</v>
      </c>
      <c r="W108" s="36"/>
      <c r="X108" s="42"/>
    </row>
    <row r="109" spans="1:24" s="12" customFormat="1" ht="15" customHeight="1" x14ac:dyDescent="0.25">
      <c r="A109" s="43"/>
      <c r="B109" s="34"/>
      <c r="C109" s="47"/>
      <c r="D109" s="47">
        <v>100</v>
      </c>
      <c r="E109" s="48"/>
      <c r="F109" s="47"/>
      <c r="G109" s="47"/>
      <c r="H109" s="47"/>
      <c r="I109" s="47"/>
      <c r="J109" s="47"/>
      <c r="K109" s="47"/>
      <c r="L109" s="47"/>
      <c r="M109" s="47"/>
      <c r="N109" s="47"/>
      <c r="O109" s="47"/>
      <c r="P109" s="47"/>
      <c r="Q109" s="47"/>
      <c r="R109" s="47"/>
      <c r="S109" s="47"/>
      <c r="T109" s="47"/>
      <c r="U109" s="49" t="str">
        <f ca="1">IF(COUNTIF(OFFSET($E109,0,1):OFFSET(U109,0,-1),"=*")&gt;0,IF($C109="К","-"," - "),IF(COUNTIF(OFFSET($E109,0,1):OFFSET(U109,0,-1),"&lt;4")&gt;0,IF(C109="К","-"," - "),(IFERROR(AVERAGE(OFFSET($E109,0,1):OFFSET(U109,0,-1)),"Очікую"))))</f>
        <v>Очікую</v>
      </c>
      <c r="V109" s="49" t="str">
        <f t="shared" ca="1" si="1"/>
        <v>Очікую</v>
      </c>
      <c r="W109" s="36"/>
      <c r="X109" s="42"/>
    </row>
    <row r="110" spans="1:24" ht="15" customHeight="1" x14ac:dyDescent="0.25">
      <c r="A110" s="43"/>
      <c r="B110" s="34"/>
      <c r="C110" s="27"/>
      <c r="D110" s="27"/>
      <c r="E110" s="28" t="s">
        <v>9</v>
      </c>
      <c r="F110" s="5" t="str">
        <f ca="1">З4!F115</f>
        <v>Очікую</v>
      </c>
      <c r="G110" s="27"/>
      <c r="H110" s="29"/>
      <c r="I110" s="27"/>
      <c r="J110" s="27"/>
      <c r="K110" s="27"/>
      <c r="L110" s="27"/>
      <c r="M110" s="27"/>
      <c r="N110" s="27"/>
      <c r="O110" s="27"/>
      <c r="P110" s="30"/>
      <c r="Q110" s="29"/>
      <c r="R110" s="27"/>
      <c r="S110" s="27"/>
      <c r="T110" s="27"/>
      <c r="U110" s="27"/>
      <c r="V110" s="27"/>
      <c r="W110" s="35"/>
      <c r="X110" s="42"/>
    </row>
    <row r="111" spans="1:24" ht="15" customHeight="1" x14ac:dyDescent="0.25">
      <c r="A111" s="43"/>
      <c r="B111" s="34"/>
      <c r="C111" s="27"/>
      <c r="D111" s="27"/>
      <c r="E111" s="28" t="s">
        <v>10</v>
      </c>
      <c r="F111" s="5" t="str">
        <f ca="1">З4!F116</f>
        <v>Очікую</v>
      </c>
      <c r="G111" s="27"/>
      <c r="H111" s="78" t="s">
        <v>11</v>
      </c>
      <c r="I111" s="78"/>
      <c r="J111" s="78"/>
      <c r="K111" s="78"/>
      <c r="L111" s="78"/>
      <c r="M111" s="7"/>
      <c r="N111" s="7"/>
      <c r="O111" s="7"/>
      <c r="P111" s="79" t="s">
        <v>81</v>
      </c>
      <c r="Q111" s="79"/>
      <c r="R111" s="79"/>
      <c r="S111" s="79"/>
      <c r="T111" s="79"/>
      <c r="U111" s="79"/>
      <c r="V111" s="27"/>
      <c r="W111" s="35"/>
      <c r="X111" s="42"/>
    </row>
    <row r="112" spans="1:24" ht="15" customHeight="1" x14ac:dyDescent="0.25">
      <c r="A112" s="43"/>
      <c r="B112" s="34"/>
      <c r="C112" s="27"/>
      <c r="D112" s="27"/>
      <c r="E112" s="28" t="s">
        <v>12</v>
      </c>
      <c r="F112" s="5">
        <f>З4!F117</f>
        <v>0</v>
      </c>
      <c r="G112" s="27"/>
      <c r="H112" s="11"/>
      <c r="I112" s="7"/>
      <c r="J112" s="7"/>
      <c r="K112" s="7"/>
      <c r="L112" s="7"/>
      <c r="M112" s="7"/>
      <c r="N112" s="7"/>
      <c r="O112" s="7"/>
      <c r="P112" s="11"/>
      <c r="Q112" s="11"/>
      <c r="R112" s="7"/>
      <c r="S112" s="7"/>
      <c r="T112" s="7"/>
      <c r="U112" s="7"/>
      <c r="V112" s="27"/>
      <c r="W112" s="35"/>
      <c r="X112" s="42"/>
    </row>
    <row r="113" spans="1:24" ht="15" customHeight="1" x14ac:dyDescent="0.25">
      <c r="A113" s="43"/>
      <c r="B113" s="34"/>
      <c r="C113" s="27"/>
      <c r="D113" s="27"/>
      <c r="E113" s="28" t="s">
        <v>13</v>
      </c>
      <c r="F113" s="5" t="str">
        <f ca="1">З4!F118</f>
        <v>Очікую</v>
      </c>
      <c r="G113" s="27"/>
      <c r="H113" s="79" t="s">
        <v>14</v>
      </c>
      <c r="I113" s="79"/>
      <c r="J113" s="79"/>
      <c r="K113" s="79"/>
      <c r="L113" s="79"/>
      <c r="M113" s="7"/>
      <c r="N113" s="7"/>
      <c r="O113" s="7"/>
      <c r="P113" s="79" t="s">
        <v>15</v>
      </c>
      <c r="Q113" s="79"/>
      <c r="R113" s="79"/>
      <c r="S113" s="79"/>
      <c r="T113" s="79"/>
      <c r="U113" s="79"/>
      <c r="V113" s="27"/>
      <c r="W113" s="35"/>
      <c r="X113" s="42"/>
    </row>
    <row r="114" spans="1:24" ht="12" customHeight="1" thickBot="1" x14ac:dyDescent="0.3">
      <c r="A114" s="43"/>
      <c r="B114" s="37"/>
      <c r="C114" s="38"/>
      <c r="D114" s="38"/>
      <c r="E114" s="38"/>
      <c r="F114" s="38"/>
      <c r="G114" s="38"/>
      <c r="H114" s="38"/>
      <c r="I114" s="38"/>
      <c r="J114" s="38"/>
      <c r="K114" s="38"/>
      <c r="L114" s="38"/>
      <c r="M114" s="38"/>
      <c r="N114" s="38"/>
      <c r="O114" s="38"/>
      <c r="P114" s="38"/>
      <c r="Q114" s="38"/>
      <c r="R114" s="38"/>
      <c r="S114" s="38"/>
      <c r="T114" s="38"/>
      <c r="U114" s="38"/>
      <c r="V114" s="38"/>
      <c r="W114" s="39"/>
      <c r="X114" s="42"/>
    </row>
    <row r="115" spans="1:24" ht="12" customHeight="1" x14ac:dyDescent="0.25">
      <c r="A115" s="41"/>
      <c r="B115" s="17"/>
      <c r="C115" s="17"/>
      <c r="D115" s="17"/>
      <c r="E115" s="17"/>
      <c r="F115" s="17"/>
      <c r="G115" s="17"/>
      <c r="H115" s="17"/>
      <c r="I115" s="17"/>
      <c r="J115" s="17"/>
      <c r="K115" s="17"/>
      <c r="L115" s="17"/>
      <c r="M115" s="17"/>
      <c r="N115" s="17"/>
      <c r="O115" s="17"/>
      <c r="P115" s="17"/>
      <c r="Q115" s="17"/>
      <c r="R115" s="17"/>
      <c r="S115" s="17"/>
      <c r="T115" s="17"/>
      <c r="U115" s="17"/>
      <c r="V115" s="17"/>
      <c r="W115" s="17"/>
      <c r="X115" s="42"/>
    </row>
    <row r="116" spans="1:24" ht="0" hidden="1" customHeight="1" x14ac:dyDescent="0.25">
      <c r="A116" s="44"/>
      <c r="X116" s="44"/>
    </row>
    <row r="117" spans="1:24" ht="0" hidden="1" customHeight="1" x14ac:dyDescent="0.25">
      <c r="A117" s="44"/>
      <c r="X117" s="44"/>
    </row>
    <row r="118" spans="1:24" ht="0" hidden="1" customHeight="1" x14ac:dyDescent="0.25">
      <c r="A118" s="44"/>
      <c r="X118" s="44"/>
    </row>
    <row r="119" spans="1:24" ht="0" hidden="1" customHeight="1" x14ac:dyDescent="0.25">
      <c r="A119" s="44"/>
      <c r="X119" s="44"/>
    </row>
    <row r="120" spans="1:24" ht="0" hidden="1"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row>
  </sheetData>
  <sheetProtection insertRows="0" deleteRows="0"/>
  <mergeCells count="13">
    <mergeCell ref="H111:L111"/>
    <mergeCell ref="P111:U111"/>
    <mergeCell ref="H113:L113"/>
    <mergeCell ref="P113:U113"/>
    <mergeCell ref="C8:C9"/>
    <mergeCell ref="D8:D9"/>
    <mergeCell ref="E8:E9"/>
    <mergeCell ref="F8:V8"/>
    <mergeCell ref="C3:V3"/>
    <mergeCell ref="C4:V4"/>
    <mergeCell ref="C5:V5"/>
    <mergeCell ref="C6:V6"/>
    <mergeCell ref="C7:V7"/>
  </mergeCells>
  <printOptions horizontalCentered="1"/>
  <pageMargins left="0.19685039370078741" right="0.19685039370078741" top="0.19685039370078741" bottom="0.19685039370078741" header="0" footer="0"/>
  <pageSetup paperSize="9" scale="32"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26B0A"/>
    <pageSetUpPr fitToPage="1"/>
  </sheetPr>
  <dimension ref="A1:BI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2" width="11.28515625" style="1" customWidth="1"/>
    <col min="23" max="24" width="2.7109375" style="1" customWidth="1"/>
    <col min="25" max="30" width="14.42578125" style="1" hidden="1" customWidth="1"/>
    <col min="31" max="31" width="14.85546875" style="1" hidden="1" customWidth="1"/>
    <col min="32" max="45" width="3.7109375" style="1" hidden="1" customWidth="1"/>
    <col min="46" max="61" width="5.7109375" style="1" hidden="1" customWidth="1"/>
    <col min="62" max="16384" width="14.42578125" style="1" hidden="1"/>
  </cols>
  <sheetData>
    <row r="1" spans="1:24"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c r="X1" s="41"/>
    </row>
    <row r="2" spans="1:24" ht="12" customHeight="1" x14ac:dyDescent="0.25">
      <c r="A2" s="43"/>
      <c r="B2" s="31"/>
      <c r="C2" s="32"/>
      <c r="D2" s="32"/>
      <c r="E2" s="32"/>
      <c r="F2" s="32"/>
      <c r="G2" s="32"/>
      <c r="H2" s="32"/>
      <c r="I2" s="32"/>
      <c r="J2" s="32"/>
      <c r="K2" s="32"/>
      <c r="L2" s="32"/>
      <c r="M2" s="32"/>
      <c r="N2" s="32"/>
      <c r="O2" s="32"/>
      <c r="P2" s="32"/>
      <c r="Q2" s="32"/>
      <c r="R2" s="32"/>
      <c r="S2" s="32"/>
      <c r="T2" s="32"/>
      <c r="U2" s="32"/>
      <c r="V2" s="32"/>
      <c r="W2" s="33"/>
      <c r="X2" s="42"/>
    </row>
    <row r="3" spans="1:24" s="2" customFormat="1" ht="54.95" customHeight="1" x14ac:dyDescent="0.3">
      <c r="A3" s="43"/>
      <c r="B3" s="34"/>
      <c r="C3" s="74" t="s">
        <v>19</v>
      </c>
      <c r="D3" s="74"/>
      <c r="E3" s="74"/>
      <c r="F3" s="74"/>
      <c r="G3" s="74"/>
      <c r="H3" s="74"/>
      <c r="I3" s="74"/>
      <c r="J3" s="74"/>
      <c r="K3" s="74"/>
      <c r="L3" s="74"/>
      <c r="M3" s="74"/>
      <c r="N3" s="74"/>
      <c r="O3" s="74"/>
      <c r="P3" s="74"/>
      <c r="Q3" s="74"/>
      <c r="R3" s="74"/>
      <c r="S3" s="74"/>
      <c r="T3" s="74"/>
      <c r="U3" s="74"/>
      <c r="V3" s="74"/>
      <c r="W3" s="35"/>
      <c r="X3" s="42"/>
    </row>
    <row r="4" spans="1:24" s="3" customFormat="1" ht="15" customHeight="1" x14ac:dyDescent="0.25">
      <c r="A4" s="43"/>
      <c r="B4" s="34"/>
      <c r="C4" s="75" t="s">
        <v>38</v>
      </c>
      <c r="D4" s="75"/>
      <c r="E4" s="75"/>
      <c r="F4" s="75"/>
      <c r="G4" s="75"/>
      <c r="H4" s="75"/>
      <c r="I4" s="75"/>
      <c r="J4" s="75"/>
      <c r="K4" s="75"/>
      <c r="L4" s="75"/>
      <c r="M4" s="75"/>
      <c r="N4" s="75"/>
      <c r="O4" s="75"/>
      <c r="P4" s="75"/>
      <c r="Q4" s="75"/>
      <c r="R4" s="75"/>
      <c r="S4" s="75"/>
      <c r="T4" s="75"/>
      <c r="U4" s="75"/>
      <c r="V4" s="75"/>
      <c r="W4" s="35"/>
      <c r="X4" s="42"/>
    </row>
    <row r="5" spans="1:24" s="2" customFormat="1" ht="15" customHeight="1" x14ac:dyDescent="0.25">
      <c r="A5" s="43"/>
      <c r="B5" s="34"/>
      <c r="C5" s="76" t="s">
        <v>35</v>
      </c>
      <c r="D5" s="76"/>
      <c r="E5" s="76"/>
      <c r="F5" s="76"/>
      <c r="G5" s="76"/>
      <c r="H5" s="76"/>
      <c r="I5" s="76"/>
      <c r="J5" s="76"/>
      <c r="K5" s="76"/>
      <c r="L5" s="76"/>
      <c r="M5" s="76"/>
      <c r="N5" s="76"/>
      <c r="O5" s="76"/>
      <c r="P5" s="76"/>
      <c r="Q5" s="76"/>
      <c r="R5" s="76"/>
      <c r="S5" s="76"/>
      <c r="T5" s="76"/>
      <c r="U5" s="76"/>
      <c r="V5" s="76"/>
      <c r="W5" s="35"/>
      <c r="X5" s="42"/>
    </row>
    <row r="6" spans="1:24" s="2" customFormat="1" ht="15" customHeight="1" x14ac:dyDescent="0.25">
      <c r="A6" s="43"/>
      <c r="B6" s="34"/>
      <c r="C6" s="76" t="s">
        <v>37</v>
      </c>
      <c r="D6" s="76"/>
      <c r="E6" s="76"/>
      <c r="F6" s="76"/>
      <c r="G6" s="76"/>
      <c r="H6" s="76"/>
      <c r="I6" s="76"/>
      <c r="J6" s="76"/>
      <c r="K6" s="76"/>
      <c r="L6" s="76"/>
      <c r="M6" s="76"/>
      <c r="N6" s="76"/>
      <c r="O6" s="76"/>
      <c r="P6" s="76"/>
      <c r="Q6" s="76"/>
      <c r="R6" s="76"/>
      <c r="S6" s="76"/>
      <c r="T6" s="76"/>
      <c r="U6" s="76"/>
      <c r="V6" s="76"/>
      <c r="W6" s="35"/>
      <c r="X6" s="42"/>
    </row>
    <row r="7" spans="1:24" s="2" customFormat="1" ht="15" customHeight="1" x14ac:dyDescent="0.25">
      <c r="A7" s="43"/>
      <c r="B7" s="34"/>
      <c r="C7" s="77" t="s">
        <v>36</v>
      </c>
      <c r="D7" s="77"/>
      <c r="E7" s="77"/>
      <c r="F7" s="77"/>
      <c r="G7" s="77"/>
      <c r="H7" s="77"/>
      <c r="I7" s="77"/>
      <c r="J7" s="77"/>
      <c r="K7" s="77"/>
      <c r="L7" s="77"/>
      <c r="M7" s="77"/>
      <c r="N7" s="77"/>
      <c r="O7" s="77"/>
      <c r="P7" s="77"/>
      <c r="Q7" s="77"/>
      <c r="R7" s="77"/>
      <c r="S7" s="77"/>
      <c r="T7" s="77"/>
      <c r="U7" s="77"/>
      <c r="V7" s="77"/>
      <c r="W7" s="35"/>
      <c r="X7" s="42"/>
    </row>
    <row r="8" spans="1:24" ht="15" customHeight="1" x14ac:dyDescent="0.25">
      <c r="A8" s="43"/>
      <c r="B8" s="34"/>
      <c r="C8" s="80" t="s">
        <v>0</v>
      </c>
      <c r="D8" s="82" t="s">
        <v>1</v>
      </c>
      <c r="E8" s="82" t="s">
        <v>2</v>
      </c>
      <c r="F8" s="81" t="s">
        <v>17</v>
      </c>
      <c r="G8" s="81"/>
      <c r="H8" s="81"/>
      <c r="I8" s="81"/>
      <c r="J8" s="81"/>
      <c r="K8" s="81"/>
      <c r="L8" s="81"/>
      <c r="M8" s="81"/>
      <c r="N8" s="81"/>
      <c r="O8" s="81"/>
      <c r="P8" s="81"/>
      <c r="Q8" s="81"/>
      <c r="R8" s="81"/>
      <c r="S8" s="81"/>
      <c r="T8" s="81"/>
      <c r="U8" s="81"/>
      <c r="V8" s="81"/>
      <c r="W8" s="35"/>
      <c r="X8" s="42"/>
    </row>
    <row r="9" spans="1:24" ht="125.1" customHeight="1" x14ac:dyDescent="0.25">
      <c r="A9" s="43"/>
      <c r="B9" s="34"/>
      <c r="C9" s="81"/>
      <c r="D9" s="81"/>
      <c r="E9" s="81"/>
      <c r="F9" s="25" t="s">
        <v>20</v>
      </c>
      <c r="G9" s="25" t="s">
        <v>21</v>
      </c>
      <c r="H9" s="25" t="s">
        <v>22</v>
      </c>
      <c r="I9" s="25" t="s">
        <v>23</v>
      </c>
      <c r="J9" s="25" t="s">
        <v>24</v>
      </c>
      <c r="K9" s="25" t="s">
        <v>25</v>
      </c>
      <c r="L9" s="25" t="s">
        <v>26</v>
      </c>
      <c r="M9" s="25" t="s">
        <v>27</v>
      </c>
      <c r="N9" s="25" t="s">
        <v>28</v>
      </c>
      <c r="O9" s="25" t="s">
        <v>29</v>
      </c>
      <c r="P9" s="25" t="s">
        <v>30</v>
      </c>
      <c r="Q9" s="25" t="s">
        <v>31</v>
      </c>
      <c r="R9" s="25" t="s">
        <v>32</v>
      </c>
      <c r="S9" s="25" t="s">
        <v>33</v>
      </c>
      <c r="T9" s="25" t="s">
        <v>34</v>
      </c>
      <c r="U9" s="26" t="s">
        <v>3</v>
      </c>
      <c r="V9" s="26" t="s">
        <v>39</v>
      </c>
      <c r="W9" s="35"/>
      <c r="X9" s="42"/>
    </row>
    <row r="10" spans="1:24" s="12" customFormat="1" ht="15" customHeight="1" x14ac:dyDescent="0.25">
      <c r="A10" s="43"/>
      <c r="B10" s="34"/>
      <c r="C10" s="47"/>
      <c r="D10" s="47">
        <v>1</v>
      </c>
      <c r="E10" s="48"/>
      <c r="F10" s="47"/>
      <c r="G10" s="47"/>
      <c r="H10" s="47"/>
      <c r="I10" s="47"/>
      <c r="J10" s="47"/>
      <c r="K10" s="47"/>
      <c r="L10" s="47"/>
      <c r="M10" s="47"/>
      <c r="N10" s="47"/>
      <c r="O10" s="47"/>
      <c r="P10" s="47"/>
      <c r="Q10" s="47"/>
      <c r="R10" s="47"/>
      <c r="S10" s="47"/>
      <c r="T10" s="47"/>
      <c r="U10" s="49" t="str">
        <f ca="1">IF(COUNTIF(OFFSET($E10,0,1):OFFSET(U10,0,-1),"=*")&gt;0,IF($C10="К","-"," - "),IF(COUNTIF(OFFSET($E10,0,1):OFFSET(U10,0,-1),"&lt;4")&gt;0,IF(C10="К","-"," - "),(IFERROR(AVERAGE(OFFSET($E10,0,1):OFFSET(U10,0,-1)),"Очікую"))))</f>
        <v>Очікую</v>
      </c>
      <c r="V10" s="49" t="str">
        <f ca="1">IFERROR(U10/12*90,"Очікую")</f>
        <v>Очікую</v>
      </c>
      <c r="W10" s="36"/>
      <c r="X10" s="42"/>
    </row>
    <row r="11" spans="1:24" s="12" customFormat="1" ht="15" customHeight="1" x14ac:dyDescent="0.25">
      <c r="A11" s="43"/>
      <c r="B11" s="34"/>
      <c r="C11" s="47"/>
      <c r="D11" s="47">
        <v>2</v>
      </c>
      <c r="E11" s="48"/>
      <c r="F11" s="47"/>
      <c r="G11" s="47"/>
      <c r="H11" s="47"/>
      <c r="I11" s="47"/>
      <c r="J11" s="47"/>
      <c r="K11" s="47"/>
      <c r="L11" s="47"/>
      <c r="M11" s="47"/>
      <c r="N11" s="47"/>
      <c r="O11" s="47"/>
      <c r="P11" s="47"/>
      <c r="Q11" s="47"/>
      <c r="R11" s="47"/>
      <c r="S11" s="47"/>
      <c r="T11" s="47"/>
      <c r="U11" s="49" t="str">
        <f ca="1">IF(COUNTIF(OFFSET($E11,0,1):OFFSET(U11,0,-1),"=*")&gt;0,IF($C11="К","-"," - "),IF(COUNTIF(OFFSET($E11,0,1):OFFSET(U11,0,-1),"&lt;4")&gt;0,IF(C11="К","-"," - "),(IFERROR(AVERAGE(OFFSET($E11,0,1):OFFSET(U11,0,-1)),"Очікую"))))</f>
        <v>Очікую</v>
      </c>
      <c r="V11" s="49" t="str">
        <f t="shared" ref="V11:V74" ca="1" si="0">IFERROR(U11/12*90,"Очікую")</f>
        <v>Очікую</v>
      </c>
      <c r="W11" s="36"/>
      <c r="X11" s="42"/>
    </row>
    <row r="12" spans="1:24" s="12" customFormat="1" ht="15" customHeight="1" x14ac:dyDescent="0.25">
      <c r="A12" s="43"/>
      <c r="B12" s="34"/>
      <c r="C12" s="47"/>
      <c r="D12" s="47">
        <v>3</v>
      </c>
      <c r="E12" s="48"/>
      <c r="F12" s="47"/>
      <c r="G12" s="47"/>
      <c r="H12" s="47"/>
      <c r="I12" s="47"/>
      <c r="J12" s="47"/>
      <c r="K12" s="47"/>
      <c r="L12" s="47"/>
      <c r="M12" s="47"/>
      <c r="N12" s="47"/>
      <c r="O12" s="47"/>
      <c r="P12" s="47"/>
      <c r="Q12" s="47"/>
      <c r="R12" s="47"/>
      <c r="S12" s="47"/>
      <c r="T12" s="47"/>
      <c r="U12" s="49" t="str">
        <f ca="1">IF(COUNTIF(OFFSET($E12,0,1):OFFSET(U12,0,-1),"=*")&gt;0,IF($C12="К","-"," - "),IF(COUNTIF(OFFSET($E12,0,1):OFFSET(U12,0,-1),"&lt;4")&gt;0,IF(C12="К","-"," - "),(IFERROR(AVERAGE(OFFSET($E12,0,1):OFFSET(U12,0,-1)),"Очікую"))))</f>
        <v>Очікую</v>
      </c>
      <c r="V12" s="49" t="str">
        <f t="shared" ca="1" si="0"/>
        <v>Очікую</v>
      </c>
      <c r="W12" s="36"/>
      <c r="X12" s="42"/>
    </row>
    <row r="13" spans="1:24" s="12" customFormat="1" ht="15" customHeight="1" x14ac:dyDescent="0.25">
      <c r="A13" s="43"/>
      <c r="B13" s="34"/>
      <c r="C13" s="47"/>
      <c r="D13" s="47">
        <v>4</v>
      </c>
      <c r="E13" s="48"/>
      <c r="F13" s="47"/>
      <c r="G13" s="47"/>
      <c r="H13" s="47"/>
      <c r="I13" s="47"/>
      <c r="J13" s="47"/>
      <c r="K13" s="47"/>
      <c r="L13" s="47"/>
      <c r="M13" s="47"/>
      <c r="N13" s="47"/>
      <c r="O13" s="47"/>
      <c r="P13" s="47"/>
      <c r="Q13" s="47"/>
      <c r="R13" s="47"/>
      <c r="S13" s="47"/>
      <c r="T13" s="47"/>
      <c r="U13" s="49" t="str">
        <f ca="1">IF(COUNTIF(OFFSET($E13,0,1):OFFSET(U13,0,-1),"=*")&gt;0,IF($C13="К","-"," - "),IF(COUNTIF(OFFSET($E13,0,1):OFFSET(U13,0,-1),"&lt;4")&gt;0,IF(C13="К","-"," - "),(IFERROR(AVERAGE(OFFSET($E13,0,1):OFFSET(U13,0,-1)),"Очікую"))))</f>
        <v>Очікую</v>
      </c>
      <c r="V13" s="49" t="str">
        <f t="shared" ca="1" si="0"/>
        <v>Очікую</v>
      </c>
      <c r="W13" s="36"/>
      <c r="X13" s="42"/>
    </row>
    <row r="14" spans="1:24" s="12" customFormat="1" ht="15" customHeight="1" x14ac:dyDescent="0.25">
      <c r="A14" s="43"/>
      <c r="B14" s="34"/>
      <c r="C14" s="47"/>
      <c r="D14" s="47">
        <v>5</v>
      </c>
      <c r="E14" s="48"/>
      <c r="F14" s="47"/>
      <c r="G14" s="47"/>
      <c r="H14" s="47"/>
      <c r="I14" s="47"/>
      <c r="J14" s="47"/>
      <c r="K14" s="47"/>
      <c r="L14" s="47"/>
      <c r="M14" s="47"/>
      <c r="N14" s="47"/>
      <c r="O14" s="47"/>
      <c r="P14" s="47"/>
      <c r="Q14" s="47"/>
      <c r="R14" s="47"/>
      <c r="S14" s="47"/>
      <c r="T14" s="47"/>
      <c r="U14" s="49" t="str">
        <f ca="1">IF(COUNTIF(OFFSET($E14,0,1):OFFSET(U14,0,-1),"=*")&gt;0,IF($C14="К","-"," - "),IF(COUNTIF(OFFSET($E14,0,1):OFFSET(U14,0,-1),"&lt;4")&gt;0,IF(C14="К","-"," - "),(IFERROR(AVERAGE(OFFSET($E14,0,1):OFFSET(U14,0,-1)),"Очікую"))))</f>
        <v>Очікую</v>
      </c>
      <c r="V14" s="49" t="str">
        <f t="shared" ca="1" si="0"/>
        <v>Очікую</v>
      </c>
      <c r="W14" s="36"/>
      <c r="X14" s="42"/>
    </row>
    <row r="15" spans="1:24" s="12" customFormat="1" ht="15" customHeight="1" x14ac:dyDescent="0.25">
      <c r="A15" s="43"/>
      <c r="B15" s="34"/>
      <c r="C15" s="47"/>
      <c r="D15" s="47">
        <v>6</v>
      </c>
      <c r="E15" s="48"/>
      <c r="F15" s="47"/>
      <c r="G15" s="47"/>
      <c r="H15" s="47"/>
      <c r="I15" s="47"/>
      <c r="J15" s="47"/>
      <c r="K15" s="47"/>
      <c r="L15" s="47"/>
      <c r="M15" s="47"/>
      <c r="N15" s="47"/>
      <c r="O15" s="47"/>
      <c r="P15" s="47"/>
      <c r="Q15" s="47"/>
      <c r="R15" s="47"/>
      <c r="S15" s="47"/>
      <c r="T15" s="47"/>
      <c r="U15" s="49" t="str">
        <f ca="1">IF(COUNTIF(OFFSET($E15,0,1):OFFSET(U15,0,-1),"=*")&gt;0,IF($C15="К","-"," - "),IF(COUNTIF(OFFSET($E15,0,1):OFFSET(U15,0,-1),"&lt;4")&gt;0,IF(C15="К","-"," - "),(IFERROR(AVERAGE(OFFSET($E15,0,1):OFFSET(U15,0,-1)),"Очікую"))))</f>
        <v>Очікую</v>
      </c>
      <c r="V15" s="49" t="str">
        <f t="shared" ca="1" si="0"/>
        <v>Очікую</v>
      </c>
      <c r="W15" s="36"/>
      <c r="X15" s="42"/>
    </row>
    <row r="16" spans="1:24" s="12" customFormat="1" ht="15" customHeight="1" x14ac:dyDescent="0.25">
      <c r="A16" s="43"/>
      <c r="B16" s="34"/>
      <c r="C16" s="47"/>
      <c r="D16" s="47">
        <v>7</v>
      </c>
      <c r="E16" s="48"/>
      <c r="F16" s="47"/>
      <c r="G16" s="47"/>
      <c r="H16" s="47"/>
      <c r="I16" s="47"/>
      <c r="J16" s="47"/>
      <c r="K16" s="47"/>
      <c r="L16" s="47"/>
      <c r="M16" s="47"/>
      <c r="N16" s="47"/>
      <c r="O16" s="47"/>
      <c r="P16" s="47"/>
      <c r="Q16" s="47"/>
      <c r="R16" s="47"/>
      <c r="S16" s="47"/>
      <c r="T16" s="47"/>
      <c r="U16" s="49" t="str">
        <f ca="1">IF(COUNTIF(OFFSET($E16,0,1):OFFSET(U16,0,-1),"=*")&gt;0,IF($C16="К","-"," - "),IF(COUNTIF(OFFSET($E16,0,1):OFFSET(U16,0,-1),"&lt;4")&gt;0,IF(C16="К","-"," - "),(IFERROR(AVERAGE(OFFSET($E16,0,1):OFFSET(U16,0,-1)),"Очікую"))))</f>
        <v>Очікую</v>
      </c>
      <c r="V16" s="49" t="str">
        <f t="shared" ca="1" si="0"/>
        <v>Очікую</v>
      </c>
      <c r="W16" s="36"/>
      <c r="X16" s="42"/>
    </row>
    <row r="17" spans="1:24" s="12" customFormat="1" ht="15" customHeight="1" x14ac:dyDescent="0.25">
      <c r="A17" s="43"/>
      <c r="B17" s="34"/>
      <c r="C17" s="47"/>
      <c r="D17" s="47">
        <v>8</v>
      </c>
      <c r="E17" s="48"/>
      <c r="F17" s="47"/>
      <c r="G17" s="47"/>
      <c r="H17" s="47"/>
      <c r="I17" s="47"/>
      <c r="J17" s="47"/>
      <c r="K17" s="47"/>
      <c r="L17" s="47"/>
      <c r="M17" s="47"/>
      <c r="N17" s="47"/>
      <c r="O17" s="47"/>
      <c r="P17" s="47"/>
      <c r="Q17" s="47"/>
      <c r="R17" s="47"/>
      <c r="S17" s="47"/>
      <c r="T17" s="47"/>
      <c r="U17" s="49" t="str">
        <f ca="1">IF(COUNTIF(OFFSET($E17,0,1):OFFSET(U17,0,-1),"=*")&gt;0,IF($C17="К","-"," - "),IF(COUNTIF(OFFSET($E17,0,1):OFFSET(U17,0,-1),"&lt;4")&gt;0,IF(C17="К","-"," - "),(IFERROR(AVERAGE(OFFSET($E17,0,1):OFFSET(U17,0,-1)),"Очікую"))))</f>
        <v>Очікую</v>
      </c>
      <c r="V17" s="49" t="str">
        <f t="shared" ca="1" si="0"/>
        <v>Очікую</v>
      </c>
      <c r="W17" s="36"/>
      <c r="X17" s="42"/>
    </row>
    <row r="18" spans="1:24" s="12" customFormat="1" ht="15" customHeight="1" x14ac:dyDescent="0.25">
      <c r="A18" s="43"/>
      <c r="B18" s="34"/>
      <c r="C18" s="47"/>
      <c r="D18" s="47">
        <v>9</v>
      </c>
      <c r="E18" s="48"/>
      <c r="F18" s="47"/>
      <c r="G18" s="47"/>
      <c r="H18" s="47"/>
      <c r="I18" s="47"/>
      <c r="J18" s="47"/>
      <c r="K18" s="47"/>
      <c r="L18" s="47"/>
      <c r="M18" s="47"/>
      <c r="N18" s="47"/>
      <c r="O18" s="47"/>
      <c r="P18" s="47"/>
      <c r="Q18" s="47"/>
      <c r="R18" s="47"/>
      <c r="S18" s="47"/>
      <c r="T18" s="47"/>
      <c r="U18" s="49" t="str">
        <f ca="1">IF(COUNTIF(OFFSET($E18,0,1):OFFSET(U18,0,-1),"=*")&gt;0,IF($C18="К","-"," - "),IF(COUNTIF(OFFSET($E18,0,1):OFFSET(U18,0,-1),"&lt;4")&gt;0,IF(C18="К","-"," - "),(IFERROR(AVERAGE(OFFSET($E18,0,1):OFFSET(U18,0,-1)),"Очікую"))))</f>
        <v>Очікую</v>
      </c>
      <c r="V18" s="49" t="str">
        <f t="shared" ca="1" si="0"/>
        <v>Очікую</v>
      </c>
      <c r="W18" s="36"/>
      <c r="X18" s="42"/>
    </row>
    <row r="19" spans="1:24" s="12" customFormat="1" ht="15" customHeight="1" x14ac:dyDescent="0.25">
      <c r="A19" s="43"/>
      <c r="B19" s="34"/>
      <c r="C19" s="47"/>
      <c r="D19" s="47">
        <v>10</v>
      </c>
      <c r="E19" s="48"/>
      <c r="F19" s="47"/>
      <c r="G19" s="47"/>
      <c r="H19" s="47"/>
      <c r="I19" s="47"/>
      <c r="J19" s="47"/>
      <c r="K19" s="47"/>
      <c r="L19" s="47"/>
      <c r="M19" s="47"/>
      <c r="N19" s="47"/>
      <c r="O19" s="47"/>
      <c r="P19" s="47"/>
      <c r="Q19" s="47"/>
      <c r="R19" s="47"/>
      <c r="S19" s="47"/>
      <c r="T19" s="47"/>
      <c r="U19" s="49" t="str">
        <f ca="1">IF(COUNTIF(OFFSET($E19,0,1):OFFSET(U19,0,-1),"=*")&gt;0,IF($C19="К","-"," - "),IF(COUNTIF(OFFSET($E19,0,1):OFFSET(U19,0,-1),"&lt;4")&gt;0,IF(C19="К","-"," - "),(IFERROR(AVERAGE(OFFSET($E19,0,1):OFFSET(U19,0,-1)),"Очікую"))))</f>
        <v>Очікую</v>
      </c>
      <c r="V19" s="49" t="str">
        <f t="shared" ca="1" si="0"/>
        <v>Очікую</v>
      </c>
      <c r="W19" s="36"/>
      <c r="X19" s="42"/>
    </row>
    <row r="20" spans="1:24" s="12" customFormat="1" ht="15" customHeight="1" x14ac:dyDescent="0.25">
      <c r="A20" s="43"/>
      <c r="B20" s="34"/>
      <c r="C20" s="47"/>
      <c r="D20" s="47">
        <v>11</v>
      </c>
      <c r="E20" s="48"/>
      <c r="F20" s="47"/>
      <c r="G20" s="47"/>
      <c r="H20" s="47"/>
      <c r="I20" s="47"/>
      <c r="J20" s="47"/>
      <c r="K20" s="47"/>
      <c r="L20" s="47"/>
      <c r="M20" s="47"/>
      <c r="N20" s="47"/>
      <c r="O20" s="47"/>
      <c r="P20" s="47"/>
      <c r="Q20" s="47"/>
      <c r="R20" s="47"/>
      <c r="S20" s="47"/>
      <c r="T20" s="47"/>
      <c r="U20" s="49" t="str">
        <f ca="1">IF(COUNTIF(OFFSET($E20,0,1):OFFSET(U20,0,-1),"=*")&gt;0,IF($C20="К","-"," - "),IF(COUNTIF(OFFSET($E20,0,1):OFFSET(U20,0,-1),"&lt;4")&gt;0,IF(C20="К","-"," - "),(IFERROR(AVERAGE(OFFSET($E20,0,1):OFFSET(U20,0,-1)),"Очікую"))))</f>
        <v>Очікую</v>
      </c>
      <c r="V20" s="49" t="str">
        <f t="shared" ca="1" si="0"/>
        <v>Очікую</v>
      </c>
      <c r="W20" s="36"/>
      <c r="X20" s="42"/>
    </row>
    <row r="21" spans="1:24" s="12" customFormat="1" ht="15" customHeight="1" x14ac:dyDescent="0.25">
      <c r="A21" s="43"/>
      <c r="B21" s="34"/>
      <c r="C21" s="47"/>
      <c r="D21" s="47">
        <v>12</v>
      </c>
      <c r="E21" s="48"/>
      <c r="F21" s="47"/>
      <c r="G21" s="47"/>
      <c r="H21" s="47"/>
      <c r="I21" s="47"/>
      <c r="J21" s="47"/>
      <c r="K21" s="47"/>
      <c r="L21" s="47"/>
      <c r="M21" s="47"/>
      <c r="N21" s="47"/>
      <c r="O21" s="47"/>
      <c r="P21" s="47"/>
      <c r="Q21" s="47"/>
      <c r="R21" s="47"/>
      <c r="S21" s="47"/>
      <c r="T21" s="47"/>
      <c r="U21" s="49" t="str">
        <f ca="1">IF(COUNTIF(OFFSET($E21,0,1):OFFSET(U21,0,-1),"=*")&gt;0,IF($C21="К","-"," - "),IF(COUNTIF(OFFSET($E21,0,1):OFFSET(U21,0,-1),"&lt;4")&gt;0,IF(C21="К","-"," - "),(IFERROR(AVERAGE(OFFSET($E21,0,1):OFFSET(U21,0,-1)),"Очікую"))))</f>
        <v>Очікую</v>
      </c>
      <c r="V21" s="49" t="str">
        <f t="shared" ca="1" si="0"/>
        <v>Очікую</v>
      </c>
      <c r="W21" s="36"/>
      <c r="X21" s="42"/>
    </row>
    <row r="22" spans="1:24" s="12" customFormat="1" ht="15" customHeight="1" x14ac:dyDescent="0.25">
      <c r="A22" s="43"/>
      <c r="B22" s="34"/>
      <c r="C22" s="47"/>
      <c r="D22" s="47">
        <v>13</v>
      </c>
      <c r="E22" s="48"/>
      <c r="F22" s="47"/>
      <c r="G22" s="47"/>
      <c r="H22" s="47"/>
      <c r="I22" s="47"/>
      <c r="J22" s="47"/>
      <c r="K22" s="47"/>
      <c r="L22" s="47"/>
      <c r="M22" s="47"/>
      <c r="N22" s="47"/>
      <c r="O22" s="47"/>
      <c r="P22" s="47"/>
      <c r="Q22" s="47"/>
      <c r="R22" s="47"/>
      <c r="S22" s="47"/>
      <c r="T22" s="47"/>
      <c r="U22" s="49" t="str">
        <f ca="1">IF(COUNTIF(OFFSET($E22,0,1):OFFSET(U22,0,-1),"=*")&gt;0,IF($C22="К","-"," - "),IF(COUNTIF(OFFSET($E22,0,1):OFFSET(U22,0,-1),"&lt;4")&gt;0,IF(C22="К","-"," - "),(IFERROR(AVERAGE(OFFSET($E22,0,1):OFFSET(U22,0,-1)),"Очікую"))))</f>
        <v>Очікую</v>
      </c>
      <c r="V22" s="49" t="str">
        <f t="shared" ca="1" si="0"/>
        <v>Очікую</v>
      </c>
      <c r="W22" s="36"/>
      <c r="X22" s="42"/>
    </row>
    <row r="23" spans="1:24" s="12" customFormat="1" ht="15" customHeight="1" x14ac:dyDescent="0.25">
      <c r="A23" s="43"/>
      <c r="B23" s="34"/>
      <c r="C23" s="47"/>
      <c r="D23" s="47">
        <v>14</v>
      </c>
      <c r="E23" s="48"/>
      <c r="F23" s="47"/>
      <c r="G23" s="47"/>
      <c r="H23" s="47"/>
      <c r="I23" s="47"/>
      <c r="J23" s="47"/>
      <c r="K23" s="47"/>
      <c r="L23" s="47"/>
      <c r="M23" s="47"/>
      <c r="N23" s="47"/>
      <c r="O23" s="47"/>
      <c r="P23" s="47"/>
      <c r="Q23" s="47"/>
      <c r="R23" s="47"/>
      <c r="S23" s="47"/>
      <c r="T23" s="47"/>
      <c r="U23" s="49" t="str">
        <f ca="1">IF(COUNTIF(OFFSET($E23,0,1):OFFSET(U23,0,-1),"=*")&gt;0,IF($C23="К","-"," - "),IF(COUNTIF(OFFSET($E23,0,1):OFFSET(U23,0,-1),"&lt;4")&gt;0,IF(C23="К","-"," - "),(IFERROR(AVERAGE(OFFSET($E23,0,1):OFFSET(U23,0,-1)),"Очікую"))))</f>
        <v>Очікую</v>
      </c>
      <c r="V23" s="49" t="str">
        <f t="shared" ca="1" si="0"/>
        <v>Очікую</v>
      </c>
      <c r="W23" s="36"/>
      <c r="X23" s="42"/>
    </row>
    <row r="24" spans="1:24" s="12" customFormat="1" ht="15" customHeight="1" x14ac:dyDescent="0.25">
      <c r="A24" s="43"/>
      <c r="B24" s="34"/>
      <c r="C24" s="47"/>
      <c r="D24" s="47">
        <v>15</v>
      </c>
      <c r="E24" s="48"/>
      <c r="F24" s="47"/>
      <c r="G24" s="47"/>
      <c r="H24" s="47"/>
      <c r="I24" s="47"/>
      <c r="J24" s="47"/>
      <c r="K24" s="47"/>
      <c r="L24" s="47"/>
      <c r="M24" s="47"/>
      <c r="N24" s="47"/>
      <c r="O24" s="47"/>
      <c r="P24" s="47"/>
      <c r="Q24" s="47"/>
      <c r="R24" s="47"/>
      <c r="S24" s="47"/>
      <c r="T24" s="47"/>
      <c r="U24" s="49" t="str">
        <f ca="1">IF(COUNTIF(OFFSET($E24,0,1):OFFSET(U24,0,-1),"=*")&gt;0,IF($C24="К","-"," - "),IF(COUNTIF(OFFSET($E24,0,1):OFFSET(U24,0,-1),"&lt;4")&gt;0,IF(C24="К","-"," - "),(IFERROR(AVERAGE(OFFSET($E24,0,1):OFFSET(U24,0,-1)),"Очікую"))))</f>
        <v>Очікую</v>
      </c>
      <c r="V24" s="49" t="str">
        <f t="shared" ca="1" si="0"/>
        <v>Очікую</v>
      </c>
      <c r="W24" s="36"/>
      <c r="X24" s="42"/>
    </row>
    <row r="25" spans="1:24" s="12" customFormat="1" ht="15" customHeight="1" x14ac:dyDescent="0.25">
      <c r="A25" s="43"/>
      <c r="B25" s="34"/>
      <c r="C25" s="47"/>
      <c r="D25" s="47">
        <v>16</v>
      </c>
      <c r="E25" s="48"/>
      <c r="F25" s="47"/>
      <c r="G25" s="47"/>
      <c r="H25" s="47"/>
      <c r="I25" s="47"/>
      <c r="J25" s="47"/>
      <c r="K25" s="47"/>
      <c r="L25" s="47"/>
      <c r="M25" s="47"/>
      <c r="N25" s="47"/>
      <c r="O25" s="47"/>
      <c r="P25" s="47"/>
      <c r="Q25" s="47"/>
      <c r="R25" s="47"/>
      <c r="S25" s="47"/>
      <c r="T25" s="47"/>
      <c r="U25" s="49" t="str">
        <f ca="1">IF(COUNTIF(OFFSET($E25,0,1):OFFSET(U25,0,-1),"=*")&gt;0,IF($C25="К","-"," - "),IF(COUNTIF(OFFSET($E25,0,1):OFFSET(U25,0,-1),"&lt;4")&gt;0,IF(C25="К","-"," - "),(IFERROR(AVERAGE(OFFSET($E25,0,1):OFFSET(U25,0,-1)),"Очікую"))))</f>
        <v>Очікую</v>
      </c>
      <c r="V25" s="49" t="str">
        <f t="shared" ca="1" si="0"/>
        <v>Очікую</v>
      </c>
      <c r="W25" s="36"/>
      <c r="X25" s="42"/>
    </row>
    <row r="26" spans="1:24" s="12" customFormat="1" ht="15" customHeight="1" x14ac:dyDescent="0.25">
      <c r="A26" s="43"/>
      <c r="B26" s="34"/>
      <c r="C26" s="47"/>
      <c r="D26" s="47">
        <v>17</v>
      </c>
      <c r="E26" s="48"/>
      <c r="F26" s="47"/>
      <c r="G26" s="47"/>
      <c r="H26" s="47"/>
      <c r="I26" s="47"/>
      <c r="J26" s="47"/>
      <c r="K26" s="47"/>
      <c r="L26" s="47"/>
      <c r="M26" s="47"/>
      <c r="N26" s="47"/>
      <c r="O26" s="47"/>
      <c r="P26" s="47"/>
      <c r="Q26" s="47"/>
      <c r="R26" s="47"/>
      <c r="S26" s="47"/>
      <c r="T26" s="47"/>
      <c r="U26" s="49" t="str">
        <f ca="1">IF(COUNTIF(OFFSET($E26,0,1):OFFSET(U26,0,-1),"=*")&gt;0,IF($C26="К","-"," - "),IF(COUNTIF(OFFSET($E26,0,1):OFFSET(U26,0,-1),"&lt;4")&gt;0,IF(C26="К","-"," - "),(IFERROR(AVERAGE(OFFSET($E26,0,1):OFFSET(U26,0,-1)),"Очікую"))))</f>
        <v>Очікую</v>
      </c>
      <c r="V26" s="49" t="str">
        <f t="shared" ca="1" si="0"/>
        <v>Очікую</v>
      </c>
      <c r="W26" s="36"/>
      <c r="X26" s="42"/>
    </row>
    <row r="27" spans="1:24" s="12" customFormat="1" ht="15" customHeight="1" x14ac:dyDescent="0.25">
      <c r="A27" s="43"/>
      <c r="B27" s="34"/>
      <c r="C27" s="47"/>
      <c r="D27" s="47">
        <v>18</v>
      </c>
      <c r="E27" s="48"/>
      <c r="F27" s="47"/>
      <c r="G27" s="47"/>
      <c r="H27" s="47"/>
      <c r="I27" s="47"/>
      <c r="J27" s="47"/>
      <c r="K27" s="47"/>
      <c r="L27" s="47"/>
      <c r="M27" s="47"/>
      <c r="N27" s="47"/>
      <c r="O27" s="47"/>
      <c r="P27" s="47"/>
      <c r="Q27" s="47"/>
      <c r="R27" s="47"/>
      <c r="S27" s="47"/>
      <c r="T27" s="47"/>
      <c r="U27" s="49" t="str">
        <f ca="1">IF(COUNTIF(OFFSET($E27,0,1):OFFSET(U27,0,-1),"=*")&gt;0,IF($C27="К","-"," - "),IF(COUNTIF(OFFSET($E27,0,1):OFFSET(U27,0,-1),"&lt;4")&gt;0,IF(C27="К","-"," - "),(IFERROR(AVERAGE(OFFSET($E27,0,1):OFFSET(U27,0,-1)),"Очікую"))))</f>
        <v>Очікую</v>
      </c>
      <c r="V27" s="49" t="str">
        <f t="shared" ca="1" si="0"/>
        <v>Очікую</v>
      </c>
      <c r="W27" s="36"/>
      <c r="X27" s="42"/>
    </row>
    <row r="28" spans="1:24" s="12" customFormat="1" ht="15" customHeight="1" x14ac:dyDescent="0.25">
      <c r="A28" s="43"/>
      <c r="B28" s="34"/>
      <c r="C28" s="47"/>
      <c r="D28" s="47">
        <v>19</v>
      </c>
      <c r="E28" s="48"/>
      <c r="F28" s="47"/>
      <c r="G28" s="47"/>
      <c r="H28" s="47"/>
      <c r="I28" s="47"/>
      <c r="J28" s="47"/>
      <c r="K28" s="47"/>
      <c r="L28" s="47"/>
      <c r="M28" s="47"/>
      <c r="N28" s="47"/>
      <c r="O28" s="47"/>
      <c r="P28" s="47"/>
      <c r="Q28" s="47"/>
      <c r="R28" s="47"/>
      <c r="S28" s="47"/>
      <c r="T28" s="47"/>
      <c r="U28" s="49" t="str">
        <f ca="1">IF(COUNTIF(OFFSET($E28,0,1):OFFSET(U28,0,-1),"=*")&gt;0,IF($C28="К","-"," - "),IF(COUNTIF(OFFSET($E28,0,1):OFFSET(U28,0,-1),"&lt;4")&gt;0,IF(C28="К","-"," - "),(IFERROR(AVERAGE(OFFSET($E28,0,1):OFFSET(U28,0,-1)),"Очікую"))))</f>
        <v>Очікую</v>
      </c>
      <c r="V28" s="49" t="str">
        <f t="shared" ca="1" si="0"/>
        <v>Очікую</v>
      </c>
      <c r="W28" s="36"/>
      <c r="X28" s="42"/>
    </row>
    <row r="29" spans="1:24" s="12" customFormat="1" ht="15" customHeight="1" x14ac:dyDescent="0.25">
      <c r="A29" s="43"/>
      <c r="B29" s="34"/>
      <c r="C29" s="47"/>
      <c r="D29" s="47">
        <v>20</v>
      </c>
      <c r="E29" s="48"/>
      <c r="F29" s="47"/>
      <c r="G29" s="47"/>
      <c r="H29" s="47"/>
      <c r="I29" s="47"/>
      <c r="J29" s="47"/>
      <c r="K29" s="47"/>
      <c r="L29" s="47"/>
      <c r="M29" s="47"/>
      <c r="N29" s="47"/>
      <c r="O29" s="47"/>
      <c r="P29" s="47"/>
      <c r="Q29" s="47"/>
      <c r="R29" s="47"/>
      <c r="S29" s="47"/>
      <c r="T29" s="47"/>
      <c r="U29" s="49" t="str">
        <f ca="1">IF(COUNTIF(OFFSET($E29,0,1):OFFSET(U29,0,-1),"=*")&gt;0,IF($C29="К","-"," - "),IF(COUNTIF(OFFSET($E29,0,1):OFFSET(U29,0,-1),"&lt;4")&gt;0,IF(C29="К","-"," - "),(IFERROR(AVERAGE(OFFSET($E29,0,1):OFFSET(U29,0,-1)),"Очікую"))))</f>
        <v>Очікую</v>
      </c>
      <c r="V29" s="49" t="str">
        <f t="shared" ca="1" si="0"/>
        <v>Очікую</v>
      </c>
      <c r="W29" s="36"/>
      <c r="X29" s="42"/>
    </row>
    <row r="30" spans="1:24" s="12" customFormat="1" ht="15" customHeight="1" x14ac:dyDescent="0.25">
      <c r="A30" s="43"/>
      <c r="B30" s="34"/>
      <c r="C30" s="47"/>
      <c r="D30" s="47">
        <v>21</v>
      </c>
      <c r="E30" s="48"/>
      <c r="F30" s="47"/>
      <c r="G30" s="47"/>
      <c r="H30" s="47"/>
      <c r="I30" s="47"/>
      <c r="J30" s="47"/>
      <c r="K30" s="47"/>
      <c r="L30" s="47"/>
      <c r="M30" s="47"/>
      <c r="N30" s="47"/>
      <c r="O30" s="47"/>
      <c r="P30" s="47"/>
      <c r="Q30" s="47"/>
      <c r="R30" s="47"/>
      <c r="S30" s="47"/>
      <c r="T30" s="47"/>
      <c r="U30" s="49" t="str">
        <f ca="1">IF(COUNTIF(OFFSET($E30,0,1):OFFSET(U30,0,-1),"=*")&gt;0,IF($C30="К","-"," - "),IF(COUNTIF(OFFSET($E30,0,1):OFFSET(U30,0,-1),"&lt;4")&gt;0,IF(C30="К","-"," - "),(IFERROR(AVERAGE(OFFSET($E30,0,1):OFFSET(U30,0,-1)),"Очікую"))))</f>
        <v>Очікую</v>
      </c>
      <c r="V30" s="49" t="str">
        <f t="shared" ca="1" si="0"/>
        <v>Очікую</v>
      </c>
      <c r="W30" s="36"/>
      <c r="X30" s="42"/>
    </row>
    <row r="31" spans="1:24" s="12" customFormat="1" ht="15" customHeight="1" x14ac:dyDescent="0.25">
      <c r="A31" s="43"/>
      <c r="B31" s="34"/>
      <c r="C31" s="47"/>
      <c r="D31" s="47">
        <v>22</v>
      </c>
      <c r="E31" s="48"/>
      <c r="F31" s="47"/>
      <c r="G31" s="47"/>
      <c r="H31" s="47"/>
      <c r="I31" s="47"/>
      <c r="J31" s="47"/>
      <c r="K31" s="47"/>
      <c r="L31" s="47"/>
      <c r="M31" s="47"/>
      <c r="N31" s="47"/>
      <c r="O31" s="47"/>
      <c r="P31" s="47"/>
      <c r="Q31" s="47"/>
      <c r="R31" s="47"/>
      <c r="S31" s="47"/>
      <c r="T31" s="47"/>
      <c r="U31" s="49" t="str">
        <f ca="1">IF(COUNTIF(OFFSET($E31,0,1):OFFSET(U31,0,-1),"=*")&gt;0,IF($C31="К","-"," - "),IF(COUNTIF(OFFSET($E31,0,1):OFFSET(U31,0,-1),"&lt;4")&gt;0,IF(C31="К","-"," - "),(IFERROR(AVERAGE(OFFSET($E31,0,1):OFFSET(U31,0,-1)),"Очікую"))))</f>
        <v>Очікую</v>
      </c>
      <c r="V31" s="49" t="str">
        <f t="shared" ca="1" si="0"/>
        <v>Очікую</v>
      </c>
      <c r="W31" s="36"/>
      <c r="X31" s="42"/>
    </row>
    <row r="32" spans="1:24" s="12" customFormat="1" ht="15" customHeight="1" x14ac:dyDescent="0.25">
      <c r="A32" s="43"/>
      <c r="B32" s="34"/>
      <c r="C32" s="47"/>
      <c r="D32" s="47">
        <v>23</v>
      </c>
      <c r="E32" s="48"/>
      <c r="F32" s="47"/>
      <c r="G32" s="47"/>
      <c r="H32" s="47"/>
      <c r="I32" s="47"/>
      <c r="J32" s="47"/>
      <c r="K32" s="47"/>
      <c r="L32" s="47"/>
      <c r="M32" s="47"/>
      <c r="N32" s="47"/>
      <c r="O32" s="47"/>
      <c r="P32" s="47"/>
      <c r="Q32" s="47"/>
      <c r="R32" s="47"/>
      <c r="S32" s="47"/>
      <c r="T32" s="47"/>
      <c r="U32" s="49" t="str">
        <f ca="1">IF(COUNTIF(OFFSET($E32,0,1):OFFSET(U32,0,-1),"=*")&gt;0,IF($C32="К","-"," - "),IF(COUNTIF(OFFSET($E32,0,1):OFFSET(U32,0,-1),"&lt;4")&gt;0,IF(C32="К","-"," - "),(IFERROR(AVERAGE(OFFSET($E32,0,1):OFFSET(U32,0,-1)),"Очікую"))))</f>
        <v>Очікую</v>
      </c>
      <c r="V32" s="49" t="str">
        <f t="shared" ca="1" si="0"/>
        <v>Очікую</v>
      </c>
      <c r="W32" s="36"/>
      <c r="X32" s="42"/>
    </row>
    <row r="33" spans="1:24" s="12" customFormat="1" ht="15" customHeight="1" x14ac:dyDescent="0.25">
      <c r="A33" s="43"/>
      <c r="B33" s="34"/>
      <c r="C33" s="47"/>
      <c r="D33" s="47">
        <v>24</v>
      </c>
      <c r="E33" s="48"/>
      <c r="F33" s="47"/>
      <c r="G33" s="47"/>
      <c r="H33" s="47"/>
      <c r="I33" s="47"/>
      <c r="J33" s="47"/>
      <c r="K33" s="47"/>
      <c r="L33" s="47"/>
      <c r="M33" s="47"/>
      <c r="N33" s="47"/>
      <c r="O33" s="47"/>
      <c r="P33" s="47"/>
      <c r="Q33" s="47"/>
      <c r="R33" s="47"/>
      <c r="S33" s="47"/>
      <c r="T33" s="47"/>
      <c r="U33" s="49" t="str">
        <f ca="1">IF(COUNTIF(OFFSET($E33,0,1):OFFSET(U33,0,-1),"=*")&gt;0,IF($C33="К","-"," - "),IF(COUNTIF(OFFSET($E33,0,1):OFFSET(U33,0,-1),"&lt;4")&gt;0,IF(C33="К","-"," - "),(IFERROR(AVERAGE(OFFSET($E33,0,1):OFFSET(U33,0,-1)),"Очікую"))))</f>
        <v>Очікую</v>
      </c>
      <c r="V33" s="49" t="str">
        <f t="shared" ca="1" si="0"/>
        <v>Очікую</v>
      </c>
      <c r="W33" s="36"/>
      <c r="X33" s="42"/>
    </row>
    <row r="34" spans="1:24" s="12" customFormat="1" ht="15" customHeight="1" x14ac:dyDescent="0.25">
      <c r="A34" s="43"/>
      <c r="B34" s="34"/>
      <c r="C34" s="47"/>
      <c r="D34" s="47">
        <v>25</v>
      </c>
      <c r="E34" s="48"/>
      <c r="F34" s="47"/>
      <c r="G34" s="47"/>
      <c r="H34" s="47"/>
      <c r="I34" s="47"/>
      <c r="J34" s="47"/>
      <c r="K34" s="47"/>
      <c r="L34" s="47"/>
      <c r="M34" s="47"/>
      <c r="N34" s="47"/>
      <c r="O34" s="47"/>
      <c r="P34" s="47"/>
      <c r="Q34" s="47"/>
      <c r="R34" s="47"/>
      <c r="S34" s="47"/>
      <c r="T34" s="47"/>
      <c r="U34" s="49" t="str">
        <f ca="1">IF(COUNTIF(OFFSET($E34,0,1):OFFSET(U34,0,-1),"=*")&gt;0,IF($C34="К","-"," - "),IF(COUNTIF(OFFSET($E34,0,1):OFFSET(U34,0,-1),"&lt;4")&gt;0,IF(C34="К","-"," - "),(IFERROR(AVERAGE(OFFSET($E34,0,1):OFFSET(U34,0,-1)),"Очікую"))))</f>
        <v>Очікую</v>
      </c>
      <c r="V34" s="49" t="str">
        <f t="shared" ca="1" si="0"/>
        <v>Очікую</v>
      </c>
      <c r="W34" s="36"/>
      <c r="X34" s="42"/>
    </row>
    <row r="35" spans="1:24" s="12" customFormat="1" ht="15" customHeight="1" x14ac:dyDescent="0.25">
      <c r="A35" s="43"/>
      <c r="B35" s="34"/>
      <c r="C35" s="47"/>
      <c r="D35" s="47">
        <v>26</v>
      </c>
      <c r="E35" s="48"/>
      <c r="F35" s="47"/>
      <c r="G35" s="47"/>
      <c r="H35" s="47"/>
      <c r="I35" s="47"/>
      <c r="J35" s="47"/>
      <c r="K35" s="47"/>
      <c r="L35" s="47"/>
      <c r="M35" s="47"/>
      <c r="N35" s="47"/>
      <c r="O35" s="47"/>
      <c r="P35" s="47"/>
      <c r="Q35" s="47"/>
      <c r="R35" s="47"/>
      <c r="S35" s="47"/>
      <c r="T35" s="47"/>
      <c r="U35" s="49" t="str">
        <f ca="1">IF(COUNTIF(OFFSET($E35,0,1):OFFSET(U35,0,-1),"=*")&gt;0,IF($C35="К","-"," - "),IF(COUNTIF(OFFSET($E35,0,1):OFFSET(U35,0,-1),"&lt;4")&gt;0,IF(C35="К","-"," - "),(IFERROR(AVERAGE(OFFSET($E35,0,1):OFFSET(U35,0,-1)),"Очікую"))))</f>
        <v>Очікую</v>
      </c>
      <c r="V35" s="49" t="str">
        <f t="shared" ca="1" si="0"/>
        <v>Очікую</v>
      </c>
      <c r="W35" s="36"/>
      <c r="X35" s="42"/>
    </row>
    <row r="36" spans="1:24" s="12" customFormat="1" ht="15" customHeight="1" x14ac:dyDescent="0.25">
      <c r="A36" s="43"/>
      <c r="B36" s="34"/>
      <c r="C36" s="47"/>
      <c r="D36" s="47">
        <v>27</v>
      </c>
      <c r="E36" s="48"/>
      <c r="F36" s="47"/>
      <c r="G36" s="47"/>
      <c r="H36" s="47"/>
      <c r="I36" s="47"/>
      <c r="J36" s="47"/>
      <c r="K36" s="47"/>
      <c r="L36" s="47"/>
      <c r="M36" s="47"/>
      <c r="N36" s="47"/>
      <c r="O36" s="47"/>
      <c r="P36" s="47"/>
      <c r="Q36" s="47"/>
      <c r="R36" s="47"/>
      <c r="S36" s="47"/>
      <c r="T36" s="47"/>
      <c r="U36" s="49" t="str">
        <f ca="1">IF(COUNTIF(OFFSET($E36,0,1):OFFSET(U36,0,-1),"=*")&gt;0,IF($C36="К","-"," - "),IF(COUNTIF(OFFSET($E36,0,1):OFFSET(U36,0,-1),"&lt;4")&gt;0,IF(C36="К","-"," - "),(IFERROR(AVERAGE(OFFSET($E36,0,1):OFFSET(U36,0,-1)),"Очікую"))))</f>
        <v>Очікую</v>
      </c>
      <c r="V36" s="49" t="str">
        <f t="shared" ca="1" si="0"/>
        <v>Очікую</v>
      </c>
      <c r="W36" s="36"/>
      <c r="X36" s="42"/>
    </row>
    <row r="37" spans="1:24" s="12" customFormat="1" ht="15" customHeight="1" x14ac:dyDescent="0.25">
      <c r="A37" s="43"/>
      <c r="B37" s="34"/>
      <c r="C37" s="47"/>
      <c r="D37" s="47">
        <v>28</v>
      </c>
      <c r="E37" s="48"/>
      <c r="F37" s="47"/>
      <c r="G37" s="47"/>
      <c r="H37" s="47"/>
      <c r="I37" s="47"/>
      <c r="J37" s="47"/>
      <c r="K37" s="47"/>
      <c r="L37" s="47"/>
      <c r="M37" s="47"/>
      <c r="N37" s="47"/>
      <c r="O37" s="47"/>
      <c r="P37" s="47"/>
      <c r="Q37" s="47"/>
      <c r="R37" s="47"/>
      <c r="S37" s="47"/>
      <c r="T37" s="47"/>
      <c r="U37" s="49" t="str">
        <f ca="1">IF(COUNTIF(OFFSET($E37,0,1):OFFSET(U37,0,-1),"=*")&gt;0,IF($C37="К","-"," - "),IF(COUNTIF(OFFSET($E37,0,1):OFFSET(U37,0,-1),"&lt;4")&gt;0,IF(C37="К","-"," - "),(IFERROR(AVERAGE(OFFSET($E37,0,1):OFFSET(U37,0,-1)),"Очікую"))))</f>
        <v>Очікую</v>
      </c>
      <c r="V37" s="49" t="str">
        <f t="shared" ca="1" si="0"/>
        <v>Очікую</v>
      </c>
      <c r="W37" s="36"/>
      <c r="X37" s="42"/>
    </row>
    <row r="38" spans="1:24" s="12" customFormat="1" ht="15" customHeight="1" x14ac:dyDescent="0.25">
      <c r="A38" s="43"/>
      <c r="B38" s="34"/>
      <c r="C38" s="47"/>
      <c r="D38" s="47">
        <v>29</v>
      </c>
      <c r="E38" s="48"/>
      <c r="F38" s="47"/>
      <c r="G38" s="47"/>
      <c r="H38" s="47"/>
      <c r="I38" s="47"/>
      <c r="J38" s="47"/>
      <c r="K38" s="47"/>
      <c r="L38" s="47"/>
      <c r="M38" s="47"/>
      <c r="N38" s="47"/>
      <c r="O38" s="47"/>
      <c r="P38" s="47"/>
      <c r="Q38" s="47"/>
      <c r="R38" s="47"/>
      <c r="S38" s="47"/>
      <c r="T38" s="47"/>
      <c r="U38" s="49" t="str">
        <f ca="1">IF(COUNTIF(OFFSET($E38,0,1):OFFSET(U38,0,-1),"=*")&gt;0,IF($C38="К","-"," - "),IF(COUNTIF(OFFSET($E38,0,1):OFFSET(U38,0,-1),"&lt;4")&gt;0,IF(C38="К","-"," - "),(IFERROR(AVERAGE(OFFSET($E38,0,1):OFFSET(U38,0,-1)),"Очікую"))))</f>
        <v>Очікую</v>
      </c>
      <c r="V38" s="49" t="str">
        <f t="shared" ca="1" si="0"/>
        <v>Очікую</v>
      </c>
      <c r="W38" s="36"/>
      <c r="X38" s="42"/>
    </row>
    <row r="39" spans="1:24" s="12" customFormat="1" ht="15" customHeight="1" x14ac:dyDescent="0.25">
      <c r="A39" s="43"/>
      <c r="B39" s="34"/>
      <c r="C39" s="47"/>
      <c r="D39" s="47">
        <v>30</v>
      </c>
      <c r="E39" s="48"/>
      <c r="F39" s="47"/>
      <c r="G39" s="47"/>
      <c r="H39" s="47"/>
      <c r="I39" s="47"/>
      <c r="J39" s="47"/>
      <c r="K39" s="47"/>
      <c r="L39" s="47"/>
      <c r="M39" s="47"/>
      <c r="N39" s="47"/>
      <c r="O39" s="47"/>
      <c r="P39" s="47"/>
      <c r="Q39" s="47"/>
      <c r="R39" s="47"/>
      <c r="S39" s="47"/>
      <c r="T39" s="47"/>
      <c r="U39" s="49" t="str">
        <f ca="1">IF(COUNTIF(OFFSET($E39,0,1):OFFSET(U39,0,-1),"=*")&gt;0,IF($C39="К","-"," - "),IF(COUNTIF(OFFSET($E39,0,1):OFFSET(U39,0,-1),"&lt;4")&gt;0,IF(C39="К","-"," - "),(IFERROR(AVERAGE(OFFSET($E39,0,1):OFFSET(U39,0,-1)),"Очікую"))))</f>
        <v>Очікую</v>
      </c>
      <c r="V39" s="49" t="str">
        <f t="shared" ca="1" si="0"/>
        <v>Очікую</v>
      </c>
      <c r="W39" s="36"/>
      <c r="X39" s="42"/>
    </row>
    <row r="40" spans="1:24" s="12" customFormat="1" ht="15" customHeight="1" x14ac:dyDescent="0.25">
      <c r="A40" s="43"/>
      <c r="B40" s="34"/>
      <c r="C40" s="47"/>
      <c r="D40" s="47">
        <v>31</v>
      </c>
      <c r="E40" s="48"/>
      <c r="F40" s="47"/>
      <c r="G40" s="47"/>
      <c r="H40" s="47"/>
      <c r="I40" s="47"/>
      <c r="J40" s="47"/>
      <c r="K40" s="47"/>
      <c r="L40" s="47"/>
      <c r="M40" s="47"/>
      <c r="N40" s="47"/>
      <c r="O40" s="47"/>
      <c r="P40" s="47"/>
      <c r="Q40" s="47"/>
      <c r="R40" s="47"/>
      <c r="S40" s="47"/>
      <c r="T40" s="47"/>
      <c r="U40" s="49" t="str">
        <f ca="1">IF(COUNTIF(OFFSET($E40,0,1):OFFSET(U40,0,-1),"=*")&gt;0,IF($C40="К","-"," - "),IF(COUNTIF(OFFSET($E40,0,1):OFFSET(U40,0,-1),"&lt;4")&gt;0,IF(C40="К","-"," - "),(IFERROR(AVERAGE(OFFSET($E40,0,1):OFFSET(U40,0,-1)),"Очікую"))))</f>
        <v>Очікую</v>
      </c>
      <c r="V40" s="49" t="str">
        <f t="shared" ca="1" si="0"/>
        <v>Очікую</v>
      </c>
      <c r="W40" s="36"/>
      <c r="X40" s="42"/>
    </row>
    <row r="41" spans="1:24" s="12" customFormat="1" ht="15" customHeight="1" x14ac:dyDescent="0.25">
      <c r="A41" s="43"/>
      <c r="B41" s="34"/>
      <c r="C41" s="47"/>
      <c r="D41" s="47">
        <v>32</v>
      </c>
      <c r="E41" s="48"/>
      <c r="F41" s="47"/>
      <c r="G41" s="47"/>
      <c r="H41" s="47"/>
      <c r="I41" s="47"/>
      <c r="J41" s="47"/>
      <c r="K41" s="47"/>
      <c r="L41" s="47"/>
      <c r="M41" s="47"/>
      <c r="N41" s="47"/>
      <c r="O41" s="47"/>
      <c r="P41" s="47"/>
      <c r="Q41" s="47"/>
      <c r="R41" s="47"/>
      <c r="S41" s="47"/>
      <c r="T41" s="47"/>
      <c r="U41" s="49" t="str">
        <f ca="1">IF(COUNTIF(OFFSET($E41,0,1):OFFSET(U41,0,-1),"=*")&gt;0,IF($C41="К","-"," - "),IF(COUNTIF(OFFSET($E41,0,1):OFFSET(U41,0,-1),"&lt;4")&gt;0,IF(C41="К","-"," - "),(IFERROR(AVERAGE(OFFSET($E41,0,1):OFFSET(U41,0,-1)),"Очікую"))))</f>
        <v>Очікую</v>
      </c>
      <c r="V41" s="49" t="str">
        <f t="shared" ca="1" si="0"/>
        <v>Очікую</v>
      </c>
      <c r="W41" s="36"/>
      <c r="X41" s="42"/>
    </row>
    <row r="42" spans="1:24" s="12" customFormat="1" ht="15" customHeight="1" x14ac:dyDescent="0.25">
      <c r="A42" s="43"/>
      <c r="B42" s="34"/>
      <c r="C42" s="47"/>
      <c r="D42" s="47">
        <v>33</v>
      </c>
      <c r="E42" s="48"/>
      <c r="F42" s="47"/>
      <c r="G42" s="47"/>
      <c r="H42" s="47"/>
      <c r="I42" s="47"/>
      <c r="J42" s="47"/>
      <c r="K42" s="47"/>
      <c r="L42" s="47"/>
      <c r="M42" s="47"/>
      <c r="N42" s="47"/>
      <c r="O42" s="47"/>
      <c r="P42" s="47"/>
      <c r="Q42" s="47"/>
      <c r="R42" s="47"/>
      <c r="S42" s="47"/>
      <c r="T42" s="47"/>
      <c r="U42" s="49" t="str">
        <f ca="1">IF(COUNTIF(OFFSET($E42,0,1):OFFSET(U42,0,-1),"=*")&gt;0,IF($C42="К","-"," - "),IF(COUNTIF(OFFSET($E42,0,1):OFFSET(U42,0,-1),"&lt;4")&gt;0,IF(C42="К","-"," - "),(IFERROR(AVERAGE(OFFSET($E42,0,1):OFFSET(U42,0,-1)),"Очікую"))))</f>
        <v>Очікую</v>
      </c>
      <c r="V42" s="49" t="str">
        <f t="shared" ca="1" si="0"/>
        <v>Очікую</v>
      </c>
      <c r="W42" s="36"/>
      <c r="X42" s="42"/>
    </row>
    <row r="43" spans="1:24" s="12" customFormat="1" ht="15" customHeight="1" x14ac:dyDescent="0.25">
      <c r="A43" s="43"/>
      <c r="B43" s="34"/>
      <c r="C43" s="47"/>
      <c r="D43" s="47">
        <v>34</v>
      </c>
      <c r="E43" s="48"/>
      <c r="F43" s="47"/>
      <c r="G43" s="47"/>
      <c r="H43" s="47"/>
      <c r="I43" s="47"/>
      <c r="J43" s="47"/>
      <c r="K43" s="47"/>
      <c r="L43" s="47"/>
      <c r="M43" s="47"/>
      <c r="N43" s="47"/>
      <c r="O43" s="47"/>
      <c r="P43" s="47"/>
      <c r="Q43" s="47"/>
      <c r="R43" s="47"/>
      <c r="S43" s="47"/>
      <c r="T43" s="47"/>
      <c r="U43" s="49" t="str">
        <f ca="1">IF(COUNTIF(OFFSET($E43,0,1):OFFSET(U43,0,-1),"=*")&gt;0,IF($C43="К","-"," - "),IF(COUNTIF(OFFSET($E43,0,1):OFFSET(U43,0,-1),"&lt;4")&gt;0,IF(C43="К","-"," - "),(IFERROR(AVERAGE(OFFSET($E43,0,1):OFFSET(U43,0,-1)),"Очікую"))))</f>
        <v>Очікую</v>
      </c>
      <c r="V43" s="49" t="str">
        <f t="shared" ca="1" si="0"/>
        <v>Очікую</v>
      </c>
      <c r="W43" s="36"/>
      <c r="X43" s="42"/>
    </row>
    <row r="44" spans="1:24" s="12" customFormat="1" ht="15" customHeight="1" x14ac:dyDescent="0.25">
      <c r="A44" s="43"/>
      <c r="B44" s="34"/>
      <c r="C44" s="47"/>
      <c r="D44" s="47">
        <v>35</v>
      </c>
      <c r="E44" s="48"/>
      <c r="F44" s="47"/>
      <c r="G44" s="47"/>
      <c r="H44" s="47"/>
      <c r="I44" s="47"/>
      <c r="J44" s="47"/>
      <c r="K44" s="47"/>
      <c r="L44" s="47"/>
      <c r="M44" s="47"/>
      <c r="N44" s="47"/>
      <c r="O44" s="47"/>
      <c r="P44" s="47"/>
      <c r="Q44" s="47"/>
      <c r="R44" s="47"/>
      <c r="S44" s="47"/>
      <c r="T44" s="47"/>
      <c r="U44" s="49" t="str">
        <f ca="1">IF(COUNTIF(OFFSET($E44,0,1):OFFSET(U44,0,-1),"=*")&gt;0,IF($C44="К","-"," - "),IF(COUNTIF(OFFSET($E44,0,1):OFFSET(U44,0,-1),"&lt;4")&gt;0,IF(C44="К","-"," - "),(IFERROR(AVERAGE(OFFSET($E44,0,1):OFFSET(U44,0,-1)),"Очікую"))))</f>
        <v>Очікую</v>
      </c>
      <c r="V44" s="49" t="str">
        <f t="shared" ca="1" si="0"/>
        <v>Очікую</v>
      </c>
      <c r="W44" s="36"/>
      <c r="X44" s="42"/>
    </row>
    <row r="45" spans="1:24" s="12" customFormat="1" ht="15" customHeight="1" x14ac:dyDescent="0.25">
      <c r="A45" s="43"/>
      <c r="B45" s="34"/>
      <c r="C45" s="47"/>
      <c r="D45" s="47">
        <v>36</v>
      </c>
      <c r="E45" s="48"/>
      <c r="F45" s="47"/>
      <c r="G45" s="47"/>
      <c r="H45" s="47"/>
      <c r="I45" s="47"/>
      <c r="J45" s="47"/>
      <c r="K45" s="47"/>
      <c r="L45" s="47"/>
      <c r="M45" s="47"/>
      <c r="N45" s="47"/>
      <c r="O45" s="47"/>
      <c r="P45" s="47"/>
      <c r="Q45" s="47"/>
      <c r="R45" s="47"/>
      <c r="S45" s="47"/>
      <c r="T45" s="47"/>
      <c r="U45" s="49" t="str">
        <f ca="1">IF(COUNTIF(OFFSET($E45,0,1):OFFSET(U45,0,-1),"=*")&gt;0,IF($C45="К","-"," - "),IF(COUNTIF(OFFSET($E45,0,1):OFFSET(U45,0,-1),"&lt;4")&gt;0,IF(C45="К","-"," - "),(IFERROR(AVERAGE(OFFSET($E45,0,1):OFFSET(U45,0,-1)),"Очікую"))))</f>
        <v>Очікую</v>
      </c>
      <c r="V45" s="49" t="str">
        <f t="shared" ca="1" si="0"/>
        <v>Очікую</v>
      </c>
      <c r="W45" s="36"/>
      <c r="X45" s="42"/>
    </row>
    <row r="46" spans="1:24" s="12" customFormat="1" ht="15" customHeight="1" x14ac:dyDescent="0.25">
      <c r="A46" s="43"/>
      <c r="B46" s="34"/>
      <c r="C46" s="47"/>
      <c r="D46" s="47">
        <v>37</v>
      </c>
      <c r="E46" s="48"/>
      <c r="F46" s="47"/>
      <c r="G46" s="47"/>
      <c r="H46" s="47"/>
      <c r="I46" s="47"/>
      <c r="J46" s="47"/>
      <c r="K46" s="47"/>
      <c r="L46" s="47"/>
      <c r="M46" s="47"/>
      <c r="N46" s="47"/>
      <c r="O46" s="47"/>
      <c r="P46" s="47"/>
      <c r="Q46" s="47"/>
      <c r="R46" s="47"/>
      <c r="S46" s="47"/>
      <c r="T46" s="47"/>
      <c r="U46" s="49" t="str">
        <f ca="1">IF(COUNTIF(OFFSET($E46,0,1):OFFSET(U46,0,-1),"=*")&gt;0,IF($C46="К","-"," - "),IF(COUNTIF(OFFSET($E46,0,1):OFFSET(U46,0,-1),"&lt;4")&gt;0,IF(C46="К","-"," - "),(IFERROR(AVERAGE(OFFSET($E46,0,1):OFFSET(U46,0,-1)),"Очікую"))))</f>
        <v>Очікую</v>
      </c>
      <c r="V46" s="49" t="str">
        <f t="shared" ca="1" si="0"/>
        <v>Очікую</v>
      </c>
      <c r="W46" s="36"/>
      <c r="X46" s="42"/>
    </row>
    <row r="47" spans="1:24" s="12" customFormat="1" ht="15" customHeight="1" x14ac:dyDescent="0.25">
      <c r="A47" s="43"/>
      <c r="B47" s="34"/>
      <c r="C47" s="47"/>
      <c r="D47" s="47">
        <v>38</v>
      </c>
      <c r="E47" s="48"/>
      <c r="F47" s="47"/>
      <c r="G47" s="47"/>
      <c r="H47" s="47"/>
      <c r="I47" s="47"/>
      <c r="J47" s="47"/>
      <c r="K47" s="47"/>
      <c r="L47" s="47"/>
      <c r="M47" s="47"/>
      <c r="N47" s="47"/>
      <c r="O47" s="47"/>
      <c r="P47" s="47"/>
      <c r="Q47" s="47"/>
      <c r="R47" s="47"/>
      <c r="S47" s="47"/>
      <c r="T47" s="47"/>
      <c r="U47" s="49" t="str">
        <f ca="1">IF(COUNTIF(OFFSET($E47,0,1):OFFSET(U47,0,-1),"=*")&gt;0,IF($C47="К","-"," - "),IF(COUNTIF(OFFSET($E47,0,1):OFFSET(U47,0,-1),"&lt;4")&gt;0,IF(C47="К","-"," - "),(IFERROR(AVERAGE(OFFSET($E47,0,1):OFFSET(U47,0,-1)),"Очікую"))))</f>
        <v>Очікую</v>
      </c>
      <c r="V47" s="49" t="str">
        <f t="shared" ca="1" si="0"/>
        <v>Очікую</v>
      </c>
      <c r="W47" s="36"/>
      <c r="X47" s="42"/>
    </row>
    <row r="48" spans="1:24" s="12" customFormat="1" ht="15" customHeight="1" x14ac:dyDescent="0.25">
      <c r="A48" s="43"/>
      <c r="B48" s="34"/>
      <c r="C48" s="47"/>
      <c r="D48" s="47">
        <v>39</v>
      </c>
      <c r="E48" s="48"/>
      <c r="F48" s="47"/>
      <c r="G48" s="47"/>
      <c r="H48" s="47"/>
      <c r="I48" s="47"/>
      <c r="J48" s="47"/>
      <c r="K48" s="47"/>
      <c r="L48" s="47"/>
      <c r="M48" s="47"/>
      <c r="N48" s="47"/>
      <c r="O48" s="47"/>
      <c r="P48" s="47"/>
      <c r="Q48" s="47"/>
      <c r="R48" s="47"/>
      <c r="S48" s="47"/>
      <c r="T48" s="47"/>
      <c r="U48" s="49" t="str">
        <f ca="1">IF(COUNTIF(OFFSET($E48,0,1):OFFSET(U48,0,-1),"=*")&gt;0,IF($C48="К","-"," - "),IF(COUNTIF(OFFSET($E48,0,1):OFFSET(U48,0,-1),"&lt;4")&gt;0,IF(C48="К","-"," - "),(IFERROR(AVERAGE(OFFSET($E48,0,1):OFFSET(U48,0,-1)),"Очікую"))))</f>
        <v>Очікую</v>
      </c>
      <c r="V48" s="49" t="str">
        <f t="shared" ca="1" si="0"/>
        <v>Очікую</v>
      </c>
      <c r="W48" s="36"/>
      <c r="X48" s="42"/>
    </row>
    <row r="49" spans="1:24" s="12" customFormat="1" ht="15" customHeight="1" x14ac:dyDescent="0.25">
      <c r="A49" s="43"/>
      <c r="B49" s="34"/>
      <c r="C49" s="47"/>
      <c r="D49" s="47">
        <v>40</v>
      </c>
      <c r="E49" s="48"/>
      <c r="F49" s="47"/>
      <c r="G49" s="47"/>
      <c r="H49" s="47"/>
      <c r="I49" s="47"/>
      <c r="J49" s="47"/>
      <c r="K49" s="47"/>
      <c r="L49" s="47"/>
      <c r="M49" s="47"/>
      <c r="N49" s="47"/>
      <c r="O49" s="47"/>
      <c r="P49" s="47"/>
      <c r="Q49" s="47"/>
      <c r="R49" s="47"/>
      <c r="S49" s="47"/>
      <c r="T49" s="47"/>
      <c r="U49" s="49" t="str">
        <f ca="1">IF(COUNTIF(OFFSET($E49,0,1):OFFSET(U49,0,-1),"=*")&gt;0,IF($C49="К","-"," - "),IF(COUNTIF(OFFSET($E49,0,1):OFFSET(U49,0,-1),"&lt;4")&gt;0,IF(C49="К","-"," - "),(IFERROR(AVERAGE(OFFSET($E49,0,1):OFFSET(U49,0,-1)),"Очікую"))))</f>
        <v>Очікую</v>
      </c>
      <c r="V49" s="49" t="str">
        <f t="shared" ca="1" si="0"/>
        <v>Очікую</v>
      </c>
      <c r="W49" s="36"/>
      <c r="X49" s="42"/>
    </row>
    <row r="50" spans="1:24" s="12" customFormat="1" ht="15" customHeight="1" x14ac:dyDescent="0.25">
      <c r="A50" s="43"/>
      <c r="B50" s="34"/>
      <c r="C50" s="47"/>
      <c r="D50" s="47">
        <v>41</v>
      </c>
      <c r="E50" s="48"/>
      <c r="F50" s="47"/>
      <c r="G50" s="47"/>
      <c r="H50" s="47"/>
      <c r="I50" s="47"/>
      <c r="J50" s="47"/>
      <c r="K50" s="47"/>
      <c r="L50" s="47"/>
      <c r="M50" s="47"/>
      <c r="N50" s="47"/>
      <c r="O50" s="47"/>
      <c r="P50" s="47"/>
      <c r="Q50" s="47"/>
      <c r="R50" s="47"/>
      <c r="S50" s="47"/>
      <c r="T50" s="47"/>
      <c r="U50" s="49" t="str">
        <f ca="1">IF(COUNTIF(OFFSET($E50,0,1):OFFSET(U50,0,-1),"=*")&gt;0,IF($C50="К","-"," - "),IF(COUNTIF(OFFSET($E50,0,1):OFFSET(U50,0,-1),"&lt;4")&gt;0,IF(C50="К","-"," - "),(IFERROR(AVERAGE(OFFSET($E50,0,1):OFFSET(U50,0,-1)),"Очікую"))))</f>
        <v>Очікую</v>
      </c>
      <c r="V50" s="49" t="str">
        <f t="shared" ca="1" si="0"/>
        <v>Очікую</v>
      </c>
      <c r="W50" s="36"/>
      <c r="X50" s="42"/>
    </row>
    <row r="51" spans="1:24" s="12" customFormat="1" ht="15" customHeight="1" x14ac:dyDescent="0.25">
      <c r="A51" s="43"/>
      <c r="B51" s="34"/>
      <c r="C51" s="47"/>
      <c r="D51" s="47">
        <v>42</v>
      </c>
      <c r="E51" s="48"/>
      <c r="F51" s="47"/>
      <c r="G51" s="47"/>
      <c r="H51" s="47"/>
      <c r="I51" s="47"/>
      <c r="J51" s="47"/>
      <c r="K51" s="47"/>
      <c r="L51" s="47"/>
      <c r="M51" s="47"/>
      <c r="N51" s="47"/>
      <c r="O51" s="47"/>
      <c r="P51" s="47"/>
      <c r="Q51" s="47"/>
      <c r="R51" s="47"/>
      <c r="S51" s="47"/>
      <c r="T51" s="47"/>
      <c r="U51" s="49" t="str">
        <f ca="1">IF(COUNTIF(OFFSET($E51,0,1):OFFSET(U51,0,-1),"=*")&gt;0,IF($C51="К","-"," - "),IF(COUNTIF(OFFSET($E51,0,1):OFFSET(U51,0,-1),"&lt;4")&gt;0,IF(C51="К","-"," - "),(IFERROR(AVERAGE(OFFSET($E51,0,1):OFFSET(U51,0,-1)),"Очікую"))))</f>
        <v>Очікую</v>
      </c>
      <c r="V51" s="49" t="str">
        <f t="shared" ca="1" si="0"/>
        <v>Очікую</v>
      </c>
      <c r="W51" s="36"/>
      <c r="X51" s="42"/>
    </row>
    <row r="52" spans="1:24" s="12" customFormat="1" ht="15" customHeight="1" x14ac:dyDescent="0.25">
      <c r="A52" s="43"/>
      <c r="B52" s="34"/>
      <c r="C52" s="47"/>
      <c r="D52" s="47">
        <v>43</v>
      </c>
      <c r="E52" s="48"/>
      <c r="F52" s="47"/>
      <c r="G52" s="47"/>
      <c r="H52" s="47"/>
      <c r="I52" s="47"/>
      <c r="J52" s="47"/>
      <c r="K52" s="47"/>
      <c r="L52" s="47"/>
      <c r="M52" s="47"/>
      <c r="N52" s="47"/>
      <c r="O52" s="47"/>
      <c r="P52" s="47"/>
      <c r="Q52" s="47"/>
      <c r="R52" s="47"/>
      <c r="S52" s="47"/>
      <c r="T52" s="47"/>
      <c r="U52" s="49" t="str">
        <f ca="1">IF(COUNTIF(OFFSET($E52,0,1):OFFSET(U52,0,-1),"=*")&gt;0,IF($C52="К","-"," - "),IF(COUNTIF(OFFSET($E52,0,1):OFFSET(U52,0,-1),"&lt;4")&gt;0,IF(C52="К","-"," - "),(IFERROR(AVERAGE(OFFSET($E52,0,1):OFFSET(U52,0,-1)),"Очікую"))))</f>
        <v>Очікую</v>
      </c>
      <c r="V52" s="49" t="str">
        <f t="shared" ca="1" si="0"/>
        <v>Очікую</v>
      </c>
      <c r="W52" s="36"/>
      <c r="X52" s="42"/>
    </row>
    <row r="53" spans="1:24" s="12" customFormat="1" ht="15" customHeight="1" x14ac:dyDescent="0.25">
      <c r="A53" s="43"/>
      <c r="B53" s="34"/>
      <c r="C53" s="47"/>
      <c r="D53" s="47">
        <v>44</v>
      </c>
      <c r="E53" s="48"/>
      <c r="F53" s="47"/>
      <c r="G53" s="47"/>
      <c r="H53" s="47"/>
      <c r="I53" s="47"/>
      <c r="J53" s="47"/>
      <c r="K53" s="47"/>
      <c r="L53" s="47"/>
      <c r="M53" s="47"/>
      <c r="N53" s="47"/>
      <c r="O53" s="47"/>
      <c r="P53" s="47"/>
      <c r="Q53" s="47"/>
      <c r="R53" s="47"/>
      <c r="S53" s="47"/>
      <c r="T53" s="47"/>
      <c r="U53" s="49" t="str">
        <f ca="1">IF(COUNTIF(OFFSET($E53,0,1):OFFSET(U53,0,-1),"=*")&gt;0,IF($C53="К","-"," - "),IF(COUNTIF(OFFSET($E53,0,1):OFFSET(U53,0,-1),"&lt;4")&gt;0,IF(C53="К","-"," - "),(IFERROR(AVERAGE(OFFSET($E53,0,1):OFFSET(U53,0,-1)),"Очікую"))))</f>
        <v>Очікую</v>
      </c>
      <c r="V53" s="49" t="str">
        <f t="shared" ca="1" si="0"/>
        <v>Очікую</v>
      </c>
      <c r="W53" s="36"/>
      <c r="X53" s="42"/>
    </row>
    <row r="54" spans="1:24" s="12" customFormat="1" ht="15" customHeight="1" x14ac:dyDescent="0.25">
      <c r="A54" s="43"/>
      <c r="B54" s="34"/>
      <c r="C54" s="47"/>
      <c r="D54" s="47">
        <v>45</v>
      </c>
      <c r="E54" s="48"/>
      <c r="F54" s="47"/>
      <c r="G54" s="47"/>
      <c r="H54" s="47"/>
      <c r="I54" s="47"/>
      <c r="J54" s="47"/>
      <c r="K54" s="47"/>
      <c r="L54" s="47"/>
      <c r="M54" s="47"/>
      <c r="N54" s="47"/>
      <c r="O54" s="47"/>
      <c r="P54" s="47"/>
      <c r="Q54" s="47"/>
      <c r="R54" s="47"/>
      <c r="S54" s="47"/>
      <c r="T54" s="47"/>
      <c r="U54" s="49" t="str">
        <f ca="1">IF(COUNTIF(OFFSET($E54,0,1):OFFSET(U54,0,-1),"=*")&gt;0,IF($C54="К","-"," - "),IF(COUNTIF(OFFSET($E54,0,1):OFFSET(U54,0,-1),"&lt;4")&gt;0,IF(C54="К","-"," - "),(IFERROR(AVERAGE(OFFSET($E54,0,1):OFFSET(U54,0,-1)),"Очікую"))))</f>
        <v>Очікую</v>
      </c>
      <c r="V54" s="49" t="str">
        <f t="shared" ca="1" si="0"/>
        <v>Очікую</v>
      </c>
      <c r="W54" s="36"/>
      <c r="X54" s="42"/>
    </row>
    <row r="55" spans="1:24" s="12" customFormat="1" ht="15" customHeight="1" x14ac:dyDescent="0.25">
      <c r="A55" s="43"/>
      <c r="B55" s="34"/>
      <c r="C55" s="47"/>
      <c r="D55" s="47">
        <v>46</v>
      </c>
      <c r="E55" s="48"/>
      <c r="F55" s="47"/>
      <c r="G55" s="47"/>
      <c r="H55" s="47"/>
      <c r="I55" s="47"/>
      <c r="J55" s="47"/>
      <c r="K55" s="47"/>
      <c r="L55" s="47"/>
      <c r="M55" s="47"/>
      <c r="N55" s="47"/>
      <c r="O55" s="47"/>
      <c r="P55" s="47"/>
      <c r="Q55" s="47"/>
      <c r="R55" s="47"/>
      <c r="S55" s="47"/>
      <c r="T55" s="47"/>
      <c r="U55" s="49" t="str">
        <f ca="1">IF(COUNTIF(OFFSET($E55,0,1):OFFSET(U55,0,-1),"=*")&gt;0,IF($C55="К","-"," - "),IF(COUNTIF(OFFSET($E55,0,1):OFFSET(U55,0,-1),"&lt;4")&gt;0,IF(C55="К","-"," - "),(IFERROR(AVERAGE(OFFSET($E55,0,1):OFFSET(U55,0,-1)),"Очікую"))))</f>
        <v>Очікую</v>
      </c>
      <c r="V55" s="49" t="str">
        <f t="shared" ca="1" si="0"/>
        <v>Очікую</v>
      </c>
      <c r="W55" s="36"/>
      <c r="X55" s="42"/>
    </row>
    <row r="56" spans="1:24" s="12" customFormat="1" ht="15" customHeight="1" x14ac:dyDescent="0.25">
      <c r="A56" s="43"/>
      <c r="B56" s="34"/>
      <c r="C56" s="47"/>
      <c r="D56" s="47">
        <v>47</v>
      </c>
      <c r="E56" s="48"/>
      <c r="F56" s="47"/>
      <c r="G56" s="47"/>
      <c r="H56" s="47"/>
      <c r="I56" s="47"/>
      <c r="J56" s="47"/>
      <c r="K56" s="47"/>
      <c r="L56" s="47"/>
      <c r="M56" s="47"/>
      <c r="N56" s="47"/>
      <c r="O56" s="47"/>
      <c r="P56" s="47"/>
      <c r="Q56" s="47"/>
      <c r="R56" s="47"/>
      <c r="S56" s="47"/>
      <c r="T56" s="47"/>
      <c r="U56" s="49" t="str">
        <f ca="1">IF(COUNTIF(OFFSET($E56,0,1):OFFSET(U56,0,-1),"=*")&gt;0,IF($C56="К","-"," - "),IF(COUNTIF(OFFSET($E56,0,1):OFFSET(U56,0,-1),"&lt;4")&gt;0,IF(C56="К","-"," - "),(IFERROR(AVERAGE(OFFSET($E56,0,1):OFFSET(U56,0,-1)),"Очікую"))))</f>
        <v>Очікую</v>
      </c>
      <c r="V56" s="49" t="str">
        <f t="shared" ca="1" si="0"/>
        <v>Очікую</v>
      </c>
      <c r="W56" s="36"/>
      <c r="X56" s="42"/>
    </row>
    <row r="57" spans="1:24" s="12" customFormat="1" ht="15" customHeight="1" x14ac:dyDescent="0.25">
      <c r="A57" s="43"/>
      <c r="B57" s="34"/>
      <c r="C57" s="47"/>
      <c r="D57" s="47">
        <v>48</v>
      </c>
      <c r="E57" s="48"/>
      <c r="F57" s="47"/>
      <c r="G57" s="47"/>
      <c r="H57" s="47"/>
      <c r="I57" s="47"/>
      <c r="J57" s="47"/>
      <c r="K57" s="47"/>
      <c r="L57" s="47"/>
      <c r="M57" s="47"/>
      <c r="N57" s="47"/>
      <c r="O57" s="47"/>
      <c r="P57" s="47"/>
      <c r="Q57" s="47"/>
      <c r="R57" s="47"/>
      <c r="S57" s="47"/>
      <c r="T57" s="47"/>
      <c r="U57" s="49" t="str">
        <f ca="1">IF(COUNTIF(OFFSET($E57,0,1):OFFSET(U57,0,-1),"=*")&gt;0,IF($C57="К","-"," - "),IF(COUNTIF(OFFSET($E57,0,1):OFFSET(U57,0,-1),"&lt;4")&gt;0,IF(C57="К","-"," - "),(IFERROR(AVERAGE(OFFSET($E57,0,1):OFFSET(U57,0,-1)),"Очікую"))))</f>
        <v>Очікую</v>
      </c>
      <c r="V57" s="49" t="str">
        <f t="shared" ca="1" si="0"/>
        <v>Очікую</v>
      </c>
      <c r="W57" s="36"/>
      <c r="X57" s="42"/>
    </row>
    <row r="58" spans="1:24" s="12" customFormat="1" ht="15" customHeight="1" x14ac:dyDescent="0.25">
      <c r="A58" s="43"/>
      <c r="B58" s="34"/>
      <c r="C58" s="47"/>
      <c r="D58" s="47">
        <v>49</v>
      </c>
      <c r="E58" s="48"/>
      <c r="F58" s="47"/>
      <c r="G58" s="47"/>
      <c r="H58" s="47"/>
      <c r="I58" s="47"/>
      <c r="J58" s="47"/>
      <c r="K58" s="47"/>
      <c r="L58" s="47"/>
      <c r="M58" s="47"/>
      <c r="N58" s="47"/>
      <c r="O58" s="47"/>
      <c r="P58" s="47"/>
      <c r="Q58" s="47"/>
      <c r="R58" s="47"/>
      <c r="S58" s="47"/>
      <c r="T58" s="47"/>
      <c r="U58" s="49" t="str">
        <f ca="1">IF(COUNTIF(OFFSET($E58,0,1):OFFSET(U58,0,-1),"=*")&gt;0,IF($C58="К","-"," - "),IF(COUNTIF(OFFSET($E58,0,1):OFFSET(U58,0,-1),"&lt;4")&gt;0,IF(C58="К","-"," - "),(IFERROR(AVERAGE(OFFSET($E58,0,1):OFFSET(U58,0,-1)),"Очікую"))))</f>
        <v>Очікую</v>
      </c>
      <c r="V58" s="49" t="str">
        <f t="shared" ca="1" si="0"/>
        <v>Очікую</v>
      </c>
      <c r="W58" s="36"/>
      <c r="X58" s="42"/>
    </row>
    <row r="59" spans="1:24" s="12" customFormat="1" ht="15" customHeight="1" x14ac:dyDescent="0.25">
      <c r="A59" s="43"/>
      <c r="B59" s="34"/>
      <c r="C59" s="47"/>
      <c r="D59" s="47">
        <v>50</v>
      </c>
      <c r="E59" s="48"/>
      <c r="F59" s="47"/>
      <c r="G59" s="47"/>
      <c r="H59" s="47"/>
      <c r="I59" s="47"/>
      <c r="J59" s="47"/>
      <c r="K59" s="47"/>
      <c r="L59" s="47"/>
      <c r="M59" s="47"/>
      <c r="N59" s="47"/>
      <c r="O59" s="47"/>
      <c r="P59" s="47"/>
      <c r="Q59" s="47"/>
      <c r="R59" s="47"/>
      <c r="S59" s="47"/>
      <c r="T59" s="47"/>
      <c r="U59" s="49" t="str">
        <f ca="1">IF(COUNTIF(OFFSET($E59,0,1):OFFSET(U59,0,-1),"=*")&gt;0,IF($C59="К","-"," - "),IF(COUNTIF(OFFSET($E59,0,1):OFFSET(U59,0,-1),"&lt;4")&gt;0,IF(C59="К","-"," - "),(IFERROR(AVERAGE(OFFSET($E59,0,1):OFFSET(U59,0,-1)),"Очікую"))))</f>
        <v>Очікую</v>
      </c>
      <c r="V59" s="49" t="str">
        <f t="shared" ca="1" si="0"/>
        <v>Очікую</v>
      </c>
      <c r="W59" s="36"/>
      <c r="X59" s="42"/>
    </row>
    <row r="60" spans="1:24" s="12" customFormat="1" ht="15" customHeight="1" x14ac:dyDescent="0.25">
      <c r="A60" s="43"/>
      <c r="B60" s="34"/>
      <c r="C60" s="47"/>
      <c r="D60" s="47">
        <v>51</v>
      </c>
      <c r="E60" s="48"/>
      <c r="F60" s="47"/>
      <c r="G60" s="47"/>
      <c r="H60" s="47"/>
      <c r="I60" s="47"/>
      <c r="J60" s="47"/>
      <c r="K60" s="47"/>
      <c r="L60" s="47"/>
      <c r="M60" s="47"/>
      <c r="N60" s="47"/>
      <c r="O60" s="47"/>
      <c r="P60" s="47"/>
      <c r="Q60" s="47"/>
      <c r="R60" s="47"/>
      <c r="S60" s="47"/>
      <c r="T60" s="47"/>
      <c r="U60" s="49" t="str">
        <f ca="1">IF(COUNTIF(OFFSET($E60,0,1):OFFSET(U60,0,-1),"=*")&gt;0,IF($C60="К","-"," - "),IF(COUNTIF(OFFSET($E60,0,1):OFFSET(U60,0,-1),"&lt;4")&gt;0,IF(C60="К","-"," - "),(IFERROR(AVERAGE(OFFSET($E60,0,1):OFFSET(U60,0,-1)),"Очікую"))))</f>
        <v>Очікую</v>
      </c>
      <c r="V60" s="49" t="str">
        <f t="shared" ca="1" si="0"/>
        <v>Очікую</v>
      </c>
      <c r="W60" s="36"/>
      <c r="X60" s="42"/>
    </row>
    <row r="61" spans="1:24" s="12" customFormat="1" ht="15" customHeight="1" x14ac:dyDescent="0.25">
      <c r="A61" s="43"/>
      <c r="B61" s="34"/>
      <c r="C61" s="47"/>
      <c r="D61" s="47">
        <v>52</v>
      </c>
      <c r="E61" s="48"/>
      <c r="F61" s="47"/>
      <c r="G61" s="47"/>
      <c r="H61" s="47"/>
      <c r="I61" s="47"/>
      <c r="J61" s="47"/>
      <c r="K61" s="47"/>
      <c r="L61" s="47"/>
      <c r="M61" s="47"/>
      <c r="N61" s="47"/>
      <c r="O61" s="47"/>
      <c r="P61" s="47"/>
      <c r="Q61" s="47"/>
      <c r="R61" s="47"/>
      <c r="S61" s="47"/>
      <c r="T61" s="47"/>
      <c r="U61" s="49" t="str">
        <f ca="1">IF(COUNTIF(OFFSET($E61,0,1):OFFSET(U61,0,-1),"=*")&gt;0,IF($C61="К","-"," - "),IF(COUNTIF(OFFSET($E61,0,1):OFFSET(U61,0,-1),"&lt;4")&gt;0,IF(C61="К","-"," - "),(IFERROR(AVERAGE(OFFSET($E61,0,1):OFFSET(U61,0,-1)),"Очікую"))))</f>
        <v>Очікую</v>
      </c>
      <c r="V61" s="49" t="str">
        <f t="shared" ca="1" si="0"/>
        <v>Очікую</v>
      </c>
      <c r="W61" s="36"/>
      <c r="X61" s="42"/>
    </row>
    <row r="62" spans="1:24" s="12" customFormat="1" ht="15" customHeight="1" x14ac:dyDescent="0.25">
      <c r="A62" s="43"/>
      <c r="B62" s="34"/>
      <c r="C62" s="47"/>
      <c r="D62" s="47">
        <v>53</v>
      </c>
      <c r="E62" s="48"/>
      <c r="F62" s="47"/>
      <c r="G62" s="47"/>
      <c r="H62" s="47"/>
      <c r="I62" s="47"/>
      <c r="J62" s="47"/>
      <c r="K62" s="47"/>
      <c r="L62" s="47"/>
      <c r="M62" s="47"/>
      <c r="N62" s="47"/>
      <c r="O62" s="47"/>
      <c r="P62" s="47"/>
      <c r="Q62" s="47"/>
      <c r="R62" s="47"/>
      <c r="S62" s="47"/>
      <c r="T62" s="47"/>
      <c r="U62" s="49" t="str">
        <f ca="1">IF(COUNTIF(OFFSET($E62,0,1):OFFSET(U62,0,-1),"=*")&gt;0,IF($C62="К","-"," - "),IF(COUNTIF(OFFSET($E62,0,1):OFFSET(U62,0,-1),"&lt;4")&gt;0,IF(C62="К","-"," - "),(IFERROR(AVERAGE(OFFSET($E62,0,1):OFFSET(U62,0,-1)),"Очікую"))))</f>
        <v>Очікую</v>
      </c>
      <c r="V62" s="49" t="str">
        <f t="shared" ca="1" si="0"/>
        <v>Очікую</v>
      </c>
      <c r="W62" s="36"/>
      <c r="X62" s="42"/>
    </row>
    <row r="63" spans="1:24" s="12" customFormat="1" ht="15" customHeight="1" x14ac:dyDescent="0.25">
      <c r="A63" s="43"/>
      <c r="B63" s="34"/>
      <c r="C63" s="47"/>
      <c r="D63" s="47">
        <v>54</v>
      </c>
      <c r="E63" s="48"/>
      <c r="F63" s="47"/>
      <c r="G63" s="47"/>
      <c r="H63" s="47"/>
      <c r="I63" s="47"/>
      <c r="J63" s="47"/>
      <c r="K63" s="47"/>
      <c r="L63" s="47"/>
      <c r="M63" s="47"/>
      <c r="N63" s="47"/>
      <c r="O63" s="47"/>
      <c r="P63" s="47"/>
      <c r="Q63" s="47"/>
      <c r="R63" s="47"/>
      <c r="S63" s="47"/>
      <c r="T63" s="47"/>
      <c r="U63" s="49" t="str">
        <f ca="1">IF(COUNTIF(OFFSET($E63,0,1):OFFSET(U63,0,-1),"=*")&gt;0,IF($C63="К","-"," - "),IF(COUNTIF(OFFSET($E63,0,1):OFFSET(U63,0,-1),"&lt;4")&gt;0,IF(C63="К","-"," - "),(IFERROR(AVERAGE(OFFSET($E63,0,1):OFFSET(U63,0,-1)),"Очікую"))))</f>
        <v>Очікую</v>
      </c>
      <c r="V63" s="49" t="str">
        <f t="shared" ca="1" si="0"/>
        <v>Очікую</v>
      </c>
      <c r="W63" s="36"/>
      <c r="X63" s="42"/>
    </row>
    <row r="64" spans="1:24" s="12" customFormat="1" ht="15" customHeight="1" x14ac:dyDescent="0.25">
      <c r="A64" s="43"/>
      <c r="B64" s="34"/>
      <c r="C64" s="47"/>
      <c r="D64" s="47">
        <v>55</v>
      </c>
      <c r="E64" s="48"/>
      <c r="F64" s="47"/>
      <c r="G64" s="47"/>
      <c r="H64" s="47"/>
      <c r="I64" s="47"/>
      <c r="J64" s="47"/>
      <c r="K64" s="47"/>
      <c r="L64" s="47"/>
      <c r="M64" s="47"/>
      <c r="N64" s="47"/>
      <c r="O64" s="47"/>
      <c r="P64" s="47"/>
      <c r="Q64" s="47"/>
      <c r="R64" s="47"/>
      <c r="S64" s="47"/>
      <c r="T64" s="47"/>
      <c r="U64" s="49" t="str">
        <f ca="1">IF(COUNTIF(OFFSET($E64,0,1):OFFSET(U64,0,-1),"=*")&gt;0,IF($C64="К","-"," - "),IF(COUNTIF(OFFSET($E64,0,1):OFFSET(U64,0,-1),"&lt;4")&gt;0,IF(C64="К","-"," - "),(IFERROR(AVERAGE(OFFSET($E64,0,1):OFFSET(U64,0,-1)),"Очікую"))))</f>
        <v>Очікую</v>
      </c>
      <c r="V64" s="49" t="str">
        <f t="shared" ca="1" si="0"/>
        <v>Очікую</v>
      </c>
      <c r="W64" s="36"/>
      <c r="X64" s="42"/>
    </row>
    <row r="65" spans="1:24" s="12" customFormat="1" ht="15" customHeight="1" x14ac:dyDescent="0.25">
      <c r="A65" s="43"/>
      <c r="B65" s="34"/>
      <c r="C65" s="47"/>
      <c r="D65" s="47">
        <v>56</v>
      </c>
      <c r="E65" s="48"/>
      <c r="F65" s="47"/>
      <c r="G65" s="47"/>
      <c r="H65" s="47"/>
      <c r="I65" s="47"/>
      <c r="J65" s="47"/>
      <c r="K65" s="47"/>
      <c r="L65" s="47"/>
      <c r="M65" s="47"/>
      <c r="N65" s="47"/>
      <c r="O65" s="47"/>
      <c r="P65" s="47"/>
      <c r="Q65" s="47"/>
      <c r="R65" s="47"/>
      <c r="S65" s="47"/>
      <c r="T65" s="47"/>
      <c r="U65" s="49" t="str">
        <f ca="1">IF(COUNTIF(OFFSET($E65,0,1):OFFSET(U65,0,-1),"=*")&gt;0,IF($C65="К","-"," - "),IF(COUNTIF(OFFSET($E65,0,1):OFFSET(U65,0,-1),"&lt;4")&gt;0,IF(C65="К","-"," - "),(IFERROR(AVERAGE(OFFSET($E65,0,1):OFFSET(U65,0,-1)),"Очікую"))))</f>
        <v>Очікую</v>
      </c>
      <c r="V65" s="49" t="str">
        <f t="shared" ca="1" si="0"/>
        <v>Очікую</v>
      </c>
      <c r="W65" s="36"/>
      <c r="X65" s="42"/>
    </row>
    <row r="66" spans="1:24" s="12" customFormat="1" ht="15" customHeight="1" x14ac:dyDescent="0.25">
      <c r="A66" s="43"/>
      <c r="B66" s="34"/>
      <c r="C66" s="47"/>
      <c r="D66" s="47">
        <v>57</v>
      </c>
      <c r="E66" s="48"/>
      <c r="F66" s="47"/>
      <c r="G66" s="47"/>
      <c r="H66" s="47"/>
      <c r="I66" s="47"/>
      <c r="J66" s="47"/>
      <c r="K66" s="47"/>
      <c r="L66" s="47"/>
      <c r="M66" s="47"/>
      <c r="N66" s="47"/>
      <c r="O66" s="47"/>
      <c r="P66" s="47"/>
      <c r="Q66" s="47"/>
      <c r="R66" s="47"/>
      <c r="S66" s="47"/>
      <c r="T66" s="47"/>
      <c r="U66" s="49" t="str">
        <f ca="1">IF(COUNTIF(OFFSET($E66,0,1):OFFSET(U66,0,-1),"=*")&gt;0,IF($C66="К","-"," - "),IF(COUNTIF(OFFSET($E66,0,1):OFFSET(U66,0,-1),"&lt;4")&gt;0,IF(C66="К","-"," - "),(IFERROR(AVERAGE(OFFSET($E66,0,1):OFFSET(U66,0,-1)),"Очікую"))))</f>
        <v>Очікую</v>
      </c>
      <c r="V66" s="49" t="str">
        <f t="shared" ca="1" si="0"/>
        <v>Очікую</v>
      </c>
      <c r="W66" s="36"/>
      <c r="X66" s="42"/>
    </row>
    <row r="67" spans="1:24" s="12" customFormat="1" ht="15" customHeight="1" x14ac:dyDescent="0.25">
      <c r="A67" s="43"/>
      <c r="B67" s="34"/>
      <c r="C67" s="47"/>
      <c r="D67" s="47">
        <v>58</v>
      </c>
      <c r="E67" s="48"/>
      <c r="F67" s="47"/>
      <c r="G67" s="47"/>
      <c r="H67" s="47"/>
      <c r="I67" s="47"/>
      <c r="J67" s="47"/>
      <c r="K67" s="47"/>
      <c r="L67" s="47"/>
      <c r="M67" s="47"/>
      <c r="N67" s="47"/>
      <c r="O67" s="47"/>
      <c r="P67" s="47"/>
      <c r="Q67" s="47"/>
      <c r="R67" s="47"/>
      <c r="S67" s="47"/>
      <c r="T67" s="47"/>
      <c r="U67" s="49" t="str">
        <f ca="1">IF(COUNTIF(OFFSET($E67,0,1):OFFSET(U67,0,-1),"=*")&gt;0,IF($C67="К","-"," - "),IF(COUNTIF(OFFSET($E67,0,1):OFFSET(U67,0,-1),"&lt;4")&gt;0,IF(C67="К","-"," - "),(IFERROR(AVERAGE(OFFSET($E67,0,1):OFFSET(U67,0,-1)),"Очікую"))))</f>
        <v>Очікую</v>
      </c>
      <c r="V67" s="49" t="str">
        <f t="shared" ca="1" si="0"/>
        <v>Очікую</v>
      </c>
      <c r="W67" s="36"/>
      <c r="X67" s="42"/>
    </row>
    <row r="68" spans="1:24" s="12" customFormat="1" ht="15" customHeight="1" x14ac:dyDescent="0.25">
      <c r="A68" s="43"/>
      <c r="B68" s="34"/>
      <c r="C68" s="47"/>
      <c r="D68" s="47">
        <v>59</v>
      </c>
      <c r="E68" s="48"/>
      <c r="F68" s="47"/>
      <c r="G68" s="47"/>
      <c r="H68" s="47"/>
      <c r="I68" s="47"/>
      <c r="J68" s="47"/>
      <c r="K68" s="47"/>
      <c r="L68" s="47"/>
      <c r="M68" s="47"/>
      <c r="N68" s="47"/>
      <c r="O68" s="47"/>
      <c r="P68" s="47"/>
      <c r="Q68" s="47"/>
      <c r="R68" s="47"/>
      <c r="S68" s="47"/>
      <c r="T68" s="47"/>
      <c r="U68" s="49" t="str">
        <f ca="1">IF(COUNTIF(OFFSET($E68,0,1):OFFSET(U68,0,-1),"=*")&gt;0,IF($C68="К","-"," - "),IF(COUNTIF(OFFSET($E68,0,1):OFFSET(U68,0,-1),"&lt;4")&gt;0,IF(C68="К","-"," - "),(IFERROR(AVERAGE(OFFSET($E68,0,1):OFFSET(U68,0,-1)),"Очікую"))))</f>
        <v>Очікую</v>
      </c>
      <c r="V68" s="49" t="str">
        <f t="shared" ca="1" si="0"/>
        <v>Очікую</v>
      </c>
      <c r="W68" s="36"/>
      <c r="X68" s="42"/>
    </row>
    <row r="69" spans="1:24" s="12" customFormat="1" ht="15" customHeight="1" x14ac:dyDescent="0.25">
      <c r="A69" s="43"/>
      <c r="B69" s="34"/>
      <c r="C69" s="47"/>
      <c r="D69" s="47">
        <v>60</v>
      </c>
      <c r="E69" s="48"/>
      <c r="F69" s="47"/>
      <c r="G69" s="47"/>
      <c r="H69" s="47"/>
      <c r="I69" s="47"/>
      <c r="J69" s="47"/>
      <c r="K69" s="47"/>
      <c r="L69" s="47"/>
      <c r="M69" s="47"/>
      <c r="N69" s="47"/>
      <c r="O69" s="47"/>
      <c r="P69" s="47"/>
      <c r="Q69" s="47"/>
      <c r="R69" s="47"/>
      <c r="S69" s="47"/>
      <c r="T69" s="47"/>
      <c r="U69" s="49" t="str">
        <f ca="1">IF(COUNTIF(OFFSET($E69,0,1):OFFSET(U69,0,-1),"=*")&gt;0,IF($C69="К","-"," - "),IF(COUNTIF(OFFSET($E69,0,1):OFFSET(U69,0,-1),"&lt;4")&gt;0,IF(C69="К","-"," - "),(IFERROR(AVERAGE(OFFSET($E69,0,1):OFFSET(U69,0,-1)),"Очікую"))))</f>
        <v>Очікую</v>
      </c>
      <c r="V69" s="49" t="str">
        <f t="shared" ca="1" si="0"/>
        <v>Очікую</v>
      </c>
      <c r="W69" s="36"/>
      <c r="X69" s="42"/>
    </row>
    <row r="70" spans="1:24" s="12" customFormat="1" ht="15" customHeight="1" x14ac:dyDescent="0.25">
      <c r="A70" s="43"/>
      <c r="B70" s="34"/>
      <c r="C70" s="47"/>
      <c r="D70" s="47">
        <v>61</v>
      </c>
      <c r="E70" s="48"/>
      <c r="F70" s="47"/>
      <c r="G70" s="47"/>
      <c r="H70" s="47"/>
      <c r="I70" s="47"/>
      <c r="J70" s="47"/>
      <c r="K70" s="47"/>
      <c r="L70" s="47"/>
      <c r="M70" s="47"/>
      <c r="N70" s="47"/>
      <c r="O70" s="47"/>
      <c r="P70" s="47"/>
      <c r="Q70" s="47"/>
      <c r="R70" s="47"/>
      <c r="S70" s="47"/>
      <c r="T70" s="47"/>
      <c r="U70" s="49" t="str">
        <f ca="1">IF(COUNTIF(OFFSET($E70,0,1):OFFSET(U70,0,-1),"=*")&gt;0,IF($C70="К","-"," - "),IF(COUNTIF(OFFSET($E70,0,1):OFFSET(U70,0,-1),"&lt;4")&gt;0,IF(C70="К","-"," - "),(IFERROR(AVERAGE(OFFSET($E70,0,1):OFFSET(U70,0,-1)),"Очікую"))))</f>
        <v>Очікую</v>
      </c>
      <c r="V70" s="49" t="str">
        <f t="shared" ca="1" si="0"/>
        <v>Очікую</v>
      </c>
      <c r="W70" s="36"/>
      <c r="X70" s="42"/>
    </row>
    <row r="71" spans="1:24" s="12" customFormat="1" ht="15" customHeight="1" x14ac:dyDescent="0.25">
      <c r="A71" s="43"/>
      <c r="B71" s="34"/>
      <c r="C71" s="47"/>
      <c r="D71" s="47">
        <v>62</v>
      </c>
      <c r="E71" s="48"/>
      <c r="F71" s="47"/>
      <c r="G71" s="47"/>
      <c r="H71" s="47"/>
      <c r="I71" s="47"/>
      <c r="J71" s="47"/>
      <c r="K71" s="47"/>
      <c r="L71" s="47"/>
      <c r="M71" s="47"/>
      <c r="N71" s="47"/>
      <c r="O71" s="47"/>
      <c r="P71" s="47"/>
      <c r="Q71" s="47"/>
      <c r="R71" s="47"/>
      <c r="S71" s="47"/>
      <c r="T71" s="47"/>
      <c r="U71" s="49" t="str">
        <f ca="1">IF(COUNTIF(OFFSET($E71,0,1):OFFSET(U71,0,-1),"=*")&gt;0,IF($C71="К","-"," - "),IF(COUNTIF(OFFSET($E71,0,1):OFFSET(U71,0,-1),"&lt;4")&gt;0,IF(C71="К","-"," - "),(IFERROR(AVERAGE(OFFSET($E71,0,1):OFFSET(U71,0,-1)),"Очікую"))))</f>
        <v>Очікую</v>
      </c>
      <c r="V71" s="49" t="str">
        <f t="shared" ca="1" si="0"/>
        <v>Очікую</v>
      </c>
      <c r="W71" s="36"/>
      <c r="X71" s="42"/>
    </row>
    <row r="72" spans="1:24" s="12" customFormat="1" ht="15" customHeight="1" x14ac:dyDescent="0.25">
      <c r="A72" s="43"/>
      <c r="B72" s="34"/>
      <c r="C72" s="47"/>
      <c r="D72" s="47">
        <v>63</v>
      </c>
      <c r="E72" s="48"/>
      <c r="F72" s="47"/>
      <c r="G72" s="47"/>
      <c r="H72" s="47"/>
      <c r="I72" s="47"/>
      <c r="J72" s="47"/>
      <c r="K72" s="47"/>
      <c r="L72" s="47"/>
      <c r="M72" s="47"/>
      <c r="N72" s="47"/>
      <c r="O72" s="47"/>
      <c r="P72" s="47"/>
      <c r="Q72" s="47"/>
      <c r="R72" s="47"/>
      <c r="S72" s="47"/>
      <c r="T72" s="47"/>
      <c r="U72" s="49" t="str">
        <f ca="1">IF(COUNTIF(OFFSET($E72,0,1):OFFSET(U72,0,-1),"=*")&gt;0,IF($C72="К","-"," - "),IF(COUNTIF(OFFSET($E72,0,1):OFFSET(U72,0,-1),"&lt;4")&gt;0,IF(C72="К","-"," - "),(IFERROR(AVERAGE(OFFSET($E72,0,1):OFFSET(U72,0,-1)),"Очікую"))))</f>
        <v>Очікую</v>
      </c>
      <c r="V72" s="49" t="str">
        <f t="shared" ca="1" si="0"/>
        <v>Очікую</v>
      </c>
      <c r="W72" s="36"/>
      <c r="X72" s="42"/>
    </row>
    <row r="73" spans="1:24" s="12" customFormat="1" ht="15" customHeight="1" x14ac:dyDescent="0.25">
      <c r="A73" s="43"/>
      <c r="B73" s="34"/>
      <c r="C73" s="47"/>
      <c r="D73" s="47">
        <v>64</v>
      </c>
      <c r="E73" s="48"/>
      <c r="F73" s="47"/>
      <c r="G73" s="47"/>
      <c r="H73" s="47"/>
      <c r="I73" s="47"/>
      <c r="J73" s="47"/>
      <c r="K73" s="47"/>
      <c r="L73" s="47"/>
      <c r="M73" s="47"/>
      <c r="N73" s="47"/>
      <c r="O73" s="47"/>
      <c r="P73" s="47"/>
      <c r="Q73" s="47"/>
      <c r="R73" s="47"/>
      <c r="S73" s="47"/>
      <c r="T73" s="47"/>
      <c r="U73" s="49" t="str">
        <f ca="1">IF(COUNTIF(OFFSET($E73,0,1):OFFSET(U73,0,-1),"=*")&gt;0,IF($C73="К","-"," - "),IF(COUNTIF(OFFSET($E73,0,1):OFFSET(U73,0,-1),"&lt;4")&gt;0,IF(C73="К","-"," - "),(IFERROR(AVERAGE(OFFSET($E73,0,1):OFFSET(U73,0,-1)),"Очікую"))))</f>
        <v>Очікую</v>
      </c>
      <c r="V73" s="49" t="str">
        <f t="shared" ca="1" si="0"/>
        <v>Очікую</v>
      </c>
      <c r="W73" s="36"/>
      <c r="X73" s="42"/>
    </row>
    <row r="74" spans="1:24" s="12" customFormat="1" ht="15" customHeight="1" x14ac:dyDescent="0.25">
      <c r="A74" s="43"/>
      <c r="B74" s="34"/>
      <c r="C74" s="47"/>
      <c r="D74" s="47">
        <v>65</v>
      </c>
      <c r="E74" s="48"/>
      <c r="F74" s="47"/>
      <c r="G74" s="47"/>
      <c r="H74" s="47"/>
      <c r="I74" s="47"/>
      <c r="J74" s="47"/>
      <c r="K74" s="47"/>
      <c r="L74" s="47"/>
      <c r="M74" s="47"/>
      <c r="N74" s="47"/>
      <c r="O74" s="47"/>
      <c r="P74" s="47"/>
      <c r="Q74" s="47"/>
      <c r="R74" s="47"/>
      <c r="S74" s="47"/>
      <c r="T74" s="47"/>
      <c r="U74" s="49" t="str">
        <f ca="1">IF(COUNTIF(OFFSET($E74,0,1):OFFSET(U74,0,-1),"=*")&gt;0,IF($C74="К","-"," - "),IF(COUNTIF(OFFSET($E74,0,1):OFFSET(U74,0,-1),"&lt;4")&gt;0,IF(C74="К","-"," - "),(IFERROR(AVERAGE(OFFSET($E74,0,1):OFFSET(U74,0,-1)),"Очікую"))))</f>
        <v>Очікую</v>
      </c>
      <c r="V74" s="49" t="str">
        <f t="shared" ca="1" si="0"/>
        <v>Очікую</v>
      </c>
      <c r="W74" s="36"/>
      <c r="X74" s="42"/>
    </row>
    <row r="75" spans="1:24" s="12" customFormat="1" ht="15" customHeight="1" x14ac:dyDescent="0.25">
      <c r="A75" s="43"/>
      <c r="B75" s="34"/>
      <c r="C75" s="47"/>
      <c r="D75" s="47">
        <v>66</v>
      </c>
      <c r="E75" s="48"/>
      <c r="F75" s="47"/>
      <c r="G75" s="47"/>
      <c r="H75" s="47"/>
      <c r="I75" s="47"/>
      <c r="J75" s="47"/>
      <c r="K75" s="47"/>
      <c r="L75" s="47"/>
      <c r="M75" s="47"/>
      <c r="N75" s="47"/>
      <c r="O75" s="47"/>
      <c r="P75" s="47"/>
      <c r="Q75" s="47"/>
      <c r="R75" s="47"/>
      <c r="S75" s="47"/>
      <c r="T75" s="47"/>
      <c r="U75" s="49" t="str">
        <f ca="1">IF(COUNTIF(OFFSET($E75,0,1):OFFSET(U75,0,-1),"=*")&gt;0,IF($C75="К","-"," - "),IF(COUNTIF(OFFSET($E75,0,1):OFFSET(U75,0,-1),"&lt;4")&gt;0,IF(C75="К","-"," - "),(IFERROR(AVERAGE(OFFSET($E75,0,1):OFFSET(U75,0,-1)),"Очікую"))))</f>
        <v>Очікую</v>
      </c>
      <c r="V75" s="49" t="str">
        <f t="shared" ref="V75:V109" ca="1" si="1">IFERROR(U75/12*90,"Очікую")</f>
        <v>Очікую</v>
      </c>
      <c r="W75" s="36"/>
      <c r="X75" s="42"/>
    </row>
    <row r="76" spans="1:24" s="12" customFormat="1" ht="15" customHeight="1" x14ac:dyDescent="0.25">
      <c r="A76" s="43"/>
      <c r="B76" s="34"/>
      <c r="C76" s="47"/>
      <c r="D76" s="47">
        <v>67</v>
      </c>
      <c r="E76" s="48"/>
      <c r="F76" s="47"/>
      <c r="G76" s="47"/>
      <c r="H76" s="47"/>
      <c r="I76" s="47"/>
      <c r="J76" s="47"/>
      <c r="K76" s="47"/>
      <c r="L76" s="47"/>
      <c r="M76" s="47"/>
      <c r="N76" s="47"/>
      <c r="O76" s="47"/>
      <c r="P76" s="47"/>
      <c r="Q76" s="47"/>
      <c r="R76" s="47"/>
      <c r="S76" s="47"/>
      <c r="T76" s="47"/>
      <c r="U76" s="49" t="str">
        <f ca="1">IF(COUNTIF(OFFSET($E76,0,1):OFFSET(U76,0,-1),"=*")&gt;0,IF($C76="К","-"," - "),IF(COUNTIF(OFFSET($E76,0,1):OFFSET(U76,0,-1),"&lt;4")&gt;0,IF(C76="К","-"," - "),(IFERROR(AVERAGE(OFFSET($E76,0,1):OFFSET(U76,0,-1)),"Очікую"))))</f>
        <v>Очікую</v>
      </c>
      <c r="V76" s="49" t="str">
        <f t="shared" ca="1" si="1"/>
        <v>Очікую</v>
      </c>
      <c r="W76" s="36"/>
      <c r="X76" s="42"/>
    </row>
    <row r="77" spans="1:24" s="12" customFormat="1" ht="15" customHeight="1" x14ac:dyDescent="0.25">
      <c r="A77" s="43"/>
      <c r="B77" s="34"/>
      <c r="C77" s="47"/>
      <c r="D77" s="47">
        <v>68</v>
      </c>
      <c r="E77" s="48"/>
      <c r="F77" s="47"/>
      <c r="G77" s="47"/>
      <c r="H77" s="47"/>
      <c r="I77" s="47"/>
      <c r="J77" s="47"/>
      <c r="K77" s="47"/>
      <c r="L77" s="47"/>
      <c r="M77" s="47"/>
      <c r="N77" s="47"/>
      <c r="O77" s="47"/>
      <c r="P77" s="47"/>
      <c r="Q77" s="47"/>
      <c r="R77" s="47"/>
      <c r="S77" s="47"/>
      <c r="T77" s="47"/>
      <c r="U77" s="49" t="str">
        <f ca="1">IF(COUNTIF(OFFSET($E77,0,1):OFFSET(U77,0,-1),"=*")&gt;0,IF($C77="К","-"," - "),IF(COUNTIF(OFFSET($E77,0,1):OFFSET(U77,0,-1),"&lt;4")&gt;0,IF(C77="К","-"," - "),(IFERROR(AVERAGE(OFFSET($E77,0,1):OFFSET(U77,0,-1)),"Очікую"))))</f>
        <v>Очікую</v>
      </c>
      <c r="V77" s="49" t="str">
        <f t="shared" ca="1" si="1"/>
        <v>Очікую</v>
      </c>
      <c r="W77" s="36"/>
      <c r="X77" s="42"/>
    </row>
    <row r="78" spans="1:24" s="12" customFormat="1" ht="15" customHeight="1" x14ac:dyDescent="0.25">
      <c r="A78" s="43"/>
      <c r="B78" s="34"/>
      <c r="C78" s="47"/>
      <c r="D78" s="47">
        <v>69</v>
      </c>
      <c r="E78" s="48"/>
      <c r="F78" s="47"/>
      <c r="G78" s="47"/>
      <c r="H78" s="47"/>
      <c r="I78" s="47"/>
      <c r="J78" s="47"/>
      <c r="K78" s="47"/>
      <c r="L78" s="47"/>
      <c r="M78" s="47"/>
      <c r="N78" s="47"/>
      <c r="O78" s="47"/>
      <c r="P78" s="47"/>
      <c r="Q78" s="47"/>
      <c r="R78" s="47"/>
      <c r="S78" s="47"/>
      <c r="T78" s="47"/>
      <c r="U78" s="49" t="str">
        <f ca="1">IF(COUNTIF(OFFSET($E78,0,1):OFFSET(U78,0,-1),"=*")&gt;0,IF($C78="К","-"," - "),IF(COUNTIF(OFFSET($E78,0,1):OFFSET(U78,0,-1),"&lt;4")&gt;0,IF(C78="К","-"," - "),(IFERROR(AVERAGE(OFFSET($E78,0,1):OFFSET(U78,0,-1)),"Очікую"))))</f>
        <v>Очікую</v>
      </c>
      <c r="V78" s="49" t="str">
        <f t="shared" ca="1" si="1"/>
        <v>Очікую</v>
      </c>
      <c r="W78" s="36"/>
      <c r="X78" s="42"/>
    </row>
    <row r="79" spans="1:24" s="12" customFormat="1" ht="15" customHeight="1" x14ac:dyDescent="0.25">
      <c r="A79" s="43"/>
      <c r="B79" s="34"/>
      <c r="C79" s="47"/>
      <c r="D79" s="47">
        <v>70</v>
      </c>
      <c r="E79" s="48"/>
      <c r="F79" s="47"/>
      <c r="G79" s="47"/>
      <c r="H79" s="47"/>
      <c r="I79" s="47"/>
      <c r="J79" s="47"/>
      <c r="K79" s="47"/>
      <c r="L79" s="47"/>
      <c r="M79" s="47"/>
      <c r="N79" s="47"/>
      <c r="O79" s="47"/>
      <c r="P79" s="47"/>
      <c r="Q79" s="47"/>
      <c r="R79" s="47"/>
      <c r="S79" s="47"/>
      <c r="T79" s="47"/>
      <c r="U79" s="49" t="str">
        <f ca="1">IF(COUNTIF(OFFSET($E79,0,1):OFFSET(U79,0,-1),"=*")&gt;0,IF($C79="К","-"," - "),IF(COUNTIF(OFFSET($E79,0,1):OFFSET(U79,0,-1),"&lt;4")&gt;0,IF(C79="К","-"," - "),(IFERROR(AVERAGE(OFFSET($E79,0,1):OFFSET(U79,0,-1)),"Очікую"))))</f>
        <v>Очікую</v>
      </c>
      <c r="V79" s="49" t="str">
        <f t="shared" ca="1" si="1"/>
        <v>Очікую</v>
      </c>
      <c r="W79" s="36"/>
      <c r="X79" s="42"/>
    </row>
    <row r="80" spans="1:24" s="12" customFormat="1" ht="15" customHeight="1" x14ac:dyDescent="0.25">
      <c r="A80" s="43"/>
      <c r="B80" s="34"/>
      <c r="C80" s="47"/>
      <c r="D80" s="47">
        <v>71</v>
      </c>
      <c r="E80" s="48"/>
      <c r="F80" s="47"/>
      <c r="G80" s="47"/>
      <c r="H80" s="47"/>
      <c r="I80" s="47"/>
      <c r="J80" s="47"/>
      <c r="K80" s="47"/>
      <c r="L80" s="47"/>
      <c r="M80" s="47"/>
      <c r="N80" s="47"/>
      <c r="O80" s="47"/>
      <c r="P80" s="47"/>
      <c r="Q80" s="47"/>
      <c r="R80" s="47"/>
      <c r="S80" s="47"/>
      <c r="T80" s="47"/>
      <c r="U80" s="49" t="str">
        <f ca="1">IF(COUNTIF(OFFSET($E80,0,1):OFFSET(U80,0,-1),"=*")&gt;0,IF($C80="К","-"," - "),IF(COUNTIF(OFFSET($E80,0,1):OFFSET(U80,0,-1),"&lt;4")&gt;0,IF(C80="К","-"," - "),(IFERROR(AVERAGE(OFFSET($E80,0,1):OFFSET(U80,0,-1)),"Очікую"))))</f>
        <v>Очікую</v>
      </c>
      <c r="V80" s="49" t="str">
        <f t="shared" ca="1" si="1"/>
        <v>Очікую</v>
      </c>
      <c r="W80" s="36"/>
      <c r="X80" s="42"/>
    </row>
    <row r="81" spans="1:24" s="12" customFormat="1" ht="15" customHeight="1" x14ac:dyDescent="0.25">
      <c r="A81" s="43"/>
      <c r="B81" s="34"/>
      <c r="C81" s="47"/>
      <c r="D81" s="47">
        <v>72</v>
      </c>
      <c r="E81" s="48"/>
      <c r="F81" s="47"/>
      <c r="G81" s="47"/>
      <c r="H81" s="47"/>
      <c r="I81" s="47"/>
      <c r="J81" s="47"/>
      <c r="K81" s="47"/>
      <c r="L81" s="47"/>
      <c r="M81" s="47"/>
      <c r="N81" s="47"/>
      <c r="O81" s="47"/>
      <c r="P81" s="47"/>
      <c r="Q81" s="47"/>
      <c r="R81" s="47"/>
      <c r="S81" s="47"/>
      <c r="T81" s="47"/>
      <c r="U81" s="49" t="str">
        <f ca="1">IF(COUNTIF(OFFSET($E81,0,1):OFFSET(U81,0,-1),"=*")&gt;0,IF($C81="К","-"," - "),IF(COUNTIF(OFFSET($E81,0,1):OFFSET(U81,0,-1),"&lt;4")&gt;0,IF(C81="К","-"," - "),(IFERROR(AVERAGE(OFFSET($E81,0,1):OFFSET(U81,0,-1)),"Очікую"))))</f>
        <v>Очікую</v>
      </c>
      <c r="V81" s="49" t="str">
        <f t="shared" ca="1" si="1"/>
        <v>Очікую</v>
      </c>
      <c r="W81" s="36"/>
      <c r="X81" s="42"/>
    </row>
    <row r="82" spans="1:24" s="12" customFormat="1" ht="15" customHeight="1" x14ac:dyDescent="0.25">
      <c r="A82" s="43"/>
      <c r="B82" s="34"/>
      <c r="C82" s="47"/>
      <c r="D82" s="47">
        <v>73</v>
      </c>
      <c r="E82" s="48"/>
      <c r="F82" s="47"/>
      <c r="G82" s="47"/>
      <c r="H82" s="47"/>
      <c r="I82" s="47"/>
      <c r="J82" s="47"/>
      <c r="K82" s="47"/>
      <c r="L82" s="47"/>
      <c r="M82" s="47"/>
      <c r="N82" s="47"/>
      <c r="O82" s="47"/>
      <c r="P82" s="47"/>
      <c r="Q82" s="47"/>
      <c r="R82" s="47"/>
      <c r="S82" s="47"/>
      <c r="T82" s="47"/>
      <c r="U82" s="49" t="str">
        <f ca="1">IF(COUNTIF(OFFSET($E82,0,1):OFFSET(U82,0,-1),"=*")&gt;0,IF($C82="К","-"," - "),IF(COUNTIF(OFFSET($E82,0,1):OFFSET(U82,0,-1),"&lt;4")&gt;0,IF(C82="К","-"," - "),(IFERROR(AVERAGE(OFFSET($E82,0,1):OFFSET(U82,0,-1)),"Очікую"))))</f>
        <v>Очікую</v>
      </c>
      <c r="V82" s="49" t="str">
        <f t="shared" ca="1" si="1"/>
        <v>Очікую</v>
      </c>
      <c r="W82" s="36"/>
      <c r="X82" s="42"/>
    </row>
    <row r="83" spans="1:24" s="12" customFormat="1" ht="15" customHeight="1" x14ac:dyDescent="0.25">
      <c r="A83" s="43"/>
      <c r="B83" s="34"/>
      <c r="C83" s="47"/>
      <c r="D83" s="47">
        <v>74</v>
      </c>
      <c r="E83" s="48"/>
      <c r="F83" s="47"/>
      <c r="G83" s="47"/>
      <c r="H83" s="47"/>
      <c r="I83" s="47"/>
      <c r="J83" s="47"/>
      <c r="K83" s="47"/>
      <c r="L83" s="47"/>
      <c r="M83" s="47"/>
      <c r="N83" s="47"/>
      <c r="O83" s="47"/>
      <c r="P83" s="47"/>
      <c r="Q83" s="47"/>
      <c r="R83" s="47"/>
      <c r="S83" s="47"/>
      <c r="T83" s="47"/>
      <c r="U83" s="49" t="str">
        <f ca="1">IF(COUNTIF(OFFSET($E83,0,1):OFFSET(U83,0,-1),"=*")&gt;0,IF($C83="К","-"," - "),IF(COUNTIF(OFFSET($E83,0,1):OFFSET(U83,0,-1),"&lt;4")&gt;0,IF(C83="К","-"," - "),(IFERROR(AVERAGE(OFFSET($E83,0,1):OFFSET(U83,0,-1)),"Очікую"))))</f>
        <v>Очікую</v>
      </c>
      <c r="V83" s="49" t="str">
        <f t="shared" ca="1" si="1"/>
        <v>Очікую</v>
      </c>
      <c r="W83" s="36"/>
      <c r="X83" s="42"/>
    </row>
    <row r="84" spans="1:24" s="12" customFormat="1" ht="15" customHeight="1" x14ac:dyDescent="0.25">
      <c r="A84" s="43"/>
      <c r="B84" s="34"/>
      <c r="C84" s="47"/>
      <c r="D84" s="47">
        <v>75</v>
      </c>
      <c r="E84" s="48"/>
      <c r="F84" s="47"/>
      <c r="G84" s="47"/>
      <c r="H84" s="47"/>
      <c r="I84" s="47"/>
      <c r="J84" s="47"/>
      <c r="K84" s="47"/>
      <c r="L84" s="47"/>
      <c r="M84" s="47"/>
      <c r="N84" s="47"/>
      <c r="O84" s="47"/>
      <c r="P84" s="47"/>
      <c r="Q84" s="47"/>
      <c r="R84" s="47"/>
      <c r="S84" s="47"/>
      <c r="T84" s="47"/>
      <c r="U84" s="49" t="str">
        <f ca="1">IF(COUNTIF(OFFSET($E84,0,1):OFFSET(U84,0,-1),"=*")&gt;0,IF($C84="К","-"," - "),IF(COUNTIF(OFFSET($E84,0,1):OFFSET(U84,0,-1),"&lt;4")&gt;0,IF(C84="К","-"," - "),(IFERROR(AVERAGE(OFFSET($E84,0,1):OFFSET(U84,0,-1)),"Очікую"))))</f>
        <v>Очікую</v>
      </c>
      <c r="V84" s="49" t="str">
        <f t="shared" ca="1" si="1"/>
        <v>Очікую</v>
      </c>
      <c r="W84" s="36"/>
      <c r="X84" s="42"/>
    </row>
    <row r="85" spans="1:24" s="12" customFormat="1" ht="15" customHeight="1" x14ac:dyDescent="0.25">
      <c r="A85" s="43"/>
      <c r="B85" s="34"/>
      <c r="C85" s="47"/>
      <c r="D85" s="47">
        <v>76</v>
      </c>
      <c r="E85" s="48"/>
      <c r="F85" s="47"/>
      <c r="G85" s="47"/>
      <c r="H85" s="47"/>
      <c r="I85" s="47"/>
      <c r="J85" s="47"/>
      <c r="K85" s="47"/>
      <c r="L85" s="47"/>
      <c r="M85" s="47"/>
      <c r="N85" s="47"/>
      <c r="O85" s="47"/>
      <c r="P85" s="47"/>
      <c r="Q85" s="47"/>
      <c r="R85" s="47"/>
      <c r="S85" s="47"/>
      <c r="T85" s="47"/>
      <c r="U85" s="49" t="str">
        <f ca="1">IF(COUNTIF(OFFSET($E85,0,1):OFFSET(U85,0,-1),"=*")&gt;0,IF($C85="К","-"," - "),IF(COUNTIF(OFFSET($E85,0,1):OFFSET(U85,0,-1),"&lt;4")&gt;0,IF(C85="К","-"," - "),(IFERROR(AVERAGE(OFFSET($E85,0,1):OFFSET(U85,0,-1)),"Очікую"))))</f>
        <v>Очікую</v>
      </c>
      <c r="V85" s="49" t="str">
        <f t="shared" ca="1" si="1"/>
        <v>Очікую</v>
      </c>
      <c r="W85" s="36"/>
      <c r="X85" s="42"/>
    </row>
    <row r="86" spans="1:24" s="12" customFormat="1" ht="15" customHeight="1" x14ac:dyDescent="0.25">
      <c r="A86" s="43"/>
      <c r="B86" s="34"/>
      <c r="C86" s="47"/>
      <c r="D86" s="47">
        <v>77</v>
      </c>
      <c r="E86" s="48"/>
      <c r="F86" s="47"/>
      <c r="G86" s="47"/>
      <c r="H86" s="47"/>
      <c r="I86" s="47"/>
      <c r="J86" s="47"/>
      <c r="K86" s="47"/>
      <c r="L86" s="47"/>
      <c r="M86" s="47"/>
      <c r="N86" s="47"/>
      <c r="O86" s="47"/>
      <c r="P86" s="47"/>
      <c r="Q86" s="47"/>
      <c r="R86" s="47"/>
      <c r="S86" s="47"/>
      <c r="T86" s="47"/>
      <c r="U86" s="49" t="str">
        <f ca="1">IF(COUNTIF(OFFSET($E86,0,1):OFFSET(U86,0,-1),"=*")&gt;0,IF($C86="К","-"," - "),IF(COUNTIF(OFFSET($E86,0,1):OFFSET(U86,0,-1),"&lt;4")&gt;0,IF(C86="К","-"," - "),(IFERROR(AVERAGE(OFFSET($E86,0,1):OFFSET(U86,0,-1)),"Очікую"))))</f>
        <v>Очікую</v>
      </c>
      <c r="V86" s="49" t="str">
        <f t="shared" ca="1" si="1"/>
        <v>Очікую</v>
      </c>
      <c r="W86" s="36"/>
      <c r="X86" s="42"/>
    </row>
    <row r="87" spans="1:24" s="12" customFormat="1" ht="15" customHeight="1" x14ac:dyDescent="0.25">
      <c r="A87" s="43"/>
      <c r="B87" s="34"/>
      <c r="C87" s="47"/>
      <c r="D87" s="47">
        <v>78</v>
      </c>
      <c r="E87" s="48"/>
      <c r="F87" s="47"/>
      <c r="G87" s="47"/>
      <c r="H87" s="47"/>
      <c r="I87" s="47"/>
      <c r="J87" s="47"/>
      <c r="K87" s="47"/>
      <c r="L87" s="47"/>
      <c r="M87" s="47"/>
      <c r="N87" s="47"/>
      <c r="O87" s="47"/>
      <c r="P87" s="47"/>
      <c r="Q87" s="47"/>
      <c r="R87" s="47"/>
      <c r="S87" s="47"/>
      <c r="T87" s="47"/>
      <c r="U87" s="49" t="str">
        <f ca="1">IF(COUNTIF(OFFSET($E87,0,1):OFFSET(U87,0,-1),"=*")&gt;0,IF($C87="К","-"," - "),IF(COUNTIF(OFFSET($E87,0,1):OFFSET(U87,0,-1),"&lt;4")&gt;0,IF(C87="К","-"," - "),(IFERROR(AVERAGE(OFFSET($E87,0,1):OFFSET(U87,0,-1)),"Очікую"))))</f>
        <v>Очікую</v>
      </c>
      <c r="V87" s="49" t="str">
        <f t="shared" ca="1" si="1"/>
        <v>Очікую</v>
      </c>
      <c r="W87" s="36"/>
      <c r="X87" s="42"/>
    </row>
    <row r="88" spans="1:24" s="12" customFormat="1" ht="15" customHeight="1" x14ac:dyDescent="0.25">
      <c r="A88" s="43"/>
      <c r="B88" s="34"/>
      <c r="C88" s="47"/>
      <c r="D88" s="47">
        <v>79</v>
      </c>
      <c r="E88" s="48"/>
      <c r="F88" s="47"/>
      <c r="G88" s="47"/>
      <c r="H88" s="47"/>
      <c r="I88" s="47"/>
      <c r="J88" s="47"/>
      <c r="K88" s="47"/>
      <c r="L88" s="47"/>
      <c r="M88" s="47"/>
      <c r="N88" s="47"/>
      <c r="O88" s="47"/>
      <c r="P88" s="47"/>
      <c r="Q88" s="47"/>
      <c r="R88" s="47"/>
      <c r="S88" s="47"/>
      <c r="T88" s="47"/>
      <c r="U88" s="49" t="str">
        <f ca="1">IF(COUNTIF(OFFSET($E88,0,1):OFFSET(U88,0,-1),"=*")&gt;0,IF($C88="К","-"," - "),IF(COUNTIF(OFFSET($E88,0,1):OFFSET(U88,0,-1),"&lt;4")&gt;0,IF(C88="К","-"," - "),(IFERROR(AVERAGE(OFFSET($E88,0,1):OFFSET(U88,0,-1)),"Очікую"))))</f>
        <v>Очікую</v>
      </c>
      <c r="V88" s="49" t="str">
        <f t="shared" ca="1" si="1"/>
        <v>Очікую</v>
      </c>
      <c r="W88" s="36"/>
      <c r="X88" s="42"/>
    </row>
    <row r="89" spans="1:24" s="12" customFormat="1" ht="15" customHeight="1" x14ac:dyDescent="0.25">
      <c r="A89" s="43"/>
      <c r="B89" s="34"/>
      <c r="C89" s="47"/>
      <c r="D89" s="47">
        <v>80</v>
      </c>
      <c r="E89" s="48"/>
      <c r="F89" s="47"/>
      <c r="G89" s="47"/>
      <c r="H89" s="47"/>
      <c r="I89" s="47"/>
      <c r="J89" s="47"/>
      <c r="K89" s="47"/>
      <c r="L89" s="47"/>
      <c r="M89" s="47"/>
      <c r="N89" s="47"/>
      <c r="O89" s="47"/>
      <c r="P89" s="47"/>
      <c r="Q89" s="47"/>
      <c r="R89" s="47"/>
      <c r="S89" s="47"/>
      <c r="T89" s="47"/>
      <c r="U89" s="49" t="str">
        <f ca="1">IF(COUNTIF(OFFSET($E89,0,1):OFFSET(U89,0,-1),"=*")&gt;0,IF($C89="К","-"," - "),IF(COUNTIF(OFFSET($E89,0,1):OFFSET(U89,0,-1),"&lt;4")&gt;0,IF(C89="К","-"," - "),(IFERROR(AVERAGE(OFFSET($E89,0,1):OFFSET(U89,0,-1)),"Очікую"))))</f>
        <v>Очікую</v>
      </c>
      <c r="V89" s="49" t="str">
        <f t="shared" ca="1" si="1"/>
        <v>Очікую</v>
      </c>
      <c r="W89" s="36"/>
      <c r="X89" s="42"/>
    </row>
    <row r="90" spans="1:24" s="12" customFormat="1" ht="15" customHeight="1" x14ac:dyDescent="0.25">
      <c r="A90" s="43"/>
      <c r="B90" s="34"/>
      <c r="C90" s="47"/>
      <c r="D90" s="47">
        <v>81</v>
      </c>
      <c r="E90" s="48"/>
      <c r="F90" s="47"/>
      <c r="G90" s="47"/>
      <c r="H90" s="47"/>
      <c r="I90" s="47"/>
      <c r="J90" s="47"/>
      <c r="K90" s="47"/>
      <c r="L90" s="47"/>
      <c r="M90" s="47"/>
      <c r="N90" s="47"/>
      <c r="O90" s="47"/>
      <c r="P90" s="47"/>
      <c r="Q90" s="47"/>
      <c r="R90" s="47"/>
      <c r="S90" s="47"/>
      <c r="T90" s="47"/>
      <c r="U90" s="49" t="str">
        <f ca="1">IF(COUNTIF(OFFSET($E90,0,1):OFFSET(U90,0,-1),"=*")&gt;0,IF($C90="К","-"," - "),IF(COUNTIF(OFFSET($E90,0,1):OFFSET(U90,0,-1),"&lt;4")&gt;0,IF(C90="К","-"," - "),(IFERROR(AVERAGE(OFFSET($E90,0,1):OFFSET(U90,0,-1)),"Очікую"))))</f>
        <v>Очікую</v>
      </c>
      <c r="V90" s="49" t="str">
        <f t="shared" ca="1" si="1"/>
        <v>Очікую</v>
      </c>
      <c r="W90" s="36"/>
      <c r="X90" s="42"/>
    </row>
    <row r="91" spans="1:24" s="12" customFormat="1" ht="15" customHeight="1" x14ac:dyDescent="0.25">
      <c r="A91" s="43"/>
      <c r="B91" s="34"/>
      <c r="C91" s="47"/>
      <c r="D91" s="47">
        <v>82</v>
      </c>
      <c r="E91" s="48"/>
      <c r="F91" s="47"/>
      <c r="G91" s="47"/>
      <c r="H91" s="47"/>
      <c r="I91" s="47"/>
      <c r="J91" s="47"/>
      <c r="K91" s="47"/>
      <c r="L91" s="47"/>
      <c r="M91" s="47"/>
      <c r="N91" s="47"/>
      <c r="O91" s="47"/>
      <c r="P91" s="47"/>
      <c r="Q91" s="47"/>
      <c r="R91" s="47"/>
      <c r="S91" s="47"/>
      <c r="T91" s="47"/>
      <c r="U91" s="49" t="str">
        <f ca="1">IF(COUNTIF(OFFSET($E91,0,1):OFFSET(U91,0,-1),"=*")&gt;0,IF($C91="К","-"," - "),IF(COUNTIF(OFFSET($E91,0,1):OFFSET(U91,0,-1),"&lt;4")&gt;0,IF(C91="К","-"," - "),(IFERROR(AVERAGE(OFFSET($E91,0,1):OFFSET(U91,0,-1)),"Очікую"))))</f>
        <v>Очікую</v>
      </c>
      <c r="V91" s="49" t="str">
        <f t="shared" ca="1" si="1"/>
        <v>Очікую</v>
      </c>
      <c r="W91" s="36"/>
      <c r="X91" s="42"/>
    </row>
    <row r="92" spans="1:24" s="12" customFormat="1" ht="15" customHeight="1" x14ac:dyDescent="0.25">
      <c r="A92" s="43"/>
      <c r="B92" s="34"/>
      <c r="C92" s="47"/>
      <c r="D92" s="47">
        <v>83</v>
      </c>
      <c r="E92" s="48"/>
      <c r="F92" s="47"/>
      <c r="G92" s="47"/>
      <c r="H92" s="47"/>
      <c r="I92" s="47"/>
      <c r="J92" s="47"/>
      <c r="K92" s="47"/>
      <c r="L92" s="47"/>
      <c r="M92" s="47"/>
      <c r="N92" s="47"/>
      <c r="O92" s="47"/>
      <c r="P92" s="47"/>
      <c r="Q92" s="47"/>
      <c r="R92" s="47"/>
      <c r="S92" s="47"/>
      <c r="T92" s="47"/>
      <c r="U92" s="49" t="str">
        <f ca="1">IF(COUNTIF(OFFSET($E92,0,1):OFFSET(U92,0,-1),"=*")&gt;0,IF($C92="К","-"," - "),IF(COUNTIF(OFFSET($E92,0,1):OFFSET(U92,0,-1),"&lt;4")&gt;0,IF(C92="К","-"," - "),(IFERROR(AVERAGE(OFFSET($E92,0,1):OFFSET(U92,0,-1)),"Очікую"))))</f>
        <v>Очікую</v>
      </c>
      <c r="V92" s="49" t="str">
        <f t="shared" ca="1" si="1"/>
        <v>Очікую</v>
      </c>
      <c r="W92" s="36"/>
      <c r="X92" s="42"/>
    </row>
    <row r="93" spans="1:24" s="12" customFormat="1" ht="15" customHeight="1" x14ac:dyDescent="0.25">
      <c r="A93" s="43"/>
      <c r="B93" s="34"/>
      <c r="C93" s="47"/>
      <c r="D93" s="47">
        <v>84</v>
      </c>
      <c r="E93" s="48"/>
      <c r="F93" s="47"/>
      <c r="G93" s="47"/>
      <c r="H93" s="47"/>
      <c r="I93" s="47"/>
      <c r="J93" s="47"/>
      <c r="K93" s="47"/>
      <c r="L93" s="47"/>
      <c r="M93" s="47"/>
      <c r="N93" s="47"/>
      <c r="O93" s="47"/>
      <c r="P93" s="47"/>
      <c r="Q93" s="47"/>
      <c r="R93" s="47"/>
      <c r="S93" s="47"/>
      <c r="T93" s="47"/>
      <c r="U93" s="49" t="str">
        <f ca="1">IF(COUNTIF(OFFSET($E93,0,1):OFFSET(U93,0,-1),"=*")&gt;0,IF($C93="К","-"," - "),IF(COUNTIF(OFFSET($E93,0,1):OFFSET(U93,0,-1),"&lt;4")&gt;0,IF(C93="К","-"," - "),(IFERROR(AVERAGE(OFFSET($E93,0,1):OFFSET(U93,0,-1)),"Очікую"))))</f>
        <v>Очікую</v>
      </c>
      <c r="V93" s="49" t="str">
        <f t="shared" ca="1" si="1"/>
        <v>Очікую</v>
      </c>
      <c r="W93" s="36"/>
      <c r="X93" s="42"/>
    </row>
    <row r="94" spans="1:24" s="12" customFormat="1" ht="15" customHeight="1" x14ac:dyDescent="0.25">
      <c r="A94" s="43"/>
      <c r="B94" s="34"/>
      <c r="C94" s="47"/>
      <c r="D94" s="47">
        <v>85</v>
      </c>
      <c r="E94" s="48"/>
      <c r="F94" s="47"/>
      <c r="G94" s="47"/>
      <c r="H94" s="47"/>
      <c r="I94" s="47"/>
      <c r="J94" s="47"/>
      <c r="K94" s="47"/>
      <c r="L94" s="47"/>
      <c r="M94" s="47"/>
      <c r="N94" s="47"/>
      <c r="O94" s="47"/>
      <c r="P94" s="47"/>
      <c r="Q94" s="47"/>
      <c r="R94" s="47"/>
      <c r="S94" s="47"/>
      <c r="T94" s="47"/>
      <c r="U94" s="49" t="str">
        <f ca="1">IF(COUNTIF(OFFSET($E94,0,1):OFFSET(U94,0,-1),"=*")&gt;0,IF($C94="К","-"," - "),IF(COUNTIF(OFFSET($E94,0,1):OFFSET(U94,0,-1),"&lt;4")&gt;0,IF(C94="К","-"," - "),(IFERROR(AVERAGE(OFFSET($E94,0,1):OFFSET(U94,0,-1)),"Очікую"))))</f>
        <v>Очікую</v>
      </c>
      <c r="V94" s="49" t="str">
        <f t="shared" ca="1" si="1"/>
        <v>Очікую</v>
      </c>
      <c r="W94" s="36"/>
      <c r="X94" s="42"/>
    </row>
    <row r="95" spans="1:24" s="12" customFormat="1" ht="15" customHeight="1" x14ac:dyDescent="0.25">
      <c r="A95" s="43"/>
      <c r="B95" s="34"/>
      <c r="C95" s="47"/>
      <c r="D95" s="47">
        <v>86</v>
      </c>
      <c r="E95" s="48"/>
      <c r="F95" s="47"/>
      <c r="G95" s="47"/>
      <c r="H95" s="47"/>
      <c r="I95" s="47"/>
      <c r="J95" s="47"/>
      <c r="K95" s="47"/>
      <c r="L95" s="47"/>
      <c r="M95" s="47"/>
      <c r="N95" s="47"/>
      <c r="O95" s="47"/>
      <c r="P95" s="47"/>
      <c r="Q95" s="47"/>
      <c r="R95" s="47"/>
      <c r="S95" s="47"/>
      <c r="T95" s="47"/>
      <c r="U95" s="49" t="str">
        <f ca="1">IF(COUNTIF(OFFSET($E95,0,1):OFFSET(U95,0,-1),"=*")&gt;0,IF($C95="К","-"," - "),IF(COUNTIF(OFFSET($E95,0,1):OFFSET(U95,0,-1),"&lt;4")&gt;0,IF(C95="К","-"," - "),(IFERROR(AVERAGE(OFFSET($E95,0,1):OFFSET(U95,0,-1)),"Очікую"))))</f>
        <v>Очікую</v>
      </c>
      <c r="V95" s="49" t="str">
        <f t="shared" ca="1" si="1"/>
        <v>Очікую</v>
      </c>
      <c r="W95" s="36"/>
      <c r="X95" s="42"/>
    </row>
    <row r="96" spans="1:24" s="12" customFormat="1" ht="15" customHeight="1" x14ac:dyDescent="0.25">
      <c r="A96" s="43"/>
      <c r="B96" s="34"/>
      <c r="C96" s="47"/>
      <c r="D96" s="47">
        <v>87</v>
      </c>
      <c r="E96" s="48"/>
      <c r="F96" s="47"/>
      <c r="G96" s="47"/>
      <c r="H96" s="47"/>
      <c r="I96" s="47"/>
      <c r="J96" s="47"/>
      <c r="K96" s="47"/>
      <c r="L96" s="47"/>
      <c r="M96" s="47"/>
      <c r="N96" s="47"/>
      <c r="O96" s="47"/>
      <c r="P96" s="47"/>
      <c r="Q96" s="47"/>
      <c r="R96" s="47"/>
      <c r="S96" s="47"/>
      <c r="T96" s="47"/>
      <c r="U96" s="49" t="str">
        <f ca="1">IF(COUNTIF(OFFSET($E96,0,1):OFFSET(U96,0,-1),"=*")&gt;0,IF($C96="К","-"," - "),IF(COUNTIF(OFFSET($E96,0,1):OFFSET(U96,0,-1),"&lt;4")&gt;0,IF(C96="К","-"," - "),(IFERROR(AVERAGE(OFFSET($E96,0,1):OFFSET(U96,0,-1)),"Очікую"))))</f>
        <v>Очікую</v>
      </c>
      <c r="V96" s="49" t="str">
        <f t="shared" ca="1" si="1"/>
        <v>Очікую</v>
      </c>
      <c r="W96" s="36"/>
      <c r="X96" s="42"/>
    </row>
    <row r="97" spans="1:24" s="12" customFormat="1" ht="15" customHeight="1" x14ac:dyDescent="0.25">
      <c r="A97" s="43"/>
      <c r="B97" s="34"/>
      <c r="C97" s="47"/>
      <c r="D97" s="47">
        <v>88</v>
      </c>
      <c r="E97" s="48"/>
      <c r="F97" s="47"/>
      <c r="G97" s="47"/>
      <c r="H97" s="47"/>
      <c r="I97" s="47"/>
      <c r="J97" s="47"/>
      <c r="K97" s="47"/>
      <c r="L97" s="47"/>
      <c r="M97" s="47"/>
      <c r="N97" s="47"/>
      <c r="O97" s="47"/>
      <c r="P97" s="47"/>
      <c r="Q97" s="47"/>
      <c r="R97" s="47"/>
      <c r="S97" s="47"/>
      <c r="T97" s="47"/>
      <c r="U97" s="49" t="str">
        <f ca="1">IF(COUNTIF(OFFSET($E97,0,1):OFFSET(U97,0,-1),"=*")&gt;0,IF($C97="К","-"," - "),IF(COUNTIF(OFFSET($E97,0,1):OFFSET(U97,0,-1),"&lt;4")&gt;0,IF(C97="К","-"," - "),(IFERROR(AVERAGE(OFFSET($E97,0,1):OFFSET(U97,0,-1)),"Очікую"))))</f>
        <v>Очікую</v>
      </c>
      <c r="V97" s="49" t="str">
        <f t="shared" ca="1" si="1"/>
        <v>Очікую</v>
      </c>
      <c r="W97" s="36"/>
      <c r="X97" s="42"/>
    </row>
    <row r="98" spans="1:24" s="12" customFormat="1" ht="15" customHeight="1" x14ac:dyDescent="0.25">
      <c r="A98" s="43"/>
      <c r="B98" s="34"/>
      <c r="C98" s="47"/>
      <c r="D98" s="47">
        <v>89</v>
      </c>
      <c r="E98" s="48"/>
      <c r="F98" s="47"/>
      <c r="G98" s="47"/>
      <c r="H98" s="47"/>
      <c r="I98" s="47"/>
      <c r="J98" s="47"/>
      <c r="K98" s="47"/>
      <c r="L98" s="47"/>
      <c r="M98" s="47"/>
      <c r="N98" s="47"/>
      <c r="O98" s="47"/>
      <c r="P98" s="47"/>
      <c r="Q98" s="47"/>
      <c r="R98" s="47"/>
      <c r="S98" s="47"/>
      <c r="T98" s="47"/>
      <c r="U98" s="49" t="str">
        <f ca="1">IF(COUNTIF(OFFSET($E98,0,1):OFFSET(U98,0,-1),"=*")&gt;0,IF($C98="К","-"," - "),IF(COUNTIF(OFFSET($E98,0,1):OFFSET(U98,0,-1),"&lt;4")&gt;0,IF(C98="К","-"," - "),(IFERROR(AVERAGE(OFFSET($E98,0,1):OFFSET(U98,0,-1)),"Очікую"))))</f>
        <v>Очікую</v>
      </c>
      <c r="V98" s="49" t="str">
        <f t="shared" ca="1" si="1"/>
        <v>Очікую</v>
      </c>
      <c r="W98" s="36"/>
      <c r="X98" s="42"/>
    </row>
    <row r="99" spans="1:24" s="12" customFormat="1" ht="15" customHeight="1" x14ac:dyDescent="0.25">
      <c r="A99" s="43"/>
      <c r="B99" s="34"/>
      <c r="C99" s="47"/>
      <c r="D99" s="47">
        <v>90</v>
      </c>
      <c r="E99" s="48"/>
      <c r="F99" s="47"/>
      <c r="G99" s="47"/>
      <c r="H99" s="47"/>
      <c r="I99" s="47"/>
      <c r="J99" s="47"/>
      <c r="K99" s="47"/>
      <c r="L99" s="47"/>
      <c r="M99" s="47"/>
      <c r="N99" s="47"/>
      <c r="O99" s="47"/>
      <c r="P99" s="47"/>
      <c r="Q99" s="47"/>
      <c r="R99" s="47"/>
      <c r="S99" s="47"/>
      <c r="T99" s="47"/>
      <c r="U99" s="49" t="str">
        <f ca="1">IF(COUNTIF(OFFSET($E99,0,1):OFFSET(U99,0,-1),"=*")&gt;0,IF($C99="К","-"," - "),IF(COUNTIF(OFFSET($E99,0,1):OFFSET(U99,0,-1),"&lt;4")&gt;0,IF(C99="К","-"," - "),(IFERROR(AVERAGE(OFFSET($E99,0,1):OFFSET(U99,0,-1)),"Очікую"))))</f>
        <v>Очікую</v>
      </c>
      <c r="V99" s="49" t="str">
        <f t="shared" ca="1" si="1"/>
        <v>Очікую</v>
      </c>
      <c r="W99" s="36"/>
      <c r="X99" s="42"/>
    </row>
    <row r="100" spans="1:24" s="12" customFormat="1" ht="15" customHeight="1" x14ac:dyDescent="0.25">
      <c r="A100" s="43"/>
      <c r="B100" s="34"/>
      <c r="C100" s="47"/>
      <c r="D100" s="47">
        <v>91</v>
      </c>
      <c r="E100" s="48"/>
      <c r="F100" s="47"/>
      <c r="G100" s="47"/>
      <c r="H100" s="47"/>
      <c r="I100" s="47"/>
      <c r="J100" s="47"/>
      <c r="K100" s="47"/>
      <c r="L100" s="47"/>
      <c r="M100" s="47"/>
      <c r="N100" s="47"/>
      <c r="O100" s="47"/>
      <c r="P100" s="47"/>
      <c r="Q100" s="47"/>
      <c r="R100" s="47"/>
      <c r="S100" s="47"/>
      <c r="T100" s="47"/>
      <c r="U100" s="49" t="str">
        <f ca="1">IF(COUNTIF(OFFSET($E100,0,1):OFFSET(U100,0,-1),"=*")&gt;0,IF($C100="К","-"," - "),IF(COUNTIF(OFFSET($E100,0,1):OFFSET(U100,0,-1),"&lt;4")&gt;0,IF(C100="К","-"," - "),(IFERROR(AVERAGE(OFFSET($E100,0,1):OFFSET(U100,0,-1)),"Очікую"))))</f>
        <v>Очікую</v>
      </c>
      <c r="V100" s="49" t="str">
        <f t="shared" ca="1" si="1"/>
        <v>Очікую</v>
      </c>
      <c r="W100" s="36"/>
      <c r="X100" s="42"/>
    </row>
    <row r="101" spans="1:24" s="12" customFormat="1" ht="15" customHeight="1" x14ac:dyDescent="0.25">
      <c r="A101" s="43"/>
      <c r="B101" s="34"/>
      <c r="C101" s="47"/>
      <c r="D101" s="47">
        <v>92</v>
      </c>
      <c r="E101" s="48"/>
      <c r="F101" s="47"/>
      <c r="G101" s="47"/>
      <c r="H101" s="47"/>
      <c r="I101" s="47"/>
      <c r="J101" s="47"/>
      <c r="K101" s="47"/>
      <c r="L101" s="47"/>
      <c r="M101" s="47"/>
      <c r="N101" s="47"/>
      <c r="O101" s="47"/>
      <c r="P101" s="47"/>
      <c r="Q101" s="47"/>
      <c r="R101" s="47"/>
      <c r="S101" s="47"/>
      <c r="T101" s="47"/>
      <c r="U101" s="49" t="str">
        <f ca="1">IF(COUNTIF(OFFSET($E101,0,1):OFFSET(U101,0,-1),"=*")&gt;0,IF($C101="К","-"," - "),IF(COUNTIF(OFFSET($E101,0,1):OFFSET(U101,0,-1),"&lt;4")&gt;0,IF(C101="К","-"," - "),(IFERROR(AVERAGE(OFFSET($E101,0,1):OFFSET(U101,0,-1)),"Очікую"))))</f>
        <v>Очікую</v>
      </c>
      <c r="V101" s="49" t="str">
        <f t="shared" ca="1" si="1"/>
        <v>Очікую</v>
      </c>
      <c r="W101" s="36"/>
      <c r="X101" s="42"/>
    </row>
    <row r="102" spans="1:24" s="12" customFormat="1" ht="15" customHeight="1" x14ac:dyDescent="0.25">
      <c r="A102" s="43"/>
      <c r="B102" s="34"/>
      <c r="C102" s="47"/>
      <c r="D102" s="47">
        <v>93</v>
      </c>
      <c r="E102" s="48"/>
      <c r="F102" s="47"/>
      <c r="G102" s="47"/>
      <c r="H102" s="47"/>
      <c r="I102" s="47"/>
      <c r="J102" s="47"/>
      <c r="K102" s="47"/>
      <c r="L102" s="47"/>
      <c r="M102" s="47"/>
      <c r="N102" s="47"/>
      <c r="O102" s="47"/>
      <c r="P102" s="47"/>
      <c r="Q102" s="47"/>
      <c r="R102" s="47"/>
      <c r="S102" s="47"/>
      <c r="T102" s="47"/>
      <c r="U102" s="49" t="str">
        <f ca="1">IF(COUNTIF(OFFSET($E102,0,1):OFFSET(U102,0,-1),"=*")&gt;0,IF($C102="К","-"," - "),IF(COUNTIF(OFFSET($E102,0,1):OFFSET(U102,0,-1),"&lt;4")&gt;0,IF(C102="К","-"," - "),(IFERROR(AVERAGE(OFFSET($E102,0,1):OFFSET(U102,0,-1)),"Очікую"))))</f>
        <v>Очікую</v>
      </c>
      <c r="V102" s="49" t="str">
        <f t="shared" ca="1" si="1"/>
        <v>Очікую</v>
      </c>
      <c r="W102" s="36"/>
      <c r="X102" s="42"/>
    </row>
    <row r="103" spans="1:24" s="12" customFormat="1" ht="15" customHeight="1" x14ac:dyDescent="0.25">
      <c r="A103" s="43"/>
      <c r="B103" s="34"/>
      <c r="C103" s="47"/>
      <c r="D103" s="47">
        <v>94</v>
      </c>
      <c r="E103" s="48"/>
      <c r="F103" s="47"/>
      <c r="G103" s="47"/>
      <c r="H103" s="47"/>
      <c r="I103" s="47"/>
      <c r="J103" s="47"/>
      <c r="K103" s="47"/>
      <c r="L103" s="47"/>
      <c r="M103" s="47"/>
      <c r="N103" s="47"/>
      <c r="O103" s="47"/>
      <c r="P103" s="47"/>
      <c r="Q103" s="47"/>
      <c r="R103" s="47"/>
      <c r="S103" s="47"/>
      <c r="T103" s="47"/>
      <c r="U103" s="49" t="str">
        <f ca="1">IF(COUNTIF(OFFSET($E103,0,1):OFFSET(U103,0,-1),"=*")&gt;0,IF($C103="К","-"," - "),IF(COUNTIF(OFFSET($E103,0,1):OFFSET(U103,0,-1),"&lt;4")&gt;0,IF(C103="К","-"," - "),(IFERROR(AVERAGE(OFFSET($E103,0,1):OFFSET(U103,0,-1)),"Очікую"))))</f>
        <v>Очікую</v>
      </c>
      <c r="V103" s="49" t="str">
        <f t="shared" ca="1" si="1"/>
        <v>Очікую</v>
      </c>
      <c r="W103" s="36"/>
      <c r="X103" s="42"/>
    </row>
    <row r="104" spans="1:24" s="12" customFormat="1" ht="15" customHeight="1" x14ac:dyDescent="0.25">
      <c r="A104" s="43"/>
      <c r="B104" s="34"/>
      <c r="C104" s="47"/>
      <c r="D104" s="47">
        <v>95</v>
      </c>
      <c r="E104" s="48"/>
      <c r="F104" s="47"/>
      <c r="G104" s="47"/>
      <c r="H104" s="47"/>
      <c r="I104" s="47"/>
      <c r="J104" s="47"/>
      <c r="K104" s="47"/>
      <c r="L104" s="47"/>
      <c r="M104" s="47"/>
      <c r="N104" s="47"/>
      <c r="O104" s="47"/>
      <c r="P104" s="47"/>
      <c r="Q104" s="47"/>
      <c r="R104" s="47"/>
      <c r="S104" s="47"/>
      <c r="T104" s="47"/>
      <c r="U104" s="49" t="str">
        <f ca="1">IF(COUNTIF(OFFSET($E104,0,1):OFFSET(U104,0,-1),"=*")&gt;0,IF($C104="К","-"," - "),IF(COUNTIF(OFFSET($E104,0,1):OFFSET(U104,0,-1),"&lt;4")&gt;0,IF(C104="К","-"," - "),(IFERROR(AVERAGE(OFFSET($E104,0,1):OFFSET(U104,0,-1)),"Очікую"))))</f>
        <v>Очікую</v>
      </c>
      <c r="V104" s="49" t="str">
        <f t="shared" ca="1" si="1"/>
        <v>Очікую</v>
      </c>
      <c r="W104" s="36"/>
      <c r="X104" s="42"/>
    </row>
    <row r="105" spans="1:24" s="12" customFormat="1" ht="15" customHeight="1" x14ac:dyDescent="0.25">
      <c r="A105" s="43"/>
      <c r="B105" s="34"/>
      <c r="C105" s="47"/>
      <c r="D105" s="47">
        <v>96</v>
      </c>
      <c r="E105" s="48"/>
      <c r="F105" s="47"/>
      <c r="G105" s="47"/>
      <c r="H105" s="47"/>
      <c r="I105" s="47"/>
      <c r="J105" s="47"/>
      <c r="K105" s="47"/>
      <c r="L105" s="47"/>
      <c r="M105" s="47"/>
      <c r="N105" s="47"/>
      <c r="O105" s="47"/>
      <c r="P105" s="47"/>
      <c r="Q105" s="47"/>
      <c r="R105" s="47"/>
      <c r="S105" s="47"/>
      <c r="T105" s="47"/>
      <c r="U105" s="49" t="str">
        <f ca="1">IF(COUNTIF(OFFSET($E105,0,1):OFFSET(U105,0,-1),"=*")&gt;0,IF($C105="К","-"," - "),IF(COUNTIF(OFFSET($E105,0,1):OFFSET(U105,0,-1),"&lt;4")&gt;0,IF(C105="К","-"," - "),(IFERROR(AVERAGE(OFFSET($E105,0,1):OFFSET(U105,0,-1)),"Очікую"))))</f>
        <v>Очікую</v>
      </c>
      <c r="V105" s="49" t="str">
        <f t="shared" ca="1" si="1"/>
        <v>Очікую</v>
      </c>
      <c r="W105" s="36"/>
      <c r="X105" s="42"/>
    </row>
    <row r="106" spans="1:24" s="12" customFormat="1" ht="15" customHeight="1" x14ac:dyDescent="0.25">
      <c r="A106" s="43"/>
      <c r="B106" s="34"/>
      <c r="C106" s="47"/>
      <c r="D106" s="47">
        <v>97</v>
      </c>
      <c r="E106" s="48"/>
      <c r="F106" s="47"/>
      <c r="G106" s="47"/>
      <c r="H106" s="47"/>
      <c r="I106" s="47"/>
      <c r="J106" s="47"/>
      <c r="K106" s="47"/>
      <c r="L106" s="47"/>
      <c r="M106" s="47"/>
      <c r="N106" s="47"/>
      <c r="O106" s="47"/>
      <c r="P106" s="47"/>
      <c r="Q106" s="47"/>
      <c r="R106" s="47"/>
      <c r="S106" s="47"/>
      <c r="T106" s="47"/>
      <c r="U106" s="49" t="str">
        <f ca="1">IF(COUNTIF(OFFSET($E106,0,1):OFFSET(U106,0,-1),"=*")&gt;0,IF($C106="К","-"," - "),IF(COUNTIF(OFFSET($E106,0,1):OFFSET(U106,0,-1),"&lt;4")&gt;0,IF(C106="К","-"," - "),(IFERROR(AVERAGE(OFFSET($E106,0,1):OFFSET(U106,0,-1)),"Очікую"))))</f>
        <v>Очікую</v>
      </c>
      <c r="V106" s="49" t="str">
        <f t="shared" ca="1" si="1"/>
        <v>Очікую</v>
      </c>
      <c r="W106" s="36"/>
      <c r="X106" s="42"/>
    </row>
    <row r="107" spans="1:24" s="12" customFormat="1" ht="15" customHeight="1" x14ac:dyDescent="0.25">
      <c r="A107" s="43"/>
      <c r="B107" s="34"/>
      <c r="C107" s="47"/>
      <c r="D107" s="47">
        <v>98</v>
      </c>
      <c r="E107" s="48"/>
      <c r="F107" s="47"/>
      <c r="G107" s="47"/>
      <c r="H107" s="47"/>
      <c r="I107" s="47"/>
      <c r="J107" s="47"/>
      <c r="K107" s="47"/>
      <c r="L107" s="47"/>
      <c r="M107" s="47"/>
      <c r="N107" s="47"/>
      <c r="O107" s="47"/>
      <c r="P107" s="47"/>
      <c r="Q107" s="47"/>
      <c r="R107" s="47"/>
      <c r="S107" s="47"/>
      <c r="T107" s="47"/>
      <c r="U107" s="49" t="str">
        <f ca="1">IF(COUNTIF(OFFSET($E107,0,1):OFFSET(U107,0,-1),"=*")&gt;0,IF($C107="К","-"," - "),IF(COUNTIF(OFFSET($E107,0,1):OFFSET(U107,0,-1),"&lt;4")&gt;0,IF(C107="К","-"," - "),(IFERROR(AVERAGE(OFFSET($E107,0,1):OFFSET(U107,0,-1)),"Очікую"))))</f>
        <v>Очікую</v>
      </c>
      <c r="V107" s="49" t="str">
        <f t="shared" ca="1" si="1"/>
        <v>Очікую</v>
      </c>
      <c r="W107" s="36"/>
      <c r="X107" s="42"/>
    </row>
    <row r="108" spans="1:24" s="12" customFormat="1" ht="15" customHeight="1" x14ac:dyDescent="0.25">
      <c r="A108" s="43"/>
      <c r="B108" s="34"/>
      <c r="C108" s="47"/>
      <c r="D108" s="47">
        <v>99</v>
      </c>
      <c r="E108" s="48"/>
      <c r="F108" s="47"/>
      <c r="G108" s="47"/>
      <c r="H108" s="47"/>
      <c r="I108" s="47"/>
      <c r="J108" s="47"/>
      <c r="K108" s="47"/>
      <c r="L108" s="47"/>
      <c r="M108" s="47"/>
      <c r="N108" s="47"/>
      <c r="O108" s="47"/>
      <c r="P108" s="47"/>
      <c r="Q108" s="47"/>
      <c r="R108" s="47"/>
      <c r="S108" s="47"/>
      <c r="T108" s="47"/>
      <c r="U108" s="49" t="str">
        <f ca="1">IF(COUNTIF(OFFSET($E108,0,1):OFFSET(U108,0,-1),"=*")&gt;0,IF($C108="К","-"," - "),IF(COUNTIF(OFFSET($E108,0,1):OFFSET(U108,0,-1),"&lt;4")&gt;0,IF(C108="К","-"," - "),(IFERROR(AVERAGE(OFFSET($E108,0,1):OFFSET(U108,0,-1)),"Очікую"))))</f>
        <v>Очікую</v>
      </c>
      <c r="V108" s="49" t="str">
        <f t="shared" ca="1" si="1"/>
        <v>Очікую</v>
      </c>
      <c r="W108" s="36"/>
      <c r="X108" s="42"/>
    </row>
    <row r="109" spans="1:24" s="12" customFormat="1" ht="15" customHeight="1" x14ac:dyDescent="0.25">
      <c r="A109" s="43"/>
      <c r="B109" s="34"/>
      <c r="C109" s="47"/>
      <c r="D109" s="47">
        <v>100</v>
      </c>
      <c r="E109" s="48"/>
      <c r="F109" s="47"/>
      <c r="G109" s="47"/>
      <c r="H109" s="47"/>
      <c r="I109" s="47"/>
      <c r="J109" s="47"/>
      <c r="K109" s="47"/>
      <c r="L109" s="47"/>
      <c r="M109" s="47"/>
      <c r="N109" s="47"/>
      <c r="O109" s="47"/>
      <c r="P109" s="47"/>
      <c r="Q109" s="47"/>
      <c r="R109" s="47"/>
      <c r="S109" s="47"/>
      <c r="T109" s="47"/>
      <c r="U109" s="49" t="str">
        <f ca="1">IF(COUNTIF(OFFSET($E109,0,1):OFFSET(U109,0,-1),"=*")&gt;0,IF($C109="К","-"," - "),IF(COUNTIF(OFFSET($E109,0,1):OFFSET(U109,0,-1),"&lt;4")&gt;0,IF(C109="К","-"," - "),(IFERROR(AVERAGE(OFFSET($E109,0,1):OFFSET(U109,0,-1)),"Очікую"))))</f>
        <v>Очікую</v>
      </c>
      <c r="V109" s="49" t="str">
        <f t="shared" ca="1" si="1"/>
        <v>Очікую</v>
      </c>
      <c r="W109" s="36"/>
      <c r="X109" s="42"/>
    </row>
    <row r="110" spans="1:24" ht="15" customHeight="1" x14ac:dyDescent="0.25">
      <c r="A110" s="43"/>
      <c r="B110" s="34"/>
      <c r="C110" s="27"/>
      <c r="D110" s="27"/>
      <c r="E110" s="28" t="s">
        <v>9</v>
      </c>
      <c r="F110" s="5" t="str">
        <f ca="1">З5!F115</f>
        <v>Очікую</v>
      </c>
      <c r="G110" s="27"/>
      <c r="H110" s="29"/>
      <c r="I110" s="27"/>
      <c r="J110" s="27"/>
      <c r="K110" s="27"/>
      <c r="L110" s="27"/>
      <c r="M110" s="27"/>
      <c r="N110" s="27"/>
      <c r="O110" s="27"/>
      <c r="P110" s="30"/>
      <c r="Q110" s="29"/>
      <c r="R110" s="27"/>
      <c r="S110" s="27"/>
      <c r="T110" s="27"/>
      <c r="U110" s="27"/>
      <c r="V110" s="27"/>
      <c r="W110" s="35"/>
      <c r="X110" s="42"/>
    </row>
    <row r="111" spans="1:24" ht="15" customHeight="1" x14ac:dyDescent="0.25">
      <c r="A111" s="43"/>
      <c r="B111" s="34"/>
      <c r="C111" s="27"/>
      <c r="D111" s="27"/>
      <c r="E111" s="28" t="s">
        <v>10</v>
      </c>
      <c r="F111" s="5" t="str">
        <f ca="1">З5!F116</f>
        <v>Очікую</v>
      </c>
      <c r="G111" s="27"/>
      <c r="H111" s="78" t="s">
        <v>11</v>
      </c>
      <c r="I111" s="78"/>
      <c r="J111" s="78"/>
      <c r="K111" s="78"/>
      <c r="L111" s="78"/>
      <c r="M111" s="7"/>
      <c r="N111" s="7"/>
      <c r="O111" s="7"/>
      <c r="P111" s="79" t="s">
        <v>81</v>
      </c>
      <c r="Q111" s="79"/>
      <c r="R111" s="79"/>
      <c r="S111" s="79"/>
      <c r="T111" s="79"/>
      <c r="U111" s="79"/>
      <c r="V111" s="27"/>
      <c r="W111" s="35"/>
      <c r="X111" s="42"/>
    </row>
    <row r="112" spans="1:24" ht="15" customHeight="1" x14ac:dyDescent="0.25">
      <c r="A112" s="43"/>
      <c r="B112" s="34"/>
      <c r="C112" s="27"/>
      <c r="D112" s="27"/>
      <c r="E112" s="28" t="s">
        <v>12</v>
      </c>
      <c r="F112" s="5">
        <f>З5!F117</f>
        <v>0</v>
      </c>
      <c r="G112" s="27"/>
      <c r="H112" s="11"/>
      <c r="I112" s="7"/>
      <c r="J112" s="7"/>
      <c r="K112" s="7"/>
      <c r="L112" s="7"/>
      <c r="M112" s="7"/>
      <c r="N112" s="7"/>
      <c r="O112" s="7"/>
      <c r="P112" s="11"/>
      <c r="Q112" s="11"/>
      <c r="R112" s="7"/>
      <c r="S112" s="7"/>
      <c r="T112" s="7"/>
      <c r="U112" s="7"/>
      <c r="V112" s="27"/>
      <c r="W112" s="35"/>
      <c r="X112" s="42"/>
    </row>
    <row r="113" spans="1:24" ht="15" customHeight="1" x14ac:dyDescent="0.25">
      <c r="A113" s="43"/>
      <c r="B113" s="34"/>
      <c r="C113" s="27"/>
      <c r="D113" s="27"/>
      <c r="E113" s="28" t="s">
        <v>13</v>
      </c>
      <c r="F113" s="5" t="str">
        <f ca="1">З5!F118</f>
        <v>Очікую</v>
      </c>
      <c r="G113" s="27"/>
      <c r="H113" s="79" t="s">
        <v>14</v>
      </c>
      <c r="I113" s="79"/>
      <c r="J113" s="79"/>
      <c r="K113" s="79"/>
      <c r="L113" s="79"/>
      <c r="M113" s="7"/>
      <c r="N113" s="7"/>
      <c r="O113" s="7"/>
      <c r="P113" s="79" t="s">
        <v>15</v>
      </c>
      <c r="Q113" s="79"/>
      <c r="R113" s="79"/>
      <c r="S113" s="79"/>
      <c r="T113" s="79"/>
      <c r="U113" s="79"/>
      <c r="V113" s="27"/>
      <c r="W113" s="35"/>
      <c r="X113" s="42"/>
    </row>
    <row r="114" spans="1:24" ht="12" customHeight="1" thickBot="1" x14ac:dyDescent="0.3">
      <c r="A114" s="43"/>
      <c r="B114" s="37"/>
      <c r="C114" s="38"/>
      <c r="D114" s="38"/>
      <c r="E114" s="38"/>
      <c r="F114" s="38"/>
      <c r="G114" s="38"/>
      <c r="H114" s="38"/>
      <c r="I114" s="38"/>
      <c r="J114" s="38"/>
      <c r="K114" s="38"/>
      <c r="L114" s="38"/>
      <c r="M114" s="38"/>
      <c r="N114" s="38"/>
      <c r="O114" s="38"/>
      <c r="P114" s="38"/>
      <c r="Q114" s="38"/>
      <c r="R114" s="38"/>
      <c r="S114" s="38"/>
      <c r="T114" s="38"/>
      <c r="U114" s="38"/>
      <c r="V114" s="38"/>
      <c r="W114" s="39"/>
      <c r="X114" s="42"/>
    </row>
    <row r="115" spans="1:24" ht="12" customHeight="1" x14ac:dyDescent="0.25">
      <c r="A115" s="41"/>
      <c r="B115" s="17"/>
      <c r="C115" s="17"/>
      <c r="D115" s="17"/>
      <c r="E115" s="17"/>
      <c r="F115" s="17"/>
      <c r="G115" s="17"/>
      <c r="H115" s="17"/>
      <c r="I115" s="17"/>
      <c r="J115" s="17"/>
      <c r="K115" s="17"/>
      <c r="L115" s="17"/>
      <c r="M115" s="17"/>
      <c r="N115" s="17"/>
      <c r="O115" s="17"/>
      <c r="P115" s="17"/>
      <c r="Q115" s="17"/>
      <c r="R115" s="17"/>
      <c r="S115" s="17"/>
      <c r="T115" s="17"/>
      <c r="U115" s="17"/>
      <c r="V115" s="17"/>
      <c r="W115" s="17"/>
      <c r="X115" s="42"/>
    </row>
    <row r="116" spans="1:24" ht="0" hidden="1" customHeight="1" x14ac:dyDescent="0.25">
      <c r="A116" s="44"/>
      <c r="X116" s="44"/>
    </row>
    <row r="117" spans="1:24" ht="0" hidden="1" customHeight="1" x14ac:dyDescent="0.25">
      <c r="A117" s="44"/>
      <c r="X117" s="44"/>
    </row>
    <row r="118" spans="1:24" ht="0" hidden="1" customHeight="1" x14ac:dyDescent="0.25">
      <c r="A118" s="44"/>
      <c r="X118" s="44"/>
    </row>
    <row r="119" spans="1:24" ht="0" hidden="1" customHeight="1" x14ac:dyDescent="0.25">
      <c r="A119" s="44"/>
      <c r="X119" s="44"/>
    </row>
    <row r="120" spans="1:24" ht="0" hidden="1"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row>
  </sheetData>
  <sheetProtection insertRows="0" deleteRows="0"/>
  <mergeCells count="13">
    <mergeCell ref="H111:L111"/>
    <mergeCell ref="P111:U111"/>
    <mergeCell ref="H113:L113"/>
    <mergeCell ref="P113:U113"/>
    <mergeCell ref="C8:C9"/>
    <mergeCell ref="D8:D9"/>
    <mergeCell ref="E8:E9"/>
    <mergeCell ref="F8:V8"/>
    <mergeCell ref="C3:V3"/>
    <mergeCell ref="C4:V4"/>
    <mergeCell ref="C5:V5"/>
    <mergeCell ref="C6:V6"/>
    <mergeCell ref="C7:V7"/>
  </mergeCells>
  <printOptions horizontalCentered="1"/>
  <pageMargins left="0.19685039370078741" right="0.19685039370078741" top="0.19685039370078741" bottom="0.19685039370078741" header="0" footer="0"/>
  <pageSetup paperSize="9" scale="3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26B0A"/>
    <pageSetUpPr fitToPage="1"/>
  </sheetPr>
  <dimension ref="A1:BI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2" width="11.28515625" style="1" customWidth="1"/>
    <col min="23" max="24" width="2.7109375" style="1" customWidth="1"/>
    <col min="25" max="30" width="14.42578125" style="1" hidden="1" customWidth="1"/>
    <col min="31" max="31" width="14.85546875" style="1" hidden="1" customWidth="1"/>
    <col min="32" max="45" width="3.7109375" style="1" hidden="1" customWidth="1"/>
    <col min="46" max="61" width="5.7109375" style="1" hidden="1" customWidth="1"/>
    <col min="62" max="16384" width="14.42578125" style="1" hidden="1"/>
  </cols>
  <sheetData>
    <row r="1" spans="1:24"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c r="X1" s="41"/>
    </row>
    <row r="2" spans="1:24" ht="12" customHeight="1" x14ac:dyDescent="0.25">
      <c r="A2" s="43"/>
      <c r="B2" s="31"/>
      <c r="C2" s="32"/>
      <c r="D2" s="32"/>
      <c r="E2" s="32"/>
      <c r="F2" s="32"/>
      <c r="G2" s="32"/>
      <c r="H2" s="32"/>
      <c r="I2" s="32"/>
      <c r="J2" s="32"/>
      <c r="K2" s="32"/>
      <c r="L2" s="32"/>
      <c r="M2" s="32"/>
      <c r="N2" s="32"/>
      <c r="O2" s="32"/>
      <c r="P2" s="32"/>
      <c r="Q2" s="32"/>
      <c r="R2" s="32"/>
      <c r="S2" s="32"/>
      <c r="T2" s="32"/>
      <c r="U2" s="32"/>
      <c r="V2" s="32"/>
      <c r="W2" s="33"/>
      <c r="X2" s="42"/>
    </row>
    <row r="3" spans="1:24" s="2" customFormat="1" ht="54.95" customHeight="1" x14ac:dyDescent="0.3">
      <c r="A3" s="43"/>
      <c r="B3" s="34"/>
      <c r="C3" s="74" t="s">
        <v>19</v>
      </c>
      <c r="D3" s="74"/>
      <c r="E3" s="74"/>
      <c r="F3" s="74"/>
      <c r="G3" s="74"/>
      <c r="H3" s="74"/>
      <c r="I3" s="74"/>
      <c r="J3" s="74"/>
      <c r="K3" s="74"/>
      <c r="L3" s="74"/>
      <c r="M3" s="74"/>
      <c r="N3" s="74"/>
      <c r="O3" s="74"/>
      <c r="P3" s="74"/>
      <c r="Q3" s="74"/>
      <c r="R3" s="74"/>
      <c r="S3" s="74"/>
      <c r="T3" s="74"/>
      <c r="U3" s="74"/>
      <c r="V3" s="74"/>
      <c r="W3" s="35"/>
      <c r="X3" s="42"/>
    </row>
    <row r="4" spans="1:24" s="3" customFormat="1" ht="15" customHeight="1" x14ac:dyDescent="0.25">
      <c r="A4" s="43"/>
      <c r="B4" s="34"/>
      <c r="C4" s="75" t="s">
        <v>38</v>
      </c>
      <c r="D4" s="75"/>
      <c r="E4" s="75"/>
      <c r="F4" s="75"/>
      <c r="G4" s="75"/>
      <c r="H4" s="75"/>
      <c r="I4" s="75"/>
      <c r="J4" s="75"/>
      <c r="K4" s="75"/>
      <c r="L4" s="75"/>
      <c r="M4" s="75"/>
      <c r="N4" s="75"/>
      <c r="O4" s="75"/>
      <c r="P4" s="75"/>
      <c r="Q4" s="75"/>
      <c r="R4" s="75"/>
      <c r="S4" s="75"/>
      <c r="T4" s="75"/>
      <c r="U4" s="75"/>
      <c r="V4" s="75"/>
      <c r="W4" s="35"/>
      <c r="X4" s="42"/>
    </row>
    <row r="5" spans="1:24" s="2" customFormat="1" ht="15" customHeight="1" x14ac:dyDescent="0.25">
      <c r="A5" s="43"/>
      <c r="B5" s="34"/>
      <c r="C5" s="76" t="s">
        <v>35</v>
      </c>
      <c r="D5" s="76"/>
      <c r="E5" s="76"/>
      <c r="F5" s="76"/>
      <c r="G5" s="76"/>
      <c r="H5" s="76"/>
      <c r="I5" s="76"/>
      <c r="J5" s="76"/>
      <c r="K5" s="76"/>
      <c r="L5" s="76"/>
      <c r="M5" s="76"/>
      <c r="N5" s="76"/>
      <c r="O5" s="76"/>
      <c r="P5" s="76"/>
      <c r="Q5" s="76"/>
      <c r="R5" s="76"/>
      <c r="S5" s="76"/>
      <c r="T5" s="76"/>
      <c r="U5" s="76"/>
      <c r="V5" s="76"/>
      <c r="W5" s="35"/>
      <c r="X5" s="42"/>
    </row>
    <row r="6" spans="1:24" s="2" customFormat="1" ht="15" customHeight="1" x14ac:dyDescent="0.25">
      <c r="A6" s="43"/>
      <c r="B6" s="34"/>
      <c r="C6" s="76" t="s">
        <v>37</v>
      </c>
      <c r="D6" s="76"/>
      <c r="E6" s="76"/>
      <c r="F6" s="76"/>
      <c r="G6" s="76"/>
      <c r="H6" s="76"/>
      <c r="I6" s="76"/>
      <c r="J6" s="76"/>
      <c r="K6" s="76"/>
      <c r="L6" s="76"/>
      <c r="M6" s="76"/>
      <c r="N6" s="76"/>
      <c r="O6" s="76"/>
      <c r="P6" s="76"/>
      <c r="Q6" s="76"/>
      <c r="R6" s="76"/>
      <c r="S6" s="76"/>
      <c r="T6" s="76"/>
      <c r="U6" s="76"/>
      <c r="V6" s="76"/>
      <c r="W6" s="35"/>
      <c r="X6" s="42"/>
    </row>
    <row r="7" spans="1:24" s="2" customFormat="1" ht="15" customHeight="1" x14ac:dyDescent="0.25">
      <c r="A7" s="43"/>
      <c r="B7" s="34"/>
      <c r="C7" s="77" t="s">
        <v>36</v>
      </c>
      <c r="D7" s="77"/>
      <c r="E7" s="77"/>
      <c r="F7" s="77"/>
      <c r="G7" s="77"/>
      <c r="H7" s="77"/>
      <c r="I7" s="77"/>
      <c r="J7" s="77"/>
      <c r="K7" s="77"/>
      <c r="L7" s="77"/>
      <c r="M7" s="77"/>
      <c r="N7" s="77"/>
      <c r="O7" s="77"/>
      <c r="P7" s="77"/>
      <c r="Q7" s="77"/>
      <c r="R7" s="77"/>
      <c r="S7" s="77"/>
      <c r="T7" s="77"/>
      <c r="U7" s="77"/>
      <c r="V7" s="77"/>
      <c r="W7" s="35"/>
      <c r="X7" s="42"/>
    </row>
    <row r="8" spans="1:24" ht="15" customHeight="1" x14ac:dyDescent="0.25">
      <c r="A8" s="43"/>
      <c r="B8" s="34"/>
      <c r="C8" s="80" t="s">
        <v>0</v>
      </c>
      <c r="D8" s="82" t="s">
        <v>1</v>
      </c>
      <c r="E8" s="82" t="s">
        <v>2</v>
      </c>
      <c r="F8" s="81" t="s">
        <v>17</v>
      </c>
      <c r="G8" s="81"/>
      <c r="H8" s="81"/>
      <c r="I8" s="81"/>
      <c r="J8" s="81"/>
      <c r="K8" s="81"/>
      <c r="L8" s="81"/>
      <c r="M8" s="81"/>
      <c r="N8" s="81"/>
      <c r="O8" s="81"/>
      <c r="P8" s="81"/>
      <c r="Q8" s="81"/>
      <c r="R8" s="81"/>
      <c r="S8" s="81"/>
      <c r="T8" s="81"/>
      <c r="U8" s="81"/>
      <c r="V8" s="81"/>
      <c r="W8" s="35"/>
      <c r="X8" s="42"/>
    </row>
    <row r="9" spans="1:24" ht="125.1" customHeight="1" x14ac:dyDescent="0.25">
      <c r="A9" s="43"/>
      <c r="B9" s="34"/>
      <c r="C9" s="81"/>
      <c r="D9" s="81"/>
      <c r="E9" s="81"/>
      <c r="F9" s="25" t="s">
        <v>20</v>
      </c>
      <c r="G9" s="25" t="s">
        <v>21</v>
      </c>
      <c r="H9" s="25" t="s">
        <v>22</v>
      </c>
      <c r="I9" s="25" t="s">
        <v>23</v>
      </c>
      <c r="J9" s="25" t="s">
        <v>24</v>
      </c>
      <c r="K9" s="25" t="s">
        <v>25</v>
      </c>
      <c r="L9" s="25" t="s">
        <v>26</v>
      </c>
      <c r="M9" s="25" t="s">
        <v>27</v>
      </c>
      <c r="N9" s="25" t="s">
        <v>28</v>
      </c>
      <c r="O9" s="25" t="s">
        <v>29</v>
      </c>
      <c r="P9" s="25" t="s">
        <v>30</v>
      </c>
      <c r="Q9" s="25" t="s">
        <v>31</v>
      </c>
      <c r="R9" s="25" t="s">
        <v>32</v>
      </c>
      <c r="S9" s="25" t="s">
        <v>33</v>
      </c>
      <c r="T9" s="25" t="s">
        <v>34</v>
      </c>
      <c r="U9" s="26" t="s">
        <v>3</v>
      </c>
      <c r="V9" s="26" t="s">
        <v>39</v>
      </c>
      <c r="W9" s="35"/>
      <c r="X9" s="42"/>
    </row>
    <row r="10" spans="1:24" s="12" customFormat="1" ht="15" customHeight="1" x14ac:dyDescent="0.25">
      <c r="A10" s="43"/>
      <c r="B10" s="34"/>
      <c r="C10" s="47"/>
      <c r="D10" s="47">
        <v>1</v>
      </c>
      <c r="E10" s="48"/>
      <c r="F10" s="47"/>
      <c r="G10" s="47"/>
      <c r="H10" s="47"/>
      <c r="I10" s="47"/>
      <c r="J10" s="47"/>
      <c r="K10" s="47"/>
      <c r="L10" s="47"/>
      <c r="M10" s="47"/>
      <c r="N10" s="47"/>
      <c r="O10" s="47"/>
      <c r="P10" s="47"/>
      <c r="Q10" s="47"/>
      <c r="R10" s="47"/>
      <c r="S10" s="47"/>
      <c r="T10" s="47"/>
      <c r="U10" s="49" t="str">
        <f ca="1">IF(COUNTIF(OFFSET($E10,0,1):OFFSET(U10,0,-1),"=*")&gt;0,IF($C10="К","-"," - "),IF(COUNTIF(OFFSET($E10,0,1):OFFSET(U10,0,-1),"&lt;4")&gt;0,IF(C10="К","-"," - "),(IFERROR(AVERAGE(OFFSET($E10,0,1):OFFSET(U10,0,-1)),"Очікую"))))</f>
        <v>Очікую</v>
      </c>
      <c r="V10" s="49" t="str">
        <f ca="1">IFERROR(U10/12*90,"Очікую")</f>
        <v>Очікую</v>
      </c>
      <c r="W10" s="36"/>
      <c r="X10" s="42"/>
    </row>
    <row r="11" spans="1:24" s="12" customFormat="1" ht="15" customHeight="1" x14ac:dyDescent="0.25">
      <c r="A11" s="43"/>
      <c r="B11" s="34"/>
      <c r="C11" s="47"/>
      <c r="D11" s="47">
        <v>2</v>
      </c>
      <c r="E11" s="48"/>
      <c r="F11" s="47"/>
      <c r="G11" s="47"/>
      <c r="H11" s="47"/>
      <c r="I11" s="47"/>
      <c r="J11" s="47"/>
      <c r="K11" s="47"/>
      <c r="L11" s="47"/>
      <c r="M11" s="47"/>
      <c r="N11" s="47"/>
      <c r="O11" s="47"/>
      <c r="P11" s="47"/>
      <c r="Q11" s="47"/>
      <c r="R11" s="47"/>
      <c r="S11" s="47"/>
      <c r="T11" s="47"/>
      <c r="U11" s="49" t="str">
        <f ca="1">IF(COUNTIF(OFFSET($E11,0,1):OFFSET(U11,0,-1),"=*")&gt;0,IF($C11="К","-"," - "),IF(COUNTIF(OFFSET($E11,0,1):OFFSET(U11,0,-1),"&lt;4")&gt;0,IF(C11="К","-"," - "),(IFERROR(AVERAGE(OFFSET($E11,0,1):OFFSET(U11,0,-1)),"Очікую"))))</f>
        <v>Очікую</v>
      </c>
      <c r="V11" s="49" t="str">
        <f t="shared" ref="V11:V74" ca="1" si="0">IFERROR(U11/12*90,"Очікую")</f>
        <v>Очікую</v>
      </c>
      <c r="W11" s="36"/>
      <c r="X11" s="42"/>
    </row>
    <row r="12" spans="1:24" s="12" customFormat="1" ht="15" customHeight="1" x14ac:dyDescent="0.25">
      <c r="A12" s="43"/>
      <c r="B12" s="34"/>
      <c r="C12" s="47"/>
      <c r="D12" s="47">
        <v>3</v>
      </c>
      <c r="E12" s="48"/>
      <c r="F12" s="47"/>
      <c r="G12" s="47"/>
      <c r="H12" s="47"/>
      <c r="I12" s="47"/>
      <c r="J12" s="47"/>
      <c r="K12" s="47"/>
      <c r="L12" s="47"/>
      <c r="M12" s="47"/>
      <c r="N12" s="47"/>
      <c r="O12" s="47"/>
      <c r="P12" s="47"/>
      <c r="Q12" s="47"/>
      <c r="R12" s="47"/>
      <c r="S12" s="47"/>
      <c r="T12" s="47"/>
      <c r="U12" s="49" t="str">
        <f ca="1">IF(COUNTIF(OFFSET($E12,0,1):OFFSET(U12,0,-1),"=*")&gt;0,IF($C12="К","-"," - "),IF(COUNTIF(OFFSET($E12,0,1):OFFSET(U12,0,-1),"&lt;4")&gt;0,IF(C12="К","-"," - "),(IFERROR(AVERAGE(OFFSET($E12,0,1):OFFSET(U12,0,-1)),"Очікую"))))</f>
        <v>Очікую</v>
      </c>
      <c r="V12" s="49" t="str">
        <f t="shared" ca="1" si="0"/>
        <v>Очікую</v>
      </c>
      <c r="W12" s="36"/>
      <c r="X12" s="42"/>
    </row>
    <row r="13" spans="1:24" s="12" customFormat="1" ht="15" customHeight="1" x14ac:dyDescent="0.25">
      <c r="A13" s="43"/>
      <c r="B13" s="34"/>
      <c r="C13" s="47"/>
      <c r="D13" s="47">
        <v>4</v>
      </c>
      <c r="E13" s="48"/>
      <c r="F13" s="47"/>
      <c r="G13" s="47"/>
      <c r="H13" s="47"/>
      <c r="I13" s="47"/>
      <c r="J13" s="47"/>
      <c r="K13" s="47"/>
      <c r="L13" s="47"/>
      <c r="M13" s="47"/>
      <c r="N13" s="47"/>
      <c r="O13" s="47"/>
      <c r="P13" s="47"/>
      <c r="Q13" s="47"/>
      <c r="R13" s="47"/>
      <c r="S13" s="47"/>
      <c r="T13" s="47"/>
      <c r="U13" s="49" t="str">
        <f ca="1">IF(COUNTIF(OFFSET($E13,0,1):OFFSET(U13,0,-1),"=*")&gt;0,IF($C13="К","-"," - "),IF(COUNTIF(OFFSET($E13,0,1):OFFSET(U13,0,-1),"&lt;4")&gt;0,IF(C13="К","-"," - "),(IFERROR(AVERAGE(OFFSET($E13,0,1):OFFSET(U13,0,-1)),"Очікую"))))</f>
        <v>Очікую</v>
      </c>
      <c r="V13" s="49" t="str">
        <f t="shared" ca="1" si="0"/>
        <v>Очікую</v>
      </c>
      <c r="W13" s="36"/>
      <c r="X13" s="42"/>
    </row>
    <row r="14" spans="1:24" s="12" customFormat="1" ht="15" customHeight="1" x14ac:dyDescent="0.25">
      <c r="A14" s="43"/>
      <c r="B14" s="34"/>
      <c r="C14" s="47"/>
      <c r="D14" s="47">
        <v>5</v>
      </c>
      <c r="E14" s="48"/>
      <c r="F14" s="47"/>
      <c r="G14" s="47"/>
      <c r="H14" s="47"/>
      <c r="I14" s="47"/>
      <c r="J14" s="47"/>
      <c r="K14" s="47"/>
      <c r="L14" s="47"/>
      <c r="M14" s="47"/>
      <c r="N14" s="47"/>
      <c r="O14" s="47"/>
      <c r="P14" s="47"/>
      <c r="Q14" s="47"/>
      <c r="R14" s="47"/>
      <c r="S14" s="47"/>
      <c r="T14" s="47"/>
      <c r="U14" s="49" t="str">
        <f ca="1">IF(COUNTIF(OFFSET($E14,0,1):OFFSET(U14,0,-1),"=*")&gt;0,IF($C14="К","-"," - "),IF(COUNTIF(OFFSET($E14,0,1):OFFSET(U14,0,-1),"&lt;4")&gt;0,IF(C14="К","-"," - "),(IFERROR(AVERAGE(OFFSET($E14,0,1):OFFSET(U14,0,-1)),"Очікую"))))</f>
        <v>Очікую</v>
      </c>
      <c r="V14" s="49" t="str">
        <f t="shared" ca="1" si="0"/>
        <v>Очікую</v>
      </c>
      <c r="W14" s="36"/>
      <c r="X14" s="42"/>
    </row>
    <row r="15" spans="1:24" s="12" customFormat="1" ht="15" customHeight="1" x14ac:dyDescent="0.25">
      <c r="A15" s="43"/>
      <c r="B15" s="34"/>
      <c r="C15" s="47"/>
      <c r="D15" s="47">
        <v>6</v>
      </c>
      <c r="E15" s="48"/>
      <c r="F15" s="47"/>
      <c r="G15" s="47"/>
      <c r="H15" s="47"/>
      <c r="I15" s="47"/>
      <c r="J15" s="47"/>
      <c r="K15" s="47"/>
      <c r="L15" s="47"/>
      <c r="M15" s="47"/>
      <c r="N15" s="47"/>
      <c r="O15" s="47"/>
      <c r="P15" s="47"/>
      <c r="Q15" s="47"/>
      <c r="R15" s="47"/>
      <c r="S15" s="47"/>
      <c r="T15" s="47"/>
      <c r="U15" s="49" t="str">
        <f ca="1">IF(COUNTIF(OFFSET($E15,0,1):OFFSET(U15,0,-1),"=*")&gt;0,IF($C15="К","-"," - "),IF(COUNTIF(OFFSET($E15,0,1):OFFSET(U15,0,-1),"&lt;4")&gt;0,IF(C15="К","-"," - "),(IFERROR(AVERAGE(OFFSET($E15,0,1):OFFSET(U15,0,-1)),"Очікую"))))</f>
        <v>Очікую</v>
      </c>
      <c r="V15" s="49" t="str">
        <f t="shared" ca="1" si="0"/>
        <v>Очікую</v>
      </c>
      <c r="W15" s="36"/>
      <c r="X15" s="42"/>
    </row>
    <row r="16" spans="1:24" s="12" customFormat="1" ht="15" customHeight="1" x14ac:dyDescent="0.25">
      <c r="A16" s="43"/>
      <c r="B16" s="34"/>
      <c r="C16" s="47"/>
      <c r="D16" s="47">
        <v>7</v>
      </c>
      <c r="E16" s="48"/>
      <c r="F16" s="47"/>
      <c r="G16" s="47"/>
      <c r="H16" s="47"/>
      <c r="I16" s="47"/>
      <c r="J16" s="47"/>
      <c r="K16" s="47"/>
      <c r="L16" s="47"/>
      <c r="M16" s="47"/>
      <c r="N16" s="47"/>
      <c r="O16" s="47"/>
      <c r="P16" s="47"/>
      <c r="Q16" s="47"/>
      <c r="R16" s="47"/>
      <c r="S16" s="47"/>
      <c r="T16" s="47"/>
      <c r="U16" s="49" t="str">
        <f ca="1">IF(COUNTIF(OFFSET($E16,0,1):OFFSET(U16,0,-1),"=*")&gt;0,IF($C16="К","-"," - "),IF(COUNTIF(OFFSET($E16,0,1):OFFSET(U16,0,-1),"&lt;4")&gt;0,IF(C16="К","-"," - "),(IFERROR(AVERAGE(OFFSET($E16,0,1):OFFSET(U16,0,-1)),"Очікую"))))</f>
        <v>Очікую</v>
      </c>
      <c r="V16" s="49" t="str">
        <f t="shared" ca="1" si="0"/>
        <v>Очікую</v>
      </c>
      <c r="W16" s="36"/>
      <c r="X16" s="42"/>
    </row>
    <row r="17" spans="1:24" s="12" customFormat="1" ht="15" customHeight="1" x14ac:dyDescent="0.25">
      <c r="A17" s="43"/>
      <c r="B17" s="34"/>
      <c r="C17" s="47"/>
      <c r="D17" s="47">
        <v>8</v>
      </c>
      <c r="E17" s="48"/>
      <c r="F17" s="47"/>
      <c r="G17" s="47"/>
      <c r="H17" s="47"/>
      <c r="I17" s="47"/>
      <c r="J17" s="47"/>
      <c r="K17" s="47"/>
      <c r="L17" s="47"/>
      <c r="M17" s="47"/>
      <c r="N17" s="47"/>
      <c r="O17" s="47"/>
      <c r="P17" s="47"/>
      <c r="Q17" s="47"/>
      <c r="R17" s="47"/>
      <c r="S17" s="47"/>
      <c r="T17" s="47"/>
      <c r="U17" s="49" t="str">
        <f ca="1">IF(COUNTIF(OFFSET($E17,0,1):OFFSET(U17,0,-1),"=*")&gt;0,IF($C17="К","-"," - "),IF(COUNTIF(OFFSET($E17,0,1):OFFSET(U17,0,-1),"&lt;4")&gt;0,IF(C17="К","-"," - "),(IFERROR(AVERAGE(OFFSET($E17,0,1):OFFSET(U17,0,-1)),"Очікую"))))</f>
        <v>Очікую</v>
      </c>
      <c r="V17" s="49" t="str">
        <f t="shared" ca="1" si="0"/>
        <v>Очікую</v>
      </c>
      <c r="W17" s="36"/>
      <c r="X17" s="42"/>
    </row>
    <row r="18" spans="1:24" s="12" customFormat="1" ht="15" customHeight="1" x14ac:dyDescent="0.25">
      <c r="A18" s="43"/>
      <c r="B18" s="34"/>
      <c r="C18" s="47"/>
      <c r="D18" s="47">
        <v>9</v>
      </c>
      <c r="E18" s="48"/>
      <c r="F18" s="47"/>
      <c r="G18" s="47"/>
      <c r="H18" s="47"/>
      <c r="I18" s="47"/>
      <c r="J18" s="47"/>
      <c r="K18" s="47"/>
      <c r="L18" s="47"/>
      <c r="M18" s="47"/>
      <c r="N18" s="47"/>
      <c r="O18" s="47"/>
      <c r="P18" s="47"/>
      <c r="Q18" s="47"/>
      <c r="R18" s="47"/>
      <c r="S18" s="47"/>
      <c r="T18" s="47"/>
      <c r="U18" s="49" t="str">
        <f ca="1">IF(COUNTIF(OFFSET($E18,0,1):OFFSET(U18,0,-1),"=*")&gt;0,IF($C18="К","-"," - "),IF(COUNTIF(OFFSET($E18,0,1):OFFSET(U18,0,-1),"&lt;4")&gt;0,IF(C18="К","-"," - "),(IFERROR(AVERAGE(OFFSET($E18,0,1):OFFSET(U18,0,-1)),"Очікую"))))</f>
        <v>Очікую</v>
      </c>
      <c r="V18" s="49" t="str">
        <f t="shared" ca="1" si="0"/>
        <v>Очікую</v>
      </c>
      <c r="W18" s="36"/>
      <c r="X18" s="42"/>
    </row>
    <row r="19" spans="1:24" s="12" customFormat="1" ht="15" customHeight="1" x14ac:dyDescent="0.25">
      <c r="A19" s="43"/>
      <c r="B19" s="34"/>
      <c r="C19" s="47"/>
      <c r="D19" s="47">
        <v>10</v>
      </c>
      <c r="E19" s="48"/>
      <c r="F19" s="47"/>
      <c r="G19" s="47"/>
      <c r="H19" s="47"/>
      <c r="I19" s="47"/>
      <c r="J19" s="47"/>
      <c r="K19" s="47"/>
      <c r="L19" s="47"/>
      <c r="M19" s="47"/>
      <c r="N19" s="47"/>
      <c r="O19" s="47"/>
      <c r="P19" s="47"/>
      <c r="Q19" s="47"/>
      <c r="R19" s="47"/>
      <c r="S19" s="47"/>
      <c r="T19" s="47"/>
      <c r="U19" s="49" t="str">
        <f ca="1">IF(COUNTIF(OFFSET($E19,0,1):OFFSET(U19,0,-1),"=*")&gt;0,IF($C19="К","-"," - "),IF(COUNTIF(OFFSET($E19,0,1):OFFSET(U19,0,-1),"&lt;4")&gt;0,IF(C19="К","-"," - "),(IFERROR(AVERAGE(OFFSET($E19,0,1):OFFSET(U19,0,-1)),"Очікую"))))</f>
        <v>Очікую</v>
      </c>
      <c r="V19" s="49" t="str">
        <f t="shared" ca="1" si="0"/>
        <v>Очікую</v>
      </c>
      <c r="W19" s="36"/>
      <c r="X19" s="42"/>
    </row>
    <row r="20" spans="1:24" s="12" customFormat="1" ht="15" customHeight="1" x14ac:dyDescent="0.25">
      <c r="A20" s="43"/>
      <c r="B20" s="34"/>
      <c r="C20" s="47"/>
      <c r="D20" s="47">
        <v>11</v>
      </c>
      <c r="E20" s="48"/>
      <c r="F20" s="47"/>
      <c r="G20" s="47"/>
      <c r="H20" s="47"/>
      <c r="I20" s="47"/>
      <c r="J20" s="47"/>
      <c r="K20" s="47"/>
      <c r="L20" s="47"/>
      <c r="M20" s="47"/>
      <c r="N20" s="47"/>
      <c r="O20" s="47"/>
      <c r="P20" s="47"/>
      <c r="Q20" s="47"/>
      <c r="R20" s="47"/>
      <c r="S20" s="47"/>
      <c r="T20" s="47"/>
      <c r="U20" s="49" t="str">
        <f ca="1">IF(COUNTIF(OFFSET($E20,0,1):OFFSET(U20,0,-1),"=*")&gt;0,IF($C20="К","-"," - "),IF(COUNTIF(OFFSET($E20,0,1):OFFSET(U20,0,-1),"&lt;4")&gt;0,IF(C20="К","-"," - "),(IFERROR(AVERAGE(OFFSET($E20,0,1):OFFSET(U20,0,-1)),"Очікую"))))</f>
        <v>Очікую</v>
      </c>
      <c r="V20" s="49" t="str">
        <f t="shared" ca="1" si="0"/>
        <v>Очікую</v>
      </c>
      <c r="W20" s="36"/>
      <c r="X20" s="42"/>
    </row>
    <row r="21" spans="1:24" s="12" customFormat="1" ht="15" customHeight="1" x14ac:dyDescent="0.25">
      <c r="A21" s="43"/>
      <c r="B21" s="34"/>
      <c r="C21" s="47"/>
      <c r="D21" s="47">
        <v>12</v>
      </c>
      <c r="E21" s="48"/>
      <c r="F21" s="47"/>
      <c r="G21" s="47"/>
      <c r="H21" s="47"/>
      <c r="I21" s="47"/>
      <c r="J21" s="47"/>
      <c r="K21" s="47"/>
      <c r="L21" s="47"/>
      <c r="M21" s="47"/>
      <c r="N21" s="47"/>
      <c r="O21" s="47"/>
      <c r="P21" s="47"/>
      <c r="Q21" s="47"/>
      <c r="R21" s="47"/>
      <c r="S21" s="47"/>
      <c r="T21" s="47"/>
      <c r="U21" s="49" t="str">
        <f ca="1">IF(COUNTIF(OFFSET($E21,0,1):OFFSET(U21,0,-1),"=*")&gt;0,IF($C21="К","-"," - "),IF(COUNTIF(OFFSET($E21,0,1):OFFSET(U21,0,-1),"&lt;4")&gt;0,IF(C21="К","-"," - "),(IFERROR(AVERAGE(OFFSET($E21,0,1):OFFSET(U21,0,-1)),"Очікую"))))</f>
        <v>Очікую</v>
      </c>
      <c r="V21" s="49" t="str">
        <f t="shared" ca="1" si="0"/>
        <v>Очікую</v>
      </c>
      <c r="W21" s="36"/>
      <c r="X21" s="42"/>
    </row>
    <row r="22" spans="1:24" s="12" customFormat="1" ht="15" customHeight="1" x14ac:dyDescent="0.25">
      <c r="A22" s="43"/>
      <c r="B22" s="34"/>
      <c r="C22" s="47"/>
      <c r="D22" s="47">
        <v>13</v>
      </c>
      <c r="E22" s="48"/>
      <c r="F22" s="47"/>
      <c r="G22" s="47"/>
      <c r="H22" s="47"/>
      <c r="I22" s="47"/>
      <c r="J22" s="47"/>
      <c r="K22" s="47"/>
      <c r="L22" s="47"/>
      <c r="M22" s="47"/>
      <c r="N22" s="47"/>
      <c r="O22" s="47"/>
      <c r="P22" s="47"/>
      <c r="Q22" s="47"/>
      <c r="R22" s="47"/>
      <c r="S22" s="47"/>
      <c r="T22" s="47"/>
      <c r="U22" s="49" t="str">
        <f ca="1">IF(COUNTIF(OFFSET($E22,0,1):OFFSET(U22,0,-1),"=*")&gt;0,IF($C22="К","-"," - "),IF(COUNTIF(OFFSET($E22,0,1):OFFSET(U22,0,-1),"&lt;4")&gt;0,IF(C22="К","-"," - "),(IFERROR(AVERAGE(OFFSET($E22,0,1):OFFSET(U22,0,-1)),"Очікую"))))</f>
        <v>Очікую</v>
      </c>
      <c r="V22" s="49" t="str">
        <f t="shared" ca="1" si="0"/>
        <v>Очікую</v>
      </c>
      <c r="W22" s="36"/>
      <c r="X22" s="42"/>
    </row>
    <row r="23" spans="1:24" s="12" customFormat="1" ht="15" customHeight="1" x14ac:dyDescent="0.25">
      <c r="A23" s="43"/>
      <c r="B23" s="34"/>
      <c r="C23" s="47"/>
      <c r="D23" s="47">
        <v>14</v>
      </c>
      <c r="E23" s="48"/>
      <c r="F23" s="47"/>
      <c r="G23" s="47"/>
      <c r="H23" s="47"/>
      <c r="I23" s="47"/>
      <c r="J23" s="47"/>
      <c r="K23" s="47"/>
      <c r="L23" s="47"/>
      <c r="M23" s="47"/>
      <c r="N23" s="47"/>
      <c r="O23" s="47"/>
      <c r="P23" s="47"/>
      <c r="Q23" s="47"/>
      <c r="R23" s="47"/>
      <c r="S23" s="47"/>
      <c r="T23" s="47"/>
      <c r="U23" s="49" t="str">
        <f ca="1">IF(COUNTIF(OFFSET($E23,0,1):OFFSET(U23,0,-1),"=*")&gt;0,IF($C23="К","-"," - "),IF(COUNTIF(OFFSET($E23,0,1):OFFSET(U23,0,-1),"&lt;4")&gt;0,IF(C23="К","-"," - "),(IFERROR(AVERAGE(OFFSET($E23,0,1):OFFSET(U23,0,-1)),"Очікую"))))</f>
        <v>Очікую</v>
      </c>
      <c r="V23" s="49" t="str">
        <f t="shared" ca="1" si="0"/>
        <v>Очікую</v>
      </c>
      <c r="W23" s="36"/>
      <c r="X23" s="42"/>
    </row>
    <row r="24" spans="1:24" s="12" customFormat="1" ht="15" customHeight="1" x14ac:dyDescent="0.25">
      <c r="A24" s="43"/>
      <c r="B24" s="34"/>
      <c r="C24" s="47"/>
      <c r="D24" s="47">
        <v>15</v>
      </c>
      <c r="E24" s="48"/>
      <c r="F24" s="47"/>
      <c r="G24" s="47"/>
      <c r="H24" s="47"/>
      <c r="I24" s="47"/>
      <c r="J24" s="47"/>
      <c r="K24" s="47"/>
      <c r="L24" s="47"/>
      <c r="M24" s="47"/>
      <c r="N24" s="47"/>
      <c r="O24" s="47"/>
      <c r="P24" s="47"/>
      <c r="Q24" s="47"/>
      <c r="R24" s="47"/>
      <c r="S24" s="47"/>
      <c r="T24" s="47"/>
      <c r="U24" s="49" t="str">
        <f ca="1">IF(COUNTIF(OFFSET($E24,0,1):OFFSET(U24,0,-1),"=*")&gt;0,IF($C24="К","-"," - "),IF(COUNTIF(OFFSET($E24,0,1):OFFSET(U24,0,-1),"&lt;4")&gt;0,IF(C24="К","-"," - "),(IFERROR(AVERAGE(OFFSET($E24,0,1):OFFSET(U24,0,-1)),"Очікую"))))</f>
        <v>Очікую</v>
      </c>
      <c r="V24" s="49" t="str">
        <f t="shared" ca="1" si="0"/>
        <v>Очікую</v>
      </c>
      <c r="W24" s="36"/>
      <c r="X24" s="42"/>
    </row>
    <row r="25" spans="1:24" s="12" customFormat="1" ht="15" customHeight="1" x14ac:dyDescent="0.25">
      <c r="A25" s="43"/>
      <c r="B25" s="34"/>
      <c r="C25" s="47"/>
      <c r="D25" s="47">
        <v>16</v>
      </c>
      <c r="E25" s="48"/>
      <c r="F25" s="47"/>
      <c r="G25" s="47"/>
      <c r="H25" s="47"/>
      <c r="I25" s="47"/>
      <c r="J25" s="47"/>
      <c r="K25" s="47"/>
      <c r="L25" s="47"/>
      <c r="M25" s="47"/>
      <c r="N25" s="47"/>
      <c r="O25" s="47"/>
      <c r="P25" s="47"/>
      <c r="Q25" s="47"/>
      <c r="R25" s="47"/>
      <c r="S25" s="47"/>
      <c r="T25" s="47"/>
      <c r="U25" s="49" t="str">
        <f ca="1">IF(COUNTIF(OFFSET($E25,0,1):OFFSET(U25,0,-1),"=*")&gt;0,IF($C25="К","-"," - "),IF(COUNTIF(OFFSET($E25,0,1):OFFSET(U25,0,-1),"&lt;4")&gt;0,IF(C25="К","-"," - "),(IFERROR(AVERAGE(OFFSET($E25,0,1):OFFSET(U25,0,-1)),"Очікую"))))</f>
        <v>Очікую</v>
      </c>
      <c r="V25" s="49" t="str">
        <f t="shared" ca="1" si="0"/>
        <v>Очікую</v>
      </c>
      <c r="W25" s="36"/>
      <c r="X25" s="42"/>
    </row>
    <row r="26" spans="1:24" s="12" customFormat="1" ht="15" customHeight="1" x14ac:dyDescent="0.25">
      <c r="A26" s="43"/>
      <c r="B26" s="34"/>
      <c r="C26" s="47"/>
      <c r="D26" s="47">
        <v>17</v>
      </c>
      <c r="E26" s="48"/>
      <c r="F26" s="47"/>
      <c r="G26" s="47"/>
      <c r="H26" s="47"/>
      <c r="I26" s="47"/>
      <c r="J26" s="47"/>
      <c r="K26" s="47"/>
      <c r="L26" s="47"/>
      <c r="M26" s="47"/>
      <c r="N26" s="47"/>
      <c r="O26" s="47"/>
      <c r="P26" s="47"/>
      <c r="Q26" s="47"/>
      <c r="R26" s="47"/>
      <c r="S26" s="47"/>
      <c r="T26" s="47"/>
      <c r="U26" s="49" t="str">
        <f ca="1">IF(COUNTIF(OFFSET($E26,0,1):OFFSET(U26,0,-1),"=*")&gt;0,IF($C26="К","-"," - "),IF(COUNTIF(OFFSET($E26,0,1):OFFSET(U26,0,-1),"&lt;4")&gt;0,IF(C26="К","-"," - "),(IFERROR(AVERAGE(OFFSET($E26,0,1):OFFSET(U26,0,-1)),"Очікую"))))</f>
        <v>Очікую</v>
      </c>
      <c r="V26" s="49" t="str">
        <f t="shared" ca="1" si="0"/>
        <v>Очікую</v>
      </c>
      <c r="W26" s="36"/>
      <c r="X26" s="42"/>
    </row>
    <row r="27" spans="1:24" s="12" customFormat="1" ht="15" customHeight="1" x14ac:dyDescent="0.25">
      <c r="A27" s="43"/>
      <c r="B27" s="34"/>
      <c r="C27" s="47"/>
      <c r="D27" s="47">
        <v>18</v>
      </c>
      <c r="E27" s="48"/>
      <c r="F27" s="47"/>
      <c r="G27" s="47"/>
      <c r="H27" s="47"/>
      <c r="I27" s="47"/>
      <c r="J27" s="47"/>
      <c r="K27" s="47"/>
      <c r="L27" s="47"/>
      <c r="M27" s="47"/>
      <c r="N27" s="47"/>
      <c r="O27" s="47"/>
      <c r="P27" s="47"/>
      <c r="Q27" s="47"/>
      <c r="R27" s="47"/>
      <c r="S27" s="47"/>
      <c r="T27" s="47"/>
      <c r="U27" s="49" t="str">
        <f ca="1">IF(COUNTIF(OFFSET($E27,0,1):OFFSET(U27,0,-1),"=*")&gt;0,IF($C27="К","-"," - "),IF(COUNTIF(OFFSET($E27,0,1):OFFSET(U27,0,-1),"&lt;4")&gt;0,IF(C27="К","-"," - "),(IFERROR(AVERAGE(OFFSET($E27,0,1):OFFSET(U27,0,-1)),"Очікую"))))</f>
        <v>Очікую</v>
      </c>
      <c r="V27" s="49" t="str">
        <f t="shared" ca="1" si="0"/>
        <v>Очікую</v>
      </c>
      <c r="W27" s="36"/>
      <c r="X27" s="42"/>
    </row>
    <row r="28" spans="1:24" s="12" customFormat="1" ht="15" customHeight="1" x14ac:dyDescent="0.25">
      <c r="A28" s="43"/>
      <c r="B28" s="34"/>
      <c r="C28" s="47"/>
      <c r="D28" s="47">
        <v>19</v>
      </c>
      <c r="E28" s="48"/>
      <c r="F28" s="47"/>
      <c r="G28" s="47"/>
      <c r="H28" s="47"/>
      <c r="I28" s="47"/>
      <c r="J28" s="47"/>
      <c r="K28" s="47"/>
      <c r="L28" s="47"/>
      <c r="M28" s="47"/>
      <c r="N28" s="47"/>
      <c r="O28" s="47"/>
      <c r="P28" s="47"/>
      <c r="Q28" s="47"/>
      <c r="R28" s="47"/>
      <c r="S28" s="47"/>
      <c r="T28" s="47"/>
      <c r="U28" s="49" t="str">
        <f ca="1">IF(COUNTIF(OFFSET($E28,0,1):OFFSET(U28,0,-1),"=*")&gt;0,IF($C28="К","-"," - "),IF(COUNTIF(OFFSET($E28,0,1):OFFSET(U28,0,-1),"&lt;4")&gt;0,IF(C28="К","-"," - "),(IFERROR(AVERAGE(OFFSET($E28,0,1):OFFSET(U28,0,-1)),"Очікую"))))</f>
        <v>Очікую</v>
      </c>
      <c r="V28" s="49" t="str">
        <f t="shared" ca="1" si="0"/>
        <v>Очікую</v>
      </c>
      <c r="W28" s="36"/>
      <c r="X28" s="42"/>
    </row>
    <row r="29" spans="1:24" s="12" customFormat="1" ht="15" customHeight="1" x14ac:dyDescent="0.25">
      <c r="A29" s="43"/>
      <c r="B29" s="34"/>
      <c r="C29" s="47"/>
      <c r="D29" s="47">
        <v>20</v>
      </c>
      <c r="E29" s="48"/>
      <c r="F29" s="47"/>
      <c r="G29" s="47"/>
      <c r="H29" s="47"/>
      <c r="I29" s="47"/>
      <c r="J29" s="47"/>
      <c r="K29" s="47"/>
      <c r="L29" s="47"/>
      <c r="M29" s="47"/>
      <c r="N29" s="47"/>
      <c r="O29" s="47"/>
      <c r="P29" s="47"/>
      <c r="Q29" s="47"/>
      <c r="R29" s="47"/>
      <c r="S29" s="47"/>
      <c r="T29" s="47"/>
      <c r="U29" s="49" t="str">
        <f ca="1">IF(COUNTIF(OFFSET($E29,0,1):OFFSET(U29,0,-1),"=*")&gt;0,IF($C29="К","-"," - "),IF(COUNTIF(OFFSET($E29,0,1):OFFSET(U29,0,-1),"&lt;4")&gt;0,IF(C29="К","-"," - "),(IFERROR(AVERAGE(OFFSET($E29,0,1):OFFSET(U29,0,-1)),"Очікую"))))</f>
        <v>Очікую</v>
      </c>
      <c r="V29" s="49" t="str">
        <f t="shared" ca="1" si="0"/>
        <v>Очікую</v>
      </c>
      <c r="W29" s="36"/>
      <c r="X29" s="42"/>
    </row>
    <row r="30" spans="1:24" s="12" customFormat="1" ht="15" customHeight="1" x14ac:dyDescent="0.25">
      <c r="A30" s="43"/>
      <c r="B30" s="34"/>
      <c r="C30" s="47"/>
      <c r="D30" s="47">
        <v>21</v>
      </c>
      <c r="E30" s="48"/>
      <c r="F30" s="47"/>
      <c r="G30" s="47"/>
      <c r="H30" s="47"/>
      <c r="I30" s="47"/>
      <c r="J30" s="47"/>
      <c r="K30" s="47"/>
      <c r="L30" s="47"/>
      <c r="M30" s="47"/>
      <c r="N30" s="47"/>
      <c r="O30" s="47"/>
      <c r="P30" s="47"/>
      <c r="Q30" s="47"/>
      <c r="R30" s="47"/>
      <c r="S30" s="47"/>
      <c r="T30" s="47"/>
      <c r="U30" s="49" t="str">
        <f ca="1">IF(COUNTIF(OFFSET($E30,0,1):OFFSET(U30,0,-1),"=*")&gt;0,IF($C30="К","-"," - "),IF(COUNTIF(OFFSET($E30,0,1):OFFSET(U30,0,-1),"&lt;4")&gt;0,IF(C30="К","-"," - "),(IFERROR(AVERAGE(OFFSET($E30,0,1):OFFSET(U30,0,-1)),"Очікую"))))</f>
        <v>Очікую</v>
      </c>
      <c r="V30" s="49" t="str">
        <f t="shared" ca="1" si="0"/>
        <v>Очікую</v>
      </c>
      <c r="W30" s="36"/>
      <c r="X30" s="42"/>
    </row>
    <row r="31" spans="1:24" s="12" customFormat="1" ht="15" customHeight="1" x14ac:dyDescent="0.25">
      <c r="A31" s="43"/>
      <c r="B31" s="34"/>
      <c r="C31" s="47"/>
      <c r="D31" s="47">
        <v>22</v>
      </c>
      <c r="E31" s="48"/>
      <c r="F31" s="47"/>
      <c r="G31" s="47"/>
      <c r="H31" s="47"/>
      <c r="I31" s="47"/>
      <c r="J31" s="47"/>
      <c r="K31" s="47"/>
      <c r="L31" s="47"/>
      <c r="M31" s="47"/>
      <c r="N31" s="47"/>
      <c r="O31" s="47"/>
      <c r="P31" s="47"/>
      <c r="Q31" s="47"/>
      <c r="R31" s="47"/>
      <c r="S31" s="47"/>
      <c r="T31" s="47"/>
      <c r="U31" s="49" t="str">
        <f ca="1">IF(COUNTIF(OFFSET($E31,0,1):OFFSET(U31,0,-1),"=*")&gt;0,IF($C31="К","-"," - "),IF(COUNTIF(OFFSET($E31,0,1):OFFSET(U31,0,-1),"&lt;4")&gt;0,IF(C31="К","-"," - "),(IFERROR(AVERAGE(OFFSET($E31,0,1):OFFSET(U31,0,-1)),"Очікую"))))</f>
        <v>Очікую</v>
      </c>
      <c r="V31" s="49" t="str">
        <f t="shared" ca="1" si="0"/>
        <v>Очікую</v>
      </c>
      <c r="W31" s="36"/>
      <c r="X31" s="42"/>
    </row>
    <row r="32" spans="1:24" s="12" customFormat="1" ht="15" customHeight="1" x14ac:dyDescent="0.25">
      <c r="A32" s="43"/>
      <c r="B32" s="34"/>
      <c r="C32" s="47"/>
      <c r="D32" s="47">
        <v>23</v>
      </c>
      <c r="E32" s="48"/>
      <c r="F32" s="47"/>
      <c r="G32" s="47"/>
      <c r="H32" s="47"/>
      <c r="I32" s="47"/>
      <c r="J32" s="47"/>
      <c r="K32" s="47"/>
      <c r="L32" s="47"/>
      <c r="M32" s="47"/>
      <c r="N32" s="47"/>
      <c r="O32" s="47"/>
      <c r="P32" s="47"/>
      <c r="Q32" s="47"/>
      <c r="R32" s="47"/>
      <c r="S32" s="47"/>
      <c r="T32" s="47"/>
      <c r="U32" s="49" t="str">
        <f ca="1">IF(COUNTIF(OFFSET($E32,0,1):OFFSET(U32,0,-1),"=*")&gt;0,IF($C32="К","-"," - "),IF(COUNTIF(OFFSET($E32,0,1):OFFSET(U32,0,-1),"&lt;4")&gt;0,IF(C32="К","-"," - "),(IFERROR(AVERAGE(OFFSET($E32,0,1):OFFSET(U32,0,-1)),"Очікую"))))</f>
        <v>Очікую</v>
      </c>
      <c r="V32" s="49" t="str">
        <f t="shared" ca="1" si="0"/>
        <v>Очікую</v>
      </c>
      <c r="W32" s="36"/>
      <c r="X32" s="42"/>
    </row>
    <row r="33" spans="1:24" s="12" customFormat="1" ht="15" customHeight="1" x14ac:dyDescent="0.25">
      <c r="A33" s="43"/>
      <c r="B33" s="34"/>
      <c r="C33" s="47"/>
      <c r="D33" s="47">
        <v>24</v>
      </c>
      <c r="E33" s="48"/>
      <c r="F33" s="47"/>
      <c r="G33" s="47"/>
      <c r="H33" s="47"/>
      <c r="I33" s="47"/>
      <c r="J33" s="47"/>
      <c r="K33" s="47"/>
      <c r="L33" s="47"/>
      <c r="M33" s="47"/>
      <c r="N33" s="47"/>
      <c r="O33" s="47"/>
      <c r="P33" s="47"/>
      <c r="Q33" s="47"/>
      <c r="R33" s="47"/>
      <c r="S33" s="47"/>
      <c r="T33" s="47"/>
      <c r="U33" s="49" t="str">
        <f ca="1">IF(COUNTIF(OFFSET($E33,0,1):OFFSET(U33,0,-1),"=*")&gt;0,IF($C33="К","-"," - "),IF(COUNTIF(OFFSET($E33,0,1):OFFSET(U33,0,-1),"&lt;4")&gt;0,IF(C33="К","-"," - "),(IFERROR(AVERAGE(OFFSET($E33,0,1):OFFSET(U33,0,-1)),"Очікую"))))</f>
        <v>Очікую</v>
      </c>
      <c r="V33" s="49" t="str">
        <f t="shared" ca="1" si="0"/>
        <v>Очікую</v>
      </c>
      <c r="W33" s="36"/>
      <c r="X33" s="42"/>
    </row>
    <row r="34" spans="1:24" s="12" customFormat="1" ht="15" customHeight="1" x14ac:dyDescent="0.25">
      <c r="A34" s="43"/>
      <c r="B34" s="34"/>
      <c r="C34" s="47"/>
      <c r="D34" s="47">
        <v>25</v>
      </c>
      <c r="E34" s="48"/>
      <c r="F34" s="47"/>
      <c r="G34" s="47"/>
      <c r="H34" s="47"/>
      <c r="I34" s="47"/>
      <c r="J34" s="47"/>
      <c r="K34" s="47"/>
      <c r="L34" s="47"/>
      <c r="M34" s="47"/>
      <c r="N34" s="47"/>
      <c r="O34" s="47"/>
      <c r="P34" s="47"/>
      <c r="Q34" s="47"/>
      <c r="R34" s="47"/>
      <c r="S34" s="47"/>
      <c r="T34" s="47"/>
      <c r="U34" s="49" t="str">
        <f ca="1">IF(COUNTIF(OFFSET($E34,0,1):OFFSET(U34,0,-1),"=*")&gt;0,IF($C34="К","-"," - "),IF(COUNTIF(OFFSET($E34,0,1):OFFSET(U34,0,-1),"&lt;4")&gt;0,IF(C34="К","-"," - "),(IFERROR(AVERAGE(OFFSET($E34,0,1):OFFSET(U34,0,-1)),"Очікую"))))</f>
        <v>Очікую</v>
      </c>
      <c r="V34" s="49" t="str">
        <f t="shared" ca="1" si="0"/>
        <v>Очікую</v>
      </c>
      <c r="W34" s="36"/>
      <c r="X34" s="42"/>
    </row>
    <row r="35" spans="1:24" s="12" customFormat="1" ht="15" customHeight="1" x14ac:dyDescent="0.25">
      <c r="A35" s="43"/>
      <c r="B35" s="34"/>
      <c r="C35" s="47"/>
      <c r="D35" s="47">
        <v>26</v>
      </c>
      <c r="E35" s="48"/>
      <c r="F35" s="47"/>
      <c r="G35" s="47"/>
      <c r="H35" s="47"/>
      <c r="I35" s="47"/>
      <c r="J35" s="47"/>
      <c r="K35" s="47"/>
      <c r="L35" s="47"/>
      <c r="M35" s="47"/>
      <c r="N35" s="47"/>
      <c r="O35" s="47"/>
      <c r="P35" s="47"/>
      <c r="Q35" s="47"/>
      <c r="R35" s="47"/>
      <c r="S35" s="47"/>
      <c r="T35" s="47"/>
      <c r="U35" s="49" t="str">
        <f ca="1">IF(COUNTIF(OFFSET($E35,0,1):OFFSET(U35,0,-1),"=*")&gt;0,IF($C35="К","-"," - "),IF(COUNTIF(OFFSET($E35,0,1):OFFSET(U35,0,-1),"&lt;4")&gt;0,IF(C35="К","-"," - "),(IFERROR(AVERAGE(OFFSET($E35,0,1):OFFSET(U35,0,-1)),"Очікую"))))</f>
        <v>Очікую</v>
      </c>
      <c r="V35" s="49" t="str">
        <f t="shared" ca="1" si="0"/>
        <v>Очікую</v>
      </c>
      <c r="W35" s="36"/>
      <c r="X35" s="42"/>
    </row>
    <row r="36" spans="1:24" s="12" customFormat="1" ht="15" customHeight="1" x14ac:dyDescent="0.25">
      <c r="A36" s="43"/>
      <c r="B36" s="34"/>
      <c r="C36" s="47"/>
      <c r="D36" s="47">
        <v>27</v>
      </c>
      <c r="E36" s="48"/>
      <c r="F36" s="47"/>
      <c r="G36" s="47"/>
      <c r="H36" s="47"/>
      <c r="I36" s="47"/>
      <c r="J36" s="47"/>
      <c r="K36" s="47"/>
      <c r="L36" s="47"/>
      <c r="M36" s="47"/>
      <c r="N36" s="47"/>
      <c r="O36" s="47"/>
      <c r="P36" s="47"/>
      <c r="Q36" s="47"/>
      <c r="R36" s="47"/>
      <c r="S36" s="47"/>
      <c r="T36" s="47"/>
      <c r="U36" s="49" t="str">
        <f ca="1">IF(COUNTIF(OFFSET($E36,0,1):OFFSET(U36,0,-1),"=*")&gt;0,IF($C36="К","-"," - "),IF(COUNTIF(OFFSET($E36,0,1):OFFSET(U36,0,-1),"&lt;4")&gt;0,IF(C36="К","-"," - "),(IFERROR(AVERAGE(OFFSET($E36,0,1):OFFSET(U36,0,-1)),"Очікую"))))</f>
        <v>Очікую</v>
      </c>
      <c r="V36" s="49" t="str">
        <f t="shared" ca="1" si="0"/>
        <v>Очікую</v>
      </c>
      <c r="W36" s="36"/>
      <c r="X36" s="42"/>
    </row>
    <row r="37" spans="1:24" s="12" customFormat="1" ht="15" customHeight="1" x14ac:dyDescent="0.25">
      <c r="A37" s="43"/>
      <c r="B37" s="34"/>
      <c r="C37" s="47"/>
      <c r="D37" s="47">
        <v>28</v>
      </c>
      <c r="E37" s="48"/>
      <c r="F37" s="47"/>
      <c r="G37" s="47"/>
      <c r="H37" s="47"/>
      <c r="I37" s="47"/>
      <c r="J37" s="47"/>
      <c r="K37" s="47"/>
      <c r="L37" s="47"/>
      <c r="M37" s="47"/>
      <c r="N37" s="47"/>
      <c r="O37" s="47"/>
      <c r="P37" s="47"/>
      <c r="Q37" s="47"/>
      <c r="R37" s="47"/>
      <c r="S37" s="47"/>
      <c r="T37" s="47"/>
      <c r="U37" s="49" t="str">
        <f ca="1">IF(COUNTIF(OFFSET($E37,0,1):OFFSET(U37,0,-1),"=*")&gt;0,IF($C37="К","-"," - "),IF(COUNTIF(OFFSET($E37,0,1):OFFSET(U37,0,-1),"&lt;4")&gt;0,IF(C37="К","-"," - "),(IFERROR(AVERAGE(OFFSET($E37,0,1):OFFSET(U37,0,-1)),"Очікую"))))</f>
        <v>Очікую</v>
      </c>
      <c r="V37" s="49" t="str">
        <f t="shared" ca="1" si="0"/>
        <v>Очікую</v>
      </c>
      <c r="W37" s="36"/>
      <c r="X37" s="42"/>
    </row>
    <row r="38" spans="1:24" s="12" customFormat="1" ht="15" customHeight="1" x14ac:dyDescent="0.25">
      <c r="A38" s="43"/>
      <c r="B38" s="34"/>
      <c r="C38" s="47"/>
      <c r="D38" s="47">
        <v>29</v>
      </c>
      <c r="E38" s="48"/>
      <c r="F38" s="47"/>
      <c r="G38" s="47"/>
      <c r="H38" s="47"/>
      <c r="I38" s="47"/>
      <c r="J38" s="47"/>
      <c r="K38" s="47"/>
      <c r="L38" s="47"/>
      <c r="M38" s="47"/>
      <c r="N38" s="47"/>
      <c r="O38" s="47"/>
      <c r="P38" s="47"/>
      <c r="Q38" s="47"/>
      <c r="R38" s="47"/>
      <c r="S38" s="47"/>
      <c r="T38" s="47"/>
      <c r="U38" s="49" t="str">
        <f ca="1">IF(COUNTIF(OFFSET($E38,0,1):OFFSET(U38,0,-1),"=*")&gt;0,IF($C38="К","-"," - "),IF(COUNTIF(OFFSET($E38,0,1):OFFSET(U38,0,-1),"&lt;4")&gt;0,IF(C38="К","-"," - "),(IFERROR(AVERAGE(OFFSET($E38,0,1):OFFSET(U38,0,-1)),"Очікую"))))</f>
        <v>Очікую</v>
      </c>
      <c r="V38" s="49" t="str">
        <f t="shared" ca="1" si="0"/>
        <v>Очікую</v>
      </c>
      <c r="W38" s="36"/>
      <c r="X38" s="42"/>
    </row>
    <row r="39" spans="1:24" s="12" customFormat="1" ht="15" customHeight="1" x14ac:dyDescent="0.25">
      <c r="A39" s="43"/>
      <c r="B39" s="34"/>
      <c r="C39" s="47"/>
      <c r="D39" s="47">
        <v>30</v>
      </c>
      <c r="E39" s="48"/>
      <c r="F39" s="47"/>
      <c r="G39" s="47"/>
      <c r="H39" s="47"/>
      <c r="I39" s="47"/>
      <c r="J39" s="47"/>
      <c r="K39" s="47"/>
      <c r="L39" s="47"/>
      <c r="M39" s="47"/>
      <c r="N39" s="47"/>
      <c r="O39" s="47"/>
      <c r="P39" s="47"/>
      <c r="Q39" s="47"/>
      <c r="R39" s="47"/>
      <c r="S39" s="47"/>
      <c r="T39" s="47"/>
      <c r="U39" s="49" t="str">
        <f ca="1">IF(COUNTIF(OFFSET($E39,0,1):OFFSET(U39,0,-1),"=*")&gt;0,IF($C39="К","-"," - "),IF(COUNTIF(OFFSET($E39,0,1):OFFSET(U39,0,-1),"&lt;4")&gt;0,IF(C39="К","-"," - "),(IFERROR(AVERAGE(OFFSET($E39,0,1):OFFSET(U39,0,-1)),"Очікую"))))</f>
        <v>Очікую</v>
      </c>
      <c r="V39" s="49" t="str">
        <f t="shared" ca="1" si="0"/>
        <v>Очікую</v>
      </c>
      <c r="W39" s="36"/>
      <c r="X39" s="42"/>
    </row>
    <row r="40" spans="1:24" s="12" customFormat="1" ht="15" customHeight="1" x14ac:dyDescent="0.25">
      <c r="A40" s="43"/>
      <c r="B40" s="34"/>
      <c r="C40" s="47"/>
      <c r="D40" s="47">
        <v>31</v>
      </c>
      <c r="E40" s="48"/>
      <c r="F40" s="47"/>
      <c r="G40" s="47"/>
      <c r="H40" s="47"/>
      <c r="I40" s="47"/>
      <c r="J40" s="47"/>
      <c r="K40" s="47"/>
      <c r="L40" s="47"/>
      <c r="M40" s="47"/>
      <c r="N40" s="47"/>
      <c r="O40" s="47"/>
      <c r="P40" s="47"/>
      <c r="Q40" s="47"/>
      <c r="R40" s="47"/>
      <c r="S40" s="47"/>
      <c r="T40" s="47"/>
      <c r="U40" s="49" t="str">
        <f ca="1">IF(COUNTIF(OFFSET($E40,0,1):OFFSET(U40,0,-1),"=*")&gt;0,IF($C40="К","-"," - "),IF(COUNTIF(OFFSET($E40,0,1):OFFSET(U40,0,-1),"&lt;4")&gt;0,IF(C40="К","-"," - "),(IFERROR(AVERAGE(OFFSET($E40,0,1):OFFSET(U40,0,-1)),"Очікую"))))</f>
        <v>Очікую</v>
      </c>
      <c r="V40" s="49" t="str">
        <f t="shared" ca="1" si="0"/>
        <v>Очікую</v>
      </c>
      <c r="W40" s="36"/>
      <c r="X40" s="42"/>
    </row>
    <row r="41" spans="1:24" s="12" customFormat="1" ht="15" customHeight="1" x14ac:dyDescent="0.25">
      <c r="A41" s="43"/>
      <c r="B41" s="34"/>
      <c r="C41" s="47"/>
      <c r="D41" s="47">
        <v>32</v>
      </c>
      <c r="E41" s="48"/>
      <c r="F41" s="47"/>
      <c r="G41" s="47"/>
      <c r="H41" s="47"/>
      <c r="I41" s="47"/>
      <c r="J41" s="47"/>
      <c r="K41" s="47"/>
      <c r="L41" s="47"/>
      <c r="M41" s="47"/>
      <c r="N41" s="47"/>
      <c r="O41" s="47"/>
      <c r="P41" s="47"/>
      <c r="Q41" s="47"/>
      <c r="R41" s="47"/>
      <c r="S41" s="47"/>
      <c r="T41" s="47"/>
      <c r="U41" s="49" t="str">
        <f ca="1">IF(COUNTIF(OFFSET($E41,0,1):OFFSET(U41,0,-1),"=*")&gt;0,IF($C41="К","-"," - "),IF(COUNTIF(OFFSET($E41,0,1):OFFSET(U41,0,-1),"&lt;4")&gt;0,IF(C41="К","-"," - "),(IFERROR(AVERAGE(OFFSET($E41,0,1):OFFSET(U41,0,-1)),"Очікую"))))</f>
        <v>Очікую</v>
      </c>
      <c r="V41" s="49" t="str">
        <f t="shared" ca="1" si="0"/>
        <v>Очікую</v>
      </c>
      <c r="W41" s="36"/>
      <c r="X41" s="42"/>
    </row>
    <row r="42" spans="1:24" s="12" customFormat="1" ht="15" customHeight="1" x14ac:dyDescent="0.25">
      <c r="A42" s="43"/>
      <c r="B42" s="34"/>
      <c r="C42" s="47"/>
      <c r="D42" s="47">
        <v>33</v>
      </c>
      <c r="E42" s="48"/>
      <c r="F42" s="47"/>
      <c r="G42" s="47"/>
      <c r="H42" s="47"/>
      <c r="I42" s="47"/>
      <c r="J42" s="47"/>
      <c r="K42" s="47"/>
      <c r="L42" s="47"/>
      <c r="M42" s="47"/>
      <c r="N42" s="47"/>
      <c r="O42" s="47"/>
      <c r="P42" s="47"/>
      <c r="Q42" s="47"/>
      <c r="R42" s="47"/>
      <c r="S42" s="47"/>
      <c r="T42" s="47"/>
      <c r="U42" s="49" t="str">
        <f ca="1">IF(COUNTIF(OFFSET($E42,0,1):OFFSET(U42,0,-1),"=*")&gt;0,IF($C42="К","-"," - "),IF(COUNTIF(OFFSET($E42,0,1):OFFSET(U42,0,-1),"&lt;4")&gt;0,IF(C42="К","-"," - "),(IFERROR(AVERAGE(OFFSET($E42,0,1):OFFSET(U42,0,-1)),"Очікую"))))</f>
        <v>Очікую</v>
      </c>
      <c r="V42" s="49" t="str">
        <f t="shared" ca="1" si="0"/>
        <v>Очікую</v>
      </c>
      <c r="W42" s="36"/>
      <c r="X42" s="42"/>
    </row>
    <row r="43" spans="1:24" s="12" customFormat="1" ht="15" customHeight="1" x14ac:dyDescent="0.25">
      <c r="A43" s="43"/>
      <c r="B43" s="34"/>
      <c r="C43" s="47"/>
      <c r="D43" s="47">
        <v>34</v>
      </c>
      <c r="E43" s="48"/>
      <c r="F43" s="47"/>
      <c r="G43" s="47"/>
      <c r="H43" s="47"/>
      <c r="I43" s="47"/>
      <c r="J43" s="47"/>
      <c r="K43" s="47"/>
      <c r="L43" s="47"/>
      <c r="M43" s="47"/>
      <c r="N43" s="47"/>
      <c r="O43" s="47"/>
      <c r="P43" s="47"/>
      <c r="Q43" s="47"/>
      <c r="R43" s="47"/>
      <c r="S43" s="47"/>
      <c r="T43" s="47"/>
      <c r="U43" s="49" t="str">
        <f ca="1">IF(COUNTIF(OFFSET($E43,0,1):OFFSET(U43,0,-1),"=*")&gt;0,IF($C43="К","-"," - "),IF(COUNTIF(OFFSET($E43,0,1):OFFSET(U43,0,-1),"&lt;4")&gt;0,IF(C43="К","-"," - "),(IFERROR(AVERAGE(OFFSET($E43,0,1):OFFSET(U43,0,-1)),"Очікую"))))</f>
        <v>Очікую</v>
      </c>
      <c r="V43" s="49" t="str">
        <f t="shared" ca="1" si="0"/>
        <v>Очікую</v>
      </c>
      <c r="W43" s="36"/>
      <c r="X43" s="42"/>
    </row>
    <row r="44" spans="1:24" s="12" customFormat="1" ht="15" customHeight="1" x14ac:dyDescent="0.25">
      <c r="A44" s="43"/>
      <c r="B44" s="34"/>
      <c r="C44" s="47"/>
      <c r="D44" s="47">
        <v>35</v>
      </c>
      <c r="E44" s="48"/>
      <c r="F44" s="47"/>
      <c r="G44" s="47"/>
      <c r="H44" s="47"/>
      <c r="I44" s="47"/>
      <c r="J44" s="47"/>
      <c r="K44" s="47"/>
      <c r="L44" s="47"/>
      <c r="M44" s="47"/>
      <c r="N44" s="47"/>
      <c r="O44" s="47"/>
      <c r="P44" s="47"/>
      <c r="Q44" s="47"/>
      <c r="R44" s="47"/>
      <c r="S44" s="47"/>
      <c r="T44" s="47"/>
      <c r="U44" s="49" t="str">
        <f ca="1">IF(COUNTIF(OFFSET($E44,0,1):OFFSET(U44,0,-1),"=*")&gt;0,IF($C44="К","-"," - "),IF(COUNTIF(OFFSET($E44,0,1):OFFSET(U44,0,-1),"&lt;4")&gt;0,IF(C44="К","-"," - "),(IFERROR(AVERAGE(OFFSET($E44,0,1):OFFSET(U44,0,-1)),"Очікую"))))</f>
        <v>Очікую</v>
      </c>
      <c r="V44" s="49" t="str">
        <f t="shared" ca="1" si="0"/>
        <v>Очікую</v>
      </c>
      <c r="W44" s="36"/>
      <c r="X44" s="42"/>
    </row>
    <row r="45" spans="1:24" s="12" customFormat="1" ht="15" customHeight="1" x14ac:dyDescent="0.25">
      <c r="A45" s="43"/>
      <c r="B45" s="34"/>
      <c r="C45" s="47"/>
      <c r="D45" s="47">
        <v>36</v>
      </c>
      <c r="E45" s="48"/>
      <c r="F45" s="47"/>
      <c r="G45" s="47"/>
      <c r="H45" s="47"/>
      <c r="I45" s="47"/>
      <c r="J45" s="47"/>
      <c r="K45" s="47"/>
      <c r="L45" s="47"/>
      <c r="M45" s="47"/>
      <c r="N45" s="47"/>
      <c r="O45" s="47"/>
      <c r="P45" s="47"/>
      <c r="Q45" s="47"/>
      <c r="R45" s="47"/>
      <c r="S45" s="47"/>
      <c r="T45" s="47"/>
      <c r="U45" s="49" t="str">
        <f ca="1">IF(COUNTIF(OFFSET($E45,0,1):OFFSET(U45,0,-1),"=*")&gt;0,IF($C45="К","-"," - "),IF(COUNTIF(OFFSET($E45,0,1):OFFSET(U45,0,-1),"&lt;4")&gt;0,IF(C45="К","-"," - "),(IFERROR(AVERAGE(OFFSET($E45,0,1):OFFSET(U45,0,-1)),"Очікую"))))</f>
        <v>Очікую</v>
      </c>
      <c r="V45" s="49" t="str">
        <f t="shared" ca="1" si="0"/>
        <v>Очікую</v>
      </c>
      <c r="W45" s="36"/>
      <c r="X45" s="42"/>
    </row>
    <row r="46" spans="1:24" s="12" customFormat="1" ht="15" customHeight="1" x14ac:dyDescent="0.25">
      <c r="A46" s="43"/>
      <c r="B46" s="34"/>
      <c r="C46" s="47"/>
      <c r="D46" s="47">
        <v>37</v>
      </c>
      <c r="E46" s="48"/>
      <c r="F46" s="47"/>
      <c r="G46" s="47"/>
      <c r="H46" s="47"/>
      <c r="I46" s="47"/>
      <c r="J46" s="47"/>
      <c r="K46" s="47"/>
      <c r="L46" s="47"/>
      <c r="M46" s="47"/>
      <c r="N46" s="47"/>
      <c r="O46" s="47"/>
      <c r="P46" s="47"/>
      <c r="Q46" s="47"/>
      <c r="R46" s="47"/>
      <c r="S46" s="47"/>
      <c r="T46" s="47"/>
      <c r="U46" s="49" t="str">
        <f ca="1">IF(COUNTIF(OFFSET($E46,0,1):OFFSET(U46,0,-1),"=*")&gt;0,IF($C46="К","-"," - "),IF(COUNTIF(OFFSET($E46,0,1):OFFSET(U46,0,-1),"&lt;4")&gt;0,IF(C46="К","-"," - "),(IFERROR(AVERAGE(OFFSET($E46,0,1):OFFSET(U46,0,-1)),"Очікую"))))</f>
        <v>Очікую</v>
      </c>
      <c r="V46" s="49" t="str">
        <f t="shared" ca="1" si="0"/>
        <v>Очікую</v>
      </c>
      <c r="W46" s="36"/>
      <c r="X46" s="42"/>
    </row>
    <row r="47" spans="1:24" s="12" customFormat="1" ht="15" customHeight="1" x14ac:dyDescent="0.25">
      <c r="A47" s="43"/>
      <c r="B47" s="34"/>
      <c r="C47" s="47"/>
      <c r="D47" s="47">
        <v>38</v>
      </c>
      <c r="E47" s="48"/>
      <c r="F47" s="47"/>
      <c r="G47" s="47"/>
      <c r="H47" s="47"/>
      <c r="I47" s="47"/>
      <c r="J47" s="47"/>
      <c r="K47" s="47"/>
      <c r="L47" s="47"/>
      <c r="M47" s="47"/>
      <c r="N47" s="47"/>
      <c r="O47" s="47"/>
      <c r="P47" s="47"/>
      <c r="Q47" s="47"/>
      <c r="R47" s="47"/>
      <c r="S47" s="47"/>
      <c r="T47" s="47"/>
      <c r="U47" s="49" t="str">
        <f ca="1">IF(COUNTIF(OFFSET($E47,0,1):OFFSET(U47,0,-1),"=*")&gt;0,IF($C47="К","-"," - "),IF(COUNTIF(OFFSET($E47,0,1):OFFSET(U47,0,-1),"&lt;4")&gt;0,IF(C47="К","-"," - "),(IFERROR(AVERAGE(OFFSET($E47,0,1):OFFSET(U47,0,-1)),"Очікую"))))</f>
        <v>Очікую</v>
      </c>
      <c r="V47" s="49" t="str">
        <f t="shared" ca="1" si="0"/>
        <v>Очікую</v>
      </c>
      <c r="W47" s="36"/>
      <c r="X47" s="42"/>
    </row>
    <row r="48" spans="1:24" s="12" customFormat="1" ht="15" customHeight="1" x14ac:dyDescent="0.25">
      <c r="A48" s="43"/>
      <c r="B48" s="34"/>
      <c r="C48" s="47"/>
      <c r="D48" s="47">
        <v>39</v>
      </c>
      <c r="E48" s="48"/>
      <c r="F48" s="47"/>
      <c r="G48" s="47"/>
      <c r="H48" s="47"/>
      <c r="I48" s="47"/>
      <c r="J48" s="47"/>
      <c r="K48" s="47"/>
      <c r="L48" s="47"/>
      <c r="M48" s="47"/>
      <c r="N48" s="47"/>
      <c r="O48" s="47"/>
      <c r="P48" s="47"/>
      <c r="Q48" s="47"/>
      <c r="R48" s="47"/>
      <c r="S48" s="47"/>
      <c r="T48" s="47"/>
      <c r="U48" s="49" t="str">
        <f ca="1">IF(COUNTIF(OFFSET($E48,0,1):OFFSET(U48,0,-1),"=*")&gt;0,IF($C48="К","-"," - "),IF(COUNTIF(OFFSET($E48,0,1):OFFSET(U48,0,-1),"&lt;4")&gt;0,IF(C48="К","-"," - "),(IFERROR(AVERAGE(OFFSET($E48,0,1):OFFSET(U48,0,-1)),"Очікую"))))</f>
        <v>Очікую</v>
      </c>
      <c r="V48" s="49" t="str">
        <f t="shared" ca="1" si="0"/>
        <v>Очікую</v>
      </c>
      <c r="W48" s="36"/>
      <c r="X48" s="42"/>
    </row>
    <row r="49" spans="1:24" s="12" customFormat="1" ht="15" customHeight="1" x14ac:dyDescent="0.25">
      <c r="A49" s="43"/>
      <c r="B49" s="34"/>
      <c r="C49" s="47"/>
      <c r="D49" s="47">
        <v>40</v>
      </c>
      <c r="E49" s="48"/>
      <c r="F49" s="47"/>
      <c r="G49" s="47"/>
      <c r="H49" s="47"/>
      <c r="I49" s="47"/>
      <c r="J49" s="47"/>
      <c r="K49" s="47"/>
      <c r="L49" s="47"/>
      <c r="M49" s="47"/>
      <c r="N49" s="47"/>
      <c r="O49" s="47"/>
      <c r="P49" s="47"/>
      <c r="Q49" s="47"/>
      <c r="R49" s="47"/>
      <c r="S49" s="47"/>
      <c r="T49" s="47"/>
      <c r="U49" s="49" t="str">
        <f ca="1">IF(COUNTIF(OFFSET($E49,0,1):OFFSET(U49,0,-1),"=*")&gt;0,IF($C49="К","-"," - "),IF(COUNTIF(OFFSET($E49,0,1):OFFSET(U49,0,-1),"&lt;4")&gt;0,IF(C49="К","-"," - "),(IFERROR(AVERAGE(OFFSET($E49,0,1):OFFSET(U49,0,-1)),"Очікую"))))</f>
        <v>Очікую</v>
      </c>
      <c r="V49" s="49" t="str">
        <f t="shared" ca="1" si="0"/>
        <v>Очікую</v>
      </c>
      <c r="W49" s="36"/>
      <c r="X49" s="42"/>
    </row>
    <row r="50" spans="1:24" s="12" customFormat="1" ht="15" customHeight="1" x14ac:dyDescent="0.25">
      <c r="A50" s="43"/>
      <c r="B50" s="34"/>
      <c r="C50" s="47"/>
      <c r="D50" s="47">
        <v>41</v>
      </c>
      <c r="E50" s="48"/>
      <c r="F50" s="47"/>
      <c r="G50" s="47"/>
      <c r="H50" s="47"/>
      <c r="I50" s="47"/>
      <c r="J50" s="47"/>
      <c r="K50" s="47"/>
      <c r="L50" s="47"/>
      <c r="M50" s="47"/>
      <c r="N50" s="47"/>
      <c r="O50" s="47"/>
      <c r="P50" s="47"/>
      <c r="Q50" s="47"/>
      <c r="R50" s="47"/>
      <c r="S50" s="47"/>
      <c r="T50" s="47"/>
      <c r="U50" s="49" t="str">
        <f ca="1">IF(COUNTIF(OFFSET($E50,0,1):OFFSET(U50,0,-1),"=*")&gt;0,IF($C50="К","-"," - "),IF(COUNTIF(OFFSET($E50,0,1):OFFSET(U50,0,-1),"&lt;4")&gt;0,IF(C50="К","-"," - "),(IFERROR(AVERAGE(OFFSET($E50,0,1):OFFSET(U50,0,-1)),"Очікую"))))</f>
        <v>Очікую</v>
      </c>
      <c r="V50" s="49" t="str">
        <f t="shared" ca="1" si="0"/>
        <v>Очікую</v>
      </c>
      <c r="W50" s="36"/>
      <c r="X50" s="42"/>
    </row>
    <row r="51" spans="1:24" s="12" customFormat="1" ht="15" customHeight="1" x14ac:dyDescent="0.25">
      <c r="A51" s="43"/>
      <c r="B51" s="34"/>
      <c r="C51" s="47"/>
      <c r="D51" s="47">
        <v>42</v>
      </c>
      <c r="E51" s="48"/>
      <c r="F51" s="47"/>
      <c r="G51" s="47"/>
      <c r="H51" s="47"/>
      <c r="I51" s="47"/>
      <c r="J51" s="47"/>
      <c r="K51" s="47"/>
      <c r="L51" s="47"/>
      <c r="M51" s="47"/>
      <c r="N51" s="47"/>
      <c r="O51" s="47"/>
      <c r="P51" s="47"/>
      <c r="Q51" s="47"/>
      <c r="R51" s="47"/>
      <c r="S51" s="47"/>
      <c r="T51" s="47"/>
      <c r="U51" s="49" t="str">
        <f ca="1">IF(COUNTIF(OFFSET($E51,0,1):OFFSET(U51,0,-1),"=*")&gt;0,IF($C51="К","-"," - "),IF(COUNTIF(OFFSET($E51,0,1):OFFSET(U51,0,-1),"&lt;4")&gt;0,IF(C51="К","-"," - "),(IFERROR(AVERAGE(OFFSET($E51,0,1):OFFSET(U51,0,-1)),"Очікую"))))</f>
        <v>Очікую</v>
      </c>
      <c r="V51" s="49" t="str">
        <f t="shared" ca="1" si="0"/>
        <v>Очікую</v>
      </c>
      <c r="W51" s="36"/>
      <c r="X51" s="42"/>
    </row>
    <row r="52" spans="1:24" s="12" customFormat="1" ht="15" customHeight="1" x14ac:dyDescent="0.25">
      <c r="A52" s="43"/>
      <c r="B52" s="34"/>
      <c r="C52" s="47"/>
      <c r="D52" s="47">
        <v>43</v>
      </c>
      <c r="E52" s="48"/>
      <c r="F52" s="47"/>
      <c r="G52" s="47"/>
      <c r="H52" s="47"/>
      <c r="I52" s="47"/>
      <c r="J52" s="47"/>
      <c r="K52" s="47"/>
      <c r="L52" s="47"/>
      <c r="M52" s="47"/>
      <c r="N52" s="47"/>
      <c r="O52" s="47"/>
      <c r="P52" s="47"/>
      <c r="Q52" s="47"/>
      <c r="R52" s="47"/>
      <c r="S52" s="47"/>
      <c r="T52" s="47"/>
      <c r="U52" s="49" t="str">
        <f ca="1">IF(COUNTIF(OFFSET($E52,0,1):OFFSET(U52,0,-1),"=*")&gt;0,IF($C52="К","-"," - "),IF(COUNTIF(OFFSET($E52,0,1):OFFSET(U52,0,-1),"&lt;4")&gt;0,IF(C52="К","-"," - "),(IFERROR(AVERAGE(OFFSET($E52,0,1):OFFSET(U52,0,-1)),"Очікую"))))</f>
        <v>Очікую</v>
      </c>
      <c r="V52" s="49" t="str">
        <f t="shared" ca="1" si="0"/>
        <v>Очікую</v>
      </c>
      <c r="W52" s="36"/>
      <c r="X52" s="42"/>
    </row>
    <row r="53" spans="1:24" s="12" customFormat="1" ht="15" customHeight="1" x14ac:dyDescent="0.25">
      <c r="A53" s="43"/>
      <c r="B53" s="34"/>
      <c r="C53" s="47"/>
      <c r="D53" s="47">
        <v>44</v>
      </c>
      <c r="E53" s="48"/>
      <c r="F53" s="47"/>
      <c r="G53" s="47"/>
      <c r="H53" s="47"/>
      <c r="I53" s="47"/>
      <c r="J53" s="47"/>
      <c r="K53" s="47"/>
      <c r="L53" s="47"/>
      <c r="M53" s="47"/>
      <c r="N53" s="47"/>
      <c r="O53" s="47"/>
      <c r="P53" s="47"/>
      <c r="Q53" s="47"/>
      <c r="R53" s="47"/>
      <c r="S53" s="47"/>
      <c r="T53" s="47"/>
      <c r="U53" s="49" t="str">
        <f ca="1">IF(COUNTIF(OFFSET($E53,0,1):OFFSET(U53,0,-1),"=*")&gt;0,IF($C53="К","-"," - "),IF(COUNTIF(OFFSET($E53,0,1):OFFSET(U53,0,-1),"&lt;4")&gt;0,IF(C53="К","-"," - "),(IFERROR(AVERAGE(OFFSET($E53,0,1):OFFSET(U53,0,-1)),"Очікую"))))</f>
        <v>Очікую</v>
      </c>
      <c r="V53" s="49" t="str">
        <f t="shared" ca="1" si="0"/>
        <v>Очікую</v>
      </c>
      <c r="W53" s="36"/>
      <c r="X53" s="42"/>
    </row>
    <row r="54" spans="1:24" s="12" customFormat="1" ht="15" customHeight="1" x14ac:dyDescent="0.25">
      <c r="A54" s="43"/>
      <c r="B54" s="34"/>
      <c r="C54" s="47"/>
      <c r="D54" s="47">
        <v>45</v>
      </c>
      <c r="E54" s="48"/>
      <c r="F54" s="47"/>
      <c r="G54" s="47"/>
      <c r="H54" s="47"/>
      <c r="I54" s="47"/>
      <c r="J54" s="47"/>
      <c r="K54" s="47"/>
      <c r="L54" s="47"/>
      <c r="M54" s="47"/>
      <c r="N54" s="47"/>
      <c r="O54" s="47"/>
      <c r="P54" s="47"/>
      <c r="Q54" s="47"/>
      <c r="R54" s="47"/>
      <c r="S54" s="47"/>
      <c r="T54" s="47"/>
      <c r="U54" s="49" t="str">
        <f ca="1">IF(COUNTIF(OFFSET($E54,0,1):OFFSET(U54,0,-1),"=*")&gt;0,IF($C54="К","-"," - "),IF(COUNTIF(OFFSET($E54,0,1):OFFSET(U54,0,-1),"&lt;4")&gt;0,IF(C54="К","-"," - "),(IFERROR(AVERAGE(OFFSET($E54,0,1):OFFSET(U54,0,-1)),"Очікую"))))</f>
        <v>Очікую</v>
      </c>
      <c r="V54" s="49" t="str">
        <f t="shared" ca="1" si="0"/>
        <v>Очікую</v>
      </c>
      <c r="W54" s="36"/>
      <c r="X54" s="42"/>
    </row>
    <row r="55" spans="1:24" s="12" customFormat="1" ht="15" customHeight="1" x14ac:dyDescent="0.25">
      <c r="A55" s="43"/>
      <c r="B55" s="34"/>
      <c r="C55" s="47"/>
      <c r="D55" s="47">
        <v>46</v>
      </c>
      <c r="E55" s="48"/>
      <c r="F55" s="47"/>
      <c r="G55" s="47"/>
      <c r="H55" s="47"/>
      <c r="I55" s="47"/>
      <c r="J55" s="47"/>
      <c r="K55" s="47"/>
      <c r="L55" s="47"/>
      <c r="M55" s="47"/>
      <c r="N55" s="47"/>
      <c r="O55" s="47"/>
      <c r="P55" s="47"/>
      <c r="Q55" s="47"/>
      <c r="R55" s="47"/>
      <c r="S55" s="47"/>
      <c r="T55" s="47"/>
      <c r="U55" s="49" t="str">
        <f ca="1">IF(COUNTIF(OFFSET($E55,0,1):OFFSET(U55,0,-1),"=*")&gt;0,IF($C55="К","-"," - "),IF(COUNTIF(OFFSET($E55,0,1):OFFSET(U55,0,-1),"&lt;4")&gt;0,IF(C55="К","-"," - "),(IFERROR(AVERAGE(OFFSET($E55,0,1):OFFSET(U55,0,-1)),"Очікую"))))</f>
        <v>Очікую</v>
      </c>
      <c r="V55" s="49" t="str">
        <f t="shared" ca="1" si="0"/>
        <v>Очікую</v>
      </c>
      <c r="W55" s="36"/>
      <c r="X55" s="42"/>
    </row>
    <row r="56" spans="1:24" s="12" customFormat="1" ht="15" customHeight="1" x14ac:dyDescent="0.25">
      <c r="A56" s="43"/>
      <c r="B56" s="34"/>
      <c r="C56" s="47"/>
      <c r="D56" s="47">
        <v>47</v>
      </c>
      <c r="E56" s="48"/>
      <c r="F56" s="47"/>
      <c r="G56" s="47"/>
      <c r="H56" s="47"/>
      <c r="I56" s="47"/>
      <c r="J56" s="47"/>
      <c r="K56" s="47"/>
      <c r="L56" s="47"/>
      <c r="M56" s="47"/>
      <c r="N56" s="47"/>
      <c r="O56" s="47"/>
      <c r="P56" s="47"/>
      <c r="Q56" s="47"/>
      <c r="R56" s="47"/>
      <c r="S56" s="47"/>
      <c r="T56" s="47"/>
      <c r="U56" s="49" t="str">
        <f ca="1">IF(COUNTIF(OFFSET($E56,0,1):OFFSET(U56,0,-1),"=*")&gt;0,IF($C56="К","-"," - "),IF(COUNTIF(OFFSET($E56,0,1):OFFSET(U56,0,-1),"&lt;4")&gt;0,IF(C56="К","-"," - "),(IFERROR(AVERAGE(OFFSET($E56,0,1):OFFSET(U56,0,-1)),"Очікую"))))</f>
        <v>Очікую</v>
      </c>
      <c r="V56" s="49" t="str">
        <f t="shared" ca="1" si="0"/>
        <v>Очікую</v>
      </c>
      <c r="W56" s="36"/>
      <c r="X56" s="42"/>
    </row>
    <row r="57" spans="1:24" s="12" customFormat="1" ht="15" customHeight="1" x14ac:dyDescent="0.25">
      <c r="A57" s="43"/>
      <c r="B57" s="34"/>
      <c r="C57" s="47"/>
      <c r="D57" s="47">
        <v>48</v>
      </c>
      <c r="E57" s="48"/>
      <c r="F57" s="47"/>
      <c r="G57" s="47"/>
      <c r="H57" s="47"/>
      <c r="I57" s="47"/>
      <c r="J57" s="47"/>
      <c r="K57" s="47"/>
      <c r="L57" s="47"/>
      <c r="M57" s="47"/>
      <c r="N57" s="47"/>
      <c r="O57" s="47"/>
      <c r="P57" s="47"/>
      <c r="Q57" s="47"/>
      <c r="R57" s="47"/>
      <c r="S57" s="47"/>
      <c r="T57" s="47"/>
      <c r="U57" s="49" t="str">
        <f ca="1">IF(COUNTIF(OFFSET($E57,0,1):OFFSET(U57,0,-1),"=*")&gt;0,IF($C57="К","-"," - "),IF(COUNTIF(OFFSET($E57,0,1):OFFSET(U57,0,-1),"&lt;4")&gt;0,IF(C57="К","-"," - "),(IFERROR(AVERAGE(OFFSET($E57,0,1):OFFSET(U57,0,-1)),"Очікую"))))</f>
        <v>Очікую</v>
      </c>
      <c r="V57" s="49" t="str">
        <f t="shared" ca="1" si="0"/>
        <v>Очікую</v>
      </c>
      <c r="W57" s="36"/>
      <c r="X57" s="42"/>
    </row>
    <row r="58" spans="1:24" s="12" customFormat="1" ht="15" customHeight="1" x14ac:dyDescent="0.25">
      <c r="A58" s="43"/>
      <c r="B58" s="34"/>
      <c r="C58" s="47"/>
      <c r="D58" s="47">
        <v>49</v>
      </c>
      <c r="E58" s="48"/>
      <c r="F58" s="47"/>
      <c r="G58" s="47"/>
      <c r="H58" s="47"/>
      <c r="I58" s="47"/>
      <c r="J58" s="47"/>
      <c r="K58" s="47"/>
      <c r="L58" s="47"/>
      <c r="M58" s="47"/>
      <c r="N58" s="47"/>
      <c r="O58" s="47"/>
      <c r="P58" s="47"/>
      <c r="Q58" s="47"/>
      <c r="R58" s="47"/>
      <c r="S58" s="47"/>
      <c r="T58" s="47"/>
      <c r="U58" s="49" t="str">
        <f ca="1">IF(COUNTIF(OFFSET($E58,0,1):OFFSET(U58,0,-1),"=*")&gt;0,IF($C58="К","-"," - "),IF(COUNTIF(OFFSET($E58,0,1):OFFSET(U58,0,-1),"&lt;4")&gt;0,IF(C58="К","-"," - "),(IFERROR(AVERAGE(OFFSET($E58,0,1):OFFSET(U58,0,-1)),"Очікую"))))</f>
        <v>Очікую</v>
      </c>
      <c r="V58" s="49" t="str">
        <f t="shared" ca="1" si="0"/>
        <v>Очікую</v>
      </c>
      <c r="W58" s="36"/>
      <c r="X58" s="42"/>
    </row>
    <row r="59" spans="1:24" s="12" customFormat="1" ht="15" customHeight="1" x14ac:dyDescent="0.25">
      <c r="A59" s="43"/>
      <c r="B59" s="34"/>
      <c r="C59" s="47"/>
      <c r="D59" s="47">
        <v>50</v>
      </c>
      <c r="E59" s="48"/>
      <c r="F59" s="47"/>
      <c r="G59" s="47"/>
      <c r="H59" s="47"/>
      <c r="I59" s="47"/>
      <c r="J59" s="47"/>
      <c r="K59" s="47"/>
      <c r="L59" s="47"/>
      <c r="M59" s="47"/>
      <c r="N59" s="47"/>
      <c r="O59" s="47"/>
      <c r="P59" s="47"/>
      <c r="Q59" s="47"/>
      <c r="R59" s="47"/>
      <c r="S59" s="47"/>
      <c r="T59" s="47"/>
      <c r="U59" s="49" t="str">
        <f ca="1">IF(COUNTIF(OFFSET($E59,0,1):OFFSET(U59,0,-1),"=*")&gt;0,IF($C59="К","-"," - "),IF(COUNTIF(OFFSET($E59,0,1):OFFSET(U59,0,-1),"&lt;4")&gt;0,IF(C59="К","-"," - "),(IFERROR(AVERAGE(OFFSET($E59,0,1):OFFSET(U59,0,-1)),"Очікую"))))</f>
        <v>Очікую</v>
      </c>
      <c r="V59" s="49" t="str">
        <f t="shared" ca="1" si="0"/>
        <v>Очікую</v>
      </c>
      <c r="W59" s="36"/>
      <c r="X59" s="42"/>
    </row>
    <row r="60" spans="1:24" s="12" customFormat="1" ht="15" customHeight="1" x14ac:dyDescent="0.25">
      <c r="A60" s="43"/>
      <c r="B60" s="34"/>
      <c r="C60" s="47"/>
      <c r="D60" s="47">
        <v>51</v>
      </c>
      <c r="E60" s="48"/>
      <c r="F60" s="47"/>
      <c r="G60" s="47"/>
      <c r="H60" s="47"/>
      <c r="I60" s="47"/>
      <c r="J60" s="47"/>
      <c r="K60" s="47"/>
      <c r="L60" s="47"/>
      <c r="M60" s="47"/>
      <c r="N60" s="47"/>
      <c r="O60" s="47"/>
      <c r="P60" s="47"/>
      <c r="Q60" s="47"/>
      <c r="R60" s="47"/>
      <c r="S60" s="47"/>
      <c r="T60" s="47"/>
      <c r="U60" s="49" t="str">
        <f ca="1">IF(COUNTIF(OFFSET($E60,0,1):OFFSET(U60,0,-1),"=*")&gt;0,IF($C60="К","-"," - "),IF(COUNTIF(OFFSET($E60,0,1):OFFSET(U60,0,-1),"&lt;4")&gt;0,IF(C60="К","-"," - "),(IFERROR(AVERAGE(OFFSET($E60,0,1):OFFSET(U60,0,-1)),"Очікую"))))</f>
        <v>Очікую</v>
      </c>
      <c r="V60" s="49" t="str">
        <f t="shared" ca="1" si="0"/>
        <v>Очікую</v>
      </c>
      <c r="W60" s="36"/>
      <c r="X60" s="42"/>
    </row>
    <row r="61" spans="1:24" s="12" customFormat="1" ht="15" customHeight="1" x14ac:dyDescent="0.25">
      <c r="A61" s="43"/>
      <c r="B61" s="34"/>
      <c r="C61" s="47"/>
      <c r="D61" s="47">
        <v>52</v>
      </c>
      <c r="E61" s="48"/>
      <c r="F61" s="47"/>
      <c r="G61" s="47"/>
      <c r="H61" s="47"/>
      <c r="I61" s="47"/>
      <c r="J61" s="47"/>
      <c r="K61" s="47"/>
      <c r="L61" s="47"/>
      <c r="M61" s="47"/>
      <c r="N61" s="47"/>
      <c r="O61" s="47"/>
      <c r="P61" s="47"/>
      <c r="Q61" s="47"/>
      <c r="R61" s="47"/>
      <c r="S61" s="47"/>
      <c r="T61" s="47"/>
      <c r="U61" s="49" t="str">
        <f ca="1">IF(COUNTIF(OFFSET($E61,0,1):OFFSET(U61,0,-1),"=*")&gt;0,IF($C61="К","-"," - "),IF(COUNTIF(OFFSET($E61,0,1):OFFSET(U61,0,-1),"&lt;4")&gt;0,IF(C61="К","-"," - "),(IFERROR(AVERAGE(OFFSET($E61,0,1):OFFSET(U61,0,-1)),"Очікую"))))</f>
        <v>Очікую</v>
      </c>
      <c r="V61" s="49" t="str">
        <f t="shared" ca="1" si="0"/>
        <v>Очікую</v>
      </c>
      <c r="W61" s="36"/>
      <c r="X61" s="42"/>
    </row>
    <row r="62" spans="1:24" s="12" customFormat="1" ht="15" customHeight="1" x14ac:dyDescent="0.25">
      <c r="A62" s="43"/>
      <c r="B62" s="34"/>
      <c r="C62" s="47"/>
      <c r="D62" s="47">
        <v>53</v>
      </c>
      <c r="E62" s="48"/>
      <c r="F62" s="47"/>
      <c r="G62" s="47"/>
      <c r="H62" s="47"/>
      <c r="I62" s="47"/>
      <c r="J62" s="47"/>
      <c r="K62" s="47"/>
      <c r="L62" s="47"/>
      <c r="M62" s="47"/>
      <c r="N62" s="47"/>
      <c r="O62" s="47"/>
      <c r="P62" s="47"/>
      <c r="Q62" s="47"/>
      <c r="R62" s="47"/>
      <c r="S62" s="47"/>
      <c r="T62" s="47"/>
      <c r="U62" s="49" t="str">
        <f ca="1">IF(COUNTIF(OFFSET($E62,0,1):OFFSET(U62,0,-1),"=*")&gt;0,IF($C62="К","-"," - "),IF(COUNTIF(OFFSET($E62,0,1):OFFSET(U62,0,-1),"&lt;4")&gt;0,IF(C62="К","-"," - "),(IFERROR(AVERAGE(OFFSET($E62,0,1):OFFSET(U62,0,-1)),"Очікую"))))</f>
        <v>Очікую</v>
      </c>
      <c r="V62" s="49" t="str">
        <f t="shared" ca="1" si="0"/>
        <v>Очікую</v>
      </c>
      <c r="W62" s="36"/>
      <c r="X62" s="42"/>
    </row>
    <row r="63" spans="1:24" s="12" customFormat="1" ht="15" customHeight="1" x14ac:dyDescent="0.25">
      <c r="A63" s="43"/>
      <c r="B63" s="34"/>
      <c r="C63" s="47"/>
      <c r="D63" s="47">
        <v>54</v>
      </c>
      <c r="E63" s="48"/>
      <c r="F63" s="47"/>
      <c r="G63" s="47"/>
      <c r="H63" s="47"/>
      <c r="I63" s="47"/>
      <c r="J63" s="47"/>
      <c r="K63" s="47"/>
      <c r="L63" s="47"/>
      <c r="M63" s="47"/>
      <c r="N63" s="47"/>
      <c r="O63" s="47"/>
      <c r="P63" s="47"/>
      <c r="Q63" s="47"/>
      <c r="R63" s="47"/>
      <c r="S63" s="47"/>
      <c r="T63" s="47"/>
      <c r="U63" s="49" t="str">
        <f ca="1">IF(COUNTIF(OFFSET($E63,0,1):OFFSET(U63,0,-1),"=*")&gt;0,IF($C63="К","-"," - "),IF(COUNTIF(OFFSET($E63,0,1):OFFSET(U63,0,-1),"&lt;4")&gt;0,IF(C63="К","-"," - "),(IFERROR(AVERAGE(OFFSET($E63,0,1):OFFSET(U63,0,-1)),"Очікую"))))</f>
        <v>Очікую</v>
      </c>
      <c r="V63" s="49" t="str">
        <f t="shared" ca="1" si="0"/>
        <v>Очікую</v>
      </c>
      <c r="W63" s="36"/>
      <c r="X63" s="42"/>
    </row>
    <row r="64" spans="1:24" s="12" customFormat="1" ht="15" customHeight="1" x14ac:dyDescent="0.25">
      <c r="A64" s="43"/>
      <c r="B64" s="34"/>
      <c r="C64" s="47"/>
      <c r="D64" s="47">
        <v>55</v>
      </c>
      <c r="E64" s="48"/>
      <c r="F64" s="47"/>
      <c r="G64" s="47"/>
      <c r="H64" s="47"/>
      <c r="I64" s="47"/>
      <c r="J64" s="47"/>
      <c r="K64" s="47"/>
      <c r="L64" s="47"/>
      <c r="M64" s="47"/>
      <c r="N64" s="47"/>
      <c r="O64" s="47"/>
      <c r="P64" s="47"/>
      <c r="Q64" s="47"/>
      <c r="R64" s="47"/>
      <c r="S64" s="47"/>
      <c r="T64" s="47"/>
      <c r="U64" s="49" t="str">
        <f ca="1">IF(COUNTIF(OFFSET($E64,0,1):OFFSET(U64,0,-1),"=*")&gt;0,IF($C64="К","-"," - "),IF(COUNTIF(OFFSET($E64,0,1):OFFSET(U64,0,-1),"&lt;4")&gt;0,IF(C64="К","-"," - "),(IFERROR(AVERAGE(OFFSET($E64,0,1):OFFSET(U64,0,-1)),"Очікую"))))</f>
        <v>Очікую</v>
      </c>
      <c r="V64" s="49" t="str">
        <f t="shared" ca="1" si="0"/>
        <v>Очікую</v>
      </c>
      <c r="W64" s="36"/>
      <c r="X64" s="42"/>
    </row>
    <row r="65" spans="1:24" s="12" customFormat="1" ht="15" customHeight="1" x14ac:dyDescent="0.25">
      <c r="A65" s="43"/>
      <c r="B65" s="34"/>
      <c r="C65" s="47"/>
      <c r="D65" s="47">
        <v>56</v>
      </c>
      <c r="E65" s="48"/>
      <c r="F65" s="47"/>
      <c r="G65" s="47"/>
      <c r="H65" s="47"/>
      <c r="I65" s="47"/>
      <c r="J65" s="47"/>
      <c r="K65" s="47"/>
      <c r="L65" s="47"/>
      <c r="M65" s="47"/>
      <c r="N65" s="47"/>
      <c r="O65" s="47"/>
      <c r="P65" s="47"/>
      <c r="Q65" s="47"/>
      <c r="R65" s="47"/>
      <c r="S65" s="47"/>
      <c r="T65" s="47"/>
      <c r="U65" s="49" t="str">
        <f ca="1">IF(COUNTIF(OFFSET($E65,0,1):OFFSET(U65,0,-1),"=*")&gt;0,IF($C65="К","-"," - "),IF(COUNTIF(OFFSET($E65,0,1):OFFSET(U65,0,-1),"&lt;4")&gt;0,IF(C65="К","-"," - "),(IFERROR(AVERAGE(OFFSET($E65,0,1):OFFSET(U65,0,-1)),"Очікую"))))</f>
        <v>Очікую</v>
      </c>
      <c r="V65" s="49" t="str">
        <f t="shared" ca="1" si="0"/>
        <v>Очікую</v>
      </c>
      <c r="W65" s="36"/>
      <c r="X65" s="42"/>
    </row>
    <row r="66" spans="1:24" s="12" customFormat="1" ht="15" customHeight="1" x14ac:dyDescent="0.25">
      <c r="A66" s="43"/>
      <c r="B66" s="34"/>
      <c r="C66" s="47"/>
      <c r="D66" s="47">
        <v>57</v>
      </c>
      <c r="E66" s="48"/>
      <c r="F66" s="47"/>
      <c r="G66" s="47"/>
      <c r="H66" s="47"/>
      <c r="I66" s="47"/>
      <c r="J66" s="47"/>
      <c r="K66" s="47"/>
      <c r="L66" s="47"/>
      <c r="M66" s="47"/>
      <c r="N66" s="47"/>
      <c r="O66" s="47"/>
      <c r="P66" s="47"/>
      <c r="Q66" s="47"/>
      <c r="R66" s="47"/>
      <c r="S66" s="47"/>
      <c r="T66" s="47"/>
      <c r="U66" s="49" t="str">
        <f ca="1">IF(COUNTIF(OFFSET($E66,0,1):OFFSET(U66,0,-1),"=*")&gt;0,IF($C66="К","-"," - "),IF(COUNTIF(OFFSET($E66,0,1):OFFSET(U66,0,-1),"&lt;4")&gt;0,IF(C66="К","-"," - "),(IFERROR(AVERAGE(OFFSET($E66,0,1):OFFSET(U66,0,-1)),"Очікую"))))</f>
        <v>Очікую</v>
      </c>
      <c r="V66" s="49" t="str">
        <f t="shared" ca="1" si="0"/>
        <v>Очікую</v>
      </c>
      <c r="W66" s="36"/>
      <c r="X66" s="42"/>
    </row>
    <row r="67" spans="1:24" s="12" customFormat="1" ht="15" customHeight="1" x14ac:dyDescent="0.25">
      <c r="A67" s="43"/>
      <c r="B67" s="34"/>
      <c r="C67" s="47"/>
      <c r="D67" s="47">
        <v>58</v>
      </c>
      <c r="E67" s="48"/>
      <c r="F67" s="47"/>
      <c r="G67" s="47"/>
      <c r="H67" s="47"/>
      <c r="I67" s="47"/>
      <c r="J67" s="47"/>
      <c r="K67" s="47"/>
      <c r="L67" s="47"/>
      <c r="M67" s="47"/>
      <c r="N67" s="47"/>
      <c r="O67" s="47"/>
      <c r="P67" s="47"/>
      <c r="Q67" s="47"/>
      <c r="R67" s="47"/>
      <c r="S67" s="47"/>
      <c r="T67" s="47"/>
      <c r="U67" s="49" t="str">
        <f ca="1">IF(COUNTIF(OFFSET($E67,0,1):OFFSET(U67,0,-1),"=*")&gt;0,IF($C67="К","-"," - "),IF(COUNTIF(OFFSET($E67,0,1):OFFSET(U67,0,-1),"&lt;4")&gt;0,IF(C67="К","-"," - "),(IFERROR(AVERAGE(OFFSET($E67,0,1):OFFSET(U67,0,-1)),"Очікую"))))</f>
        <v>Очікую</v>
      </c>
      <c r="V67" s="49" t="str">
        <f t="shared" ca="1" si="0"/>
        <v>Очікую</v>
      </c>
      <c r="W67" s="36"/>
      <c r="X67" s="42"/>
    </row>
    <row r="68" spans="1:24" s="12" customFormat="1" ht="15" customHeight="1" x14ac:dyDescent="0.25">
      <c r="A68" s="43"/>
      <c r="B68" s="34"/>
      <c r="C68" s="47"/>
      <c r="D68" s="47">
        <v>59</v>
      </c>
      <c r="E68" s="48"/>
      <c r="F68" s="47"/>
      <c r="G68" s="47"/>
      <c r="H68" s="47"/>
      <c r="I68" s="47"/>
      <c r="J68" s="47"/>
      <c r="K68" s="47"/>
      <c r="L68" s="47"/>
      <c r="M68" s="47"/>
      <c r="N68" s="47"/>
      <c r="O68" s="47"/>
      <c r="P68" s="47"/>
      <c r="Q68" s="47"/>
      <c r="R68" s="47"/>
      <c r="S68" s="47"/>
      <c r="T68" s="47"/>
      <c r="U68" s="49" t="str">
        <f ca="1">IF(COUNTIF(OFFSET($E68,0,1):OFFSET(U68,0,-1),"=*")&gt;0,IF($C68="К","-"," - "),IF(COUNTIF(OFFSET($E68,0,1):OFFSET(U68,0,-1),"&lt;4")&gt;0,IF(C68="К","-"," - "),(IFERROR(AVERAGE(OFFSET($E68,0,1):OFFSET(U68,0,-1)),"Очікую"))))</f>
        <v>Очікую</v>
      </c>
      <c r="V68" s="49" t="str">
        <f t="shared" ca="1" si="0"/>
        <v>Очікую</v>
      </c>
      <c r="W68" s="36"/>
      <c r="X68" s="42"/>
    </row>
    <row r="69" spans="1:24" s="12" customFormat="1" ht="15" customHeight="1" x14ac:dyDescent="0.25">
      <c r="A69" s="43"/>
      <c r="B69" s="34"/>
      <c r="C69" s="47"/>
      <c r="D69" s="47">
        <v>60</v>
      </c>
      <c r="E69" s="48"/>
      <c r="F69" s="47"/>
      <c r="G69" s="47"/>
      <c r="H69" s="47"/>
      <c r="I69" s="47"/>
      <c r="J69" s="47"/>
      <c r="K69" s="47"/>
      <c r="L69" s="47"/>
      <c r="M69" s="47"/>
      <c r="N69" s="47"/>
      <c r="O69" s="47"/>
      <c r="P69" s="47"/>
      <c r="Q69" s="47"/>
      <c r="R69" s="47"/>
      <c r="S69" s="47"/>
      <c r="T69" s="47"/>
      <c r="U69" s="49" t="str">
        <f ca="1">IF(COUNTIF(OFFSET($E69,0,1):OFFSET(U69,0,-1),"=*")&gt;0,IF($C69="К","-"," - "),IF(COUNTIF(OFFSET($E69,0,1):OFFSET(U69,0,-1),"&lt;4")&gt;0,IF(C69="К","-"," - "),(IFERROR(AVERAGE(OFFSET($E69,0,1):OFFSET(U69,0,-1)),"Очікую"))))</f>
        <v>Очікую</v>
      </c>
      <c r="V69" s="49" t="str">
        <f t="shared" ca="1" si="0"/>
        <v>Очікую</v>
      </c>
      <c r="W69" s="36"/>
      <c r="X69" s="42"/>
    </row>
    <row r="70" spans="1:24" s="12" customFormat="1" ht="15" customHeight="1" x14ac:dyDescent="0.25">
      <c r="A70" s="43"/>
      <c r="B70" s="34"/>
      <c r="C70" s="47"/>
      <c r="D70" s="47">
        <v>61</v>
      </c>
      <c r="E70" s="48"/>
      <c r="F70" s="47"/>
      <c r="G70" s="47"/>
      <c r="H70" s="47"/>
      <c r="I70" s="47"/>
      <c r="J70" s="47"/>
      <c r="K70" s="47"/>
      <c r="L70" s="47"/>
      <c r="M70" s="47"/>
      <c r="N70" s="47"/>
      <c r="O70" s="47"/>
      <c r="P70" s="47"/>
      <c r="Q70" s="47"/>
      <c r="R70" s="47"/>
      <c r="S70" s="47"/>
      <c r="T70" s="47"/>
      <c r="U70" s="49" t="str">
        <f ca="1">IF(COUNTIF(OFFSET($E70,0,1):OFFSET(U70,0,-1),"=*")&gt;0,IF($C70="К","-"," - "),IF(COUNTIF(OFFSET($E70,0,1):OFFSET(U70,0,-1),"&lt;4")&gt;0,IF(C70="К","-"," - "),(IFERROR(AVERAGE(OFFSET($E70,0,1):OFFSET(U70,0,-1)),"Очікую"))))</f>
        <v>Очікую</v>
      </c>
      <c r="V70" s="49" t="str">
        <f t="shared" ca="1" si="0"/>
        <v>Очікую</v>
      </c>
      <c r="W70" s="36"/>
      <c r="X70" s="42"/>
    </row>
    <row r="71" spans="1:24" s="12" customFormat="1" ht="15" customHeight="1" x14ac:dyDescent="0.25">
      <c r="A71" s="43"/>
      <c r="B71" s="34"/>
      <c r="C71" s="47"/>
      <c r="D71" s="47">
        <v>62</v>
      </c>
      <c r="E71" s="48"/>
      <c r="F71" s="47"/>
      <c r="G71" s="47"/>
      <c r="H71" s="47"/>
      <c r="I71" s="47"/>
      <c r="J71" s="47"/>
      <c r="K71" s="47"/>
      <c r="L71" s="47"/>
      <c r="M71" s="47"/>
      <c r="N71" s="47"/>
      <c r="O71" s="47"/>
      <c r="P71" s="47"/>
      <c r="Q71" s="47"/>
      <c r="R71" s="47"/>
      <c r="S71" s="47"/>
      <c r="T71" s="47"/>
      <c r="U71" s="49" t="str">
        <f ca="1">IF(COUNTIF(OFFSET($E71,0,1):OFFSET(U71,0,-1),"=*")&gt;0,IF($C71="К","-"," - "),IF(COUNTIF(OFFSET($E71,0,1):OFFSET(U71,0,-1),"&lt;4")&gt;0,IF(C71="К","-"," - "),(IFERROR(AVERAGE(OFFSET($E71,0,1):OFFSET(U71,0,-1)),"Очікую"))))</f>
        <v>Очікую</v>
      </c>
      <c r="V71" s="49" t="str">
        <f t="shared" ca="1" si="0"/>
        <v>Очікую</v>
      </c>
      <c r="W71" s="36"/>
      <c r="X71" s="42"/>
    </row>
    <row r="72" spans="1:24" s="12" customFormat="1" ht="15" customHeight="1" x14ac:dyDescent="0.25">
      <c r="A72" s="43"/>
      <c r="B72" s="34"/>
      <c r="C72" s="47"/>
      <c r="D72" s="47">
        <v>63</v>
      </c>
      <c r="E72" s="48"/>
      <c r="F72" s="47"/>
      <c r="G72" s="47"/>
      <c r="H72" s="47"/>
      <c r="I72" s="47"/>
      <c r="J72" s="47"/>
      <c r="K72" s="47"/>
      <c r="L72" s="47"/>
      <c r="M72" s="47"/>
      <c r="N72" s="47"/>
      <c r="O72" s="47"/>
      <c r="P72" s="47"/>
      <c r="Q72" s="47"/>
      <c r="R72" s="47"/>
      <c r="S72" s="47"/>
      <c r="T72" s="47"/>
      <c r="U72" s="49" t="str">
        <f ca="1">IF(COUNTIF(OFFSET($E72,0,1):OFFSET(U72,0,-1),"=*")&gt;0,IF($C72="К","-"," - "),IF(COUNTIF(OFFSET($E72,0,1):OFFSET(U72,0,-1),"&lt;4")&gt;0,IF(C72="К","-"," - "),(IFERROR(AVERAGE(OFFSET($E72,0,1):OFFSET(U72,0,-1)),"Очікую"))))</f>
        <v>Очікую</v>
      </c>
      <c r="V72" s="49" t="str">
        <f t="shared" ca="1" si="0"/>
        <v>Очікую</v>
      </c>
      <c r="W72" s="36"/>
      <c r="X72" s="42"/>
    </row>
    <row r="73" spans="1:24" s="12" customFormat="1" ht="15" customHeight="1" x14ac:dyDescent="0.25">
      <c r="A73" s="43"/>
      <c r="B73" s="34"/>
      <c r="C73" s="47"/>
      <c r="D73" s="47">
        <v>64</v>
      </c>
      <c r="E73" s="48"/>
      <c r="F73" s="47"/>
      <c r="G73" s="47"/>
      <c r="H73" s="47"/>
      <c r="I73" s="47"/>
      <c r="J73" s="47"/>
      <c r="K73" s="47"/>
      <c r="L73" s="47"/>
      <c r="M73" s="47"/>
      <c r="N73" s="47"/>
      <c r="O73" s="47"/>
      <c r="P73" s="47"/>
      <c r="Q73" s="47"/>
      <c r="R73" s="47"/>
      <c r="S73" s="47"/>
      <c r="T73" s="47"/>
      <c r="U73" s="49" t="str">
        <f ca="1">IF(COUNTIF(OFFSET($E73,0,1):OFFSET(U73,0,-1),"=*")&gt;0,IF($C73="К","-"," - "),IF(COUNTIF(OFFSET($E73,0,1):OFFSET(U73,0,-1),"&lt;4")&gt;0,IF(C73="К","-"," - "),(IFERROR(AVERAGE(OFFSET($E73,0,1):OFFSET(U73,0,-1)),"Очікую"))))</f>
        <v>Очікую</v>
      </c>
      <c r="V73" s="49" t="str">
        <f t="shared" ca="1" si="0"/>
        <v>Очікую</v>
      </c>
      <c r="W73" s="36"/>
      <c r="X73" s="42"/>
    </row>
    <row r="74" spans="1:24" s="12" customFormat="1" ht="15" customHeight="1" x14ac:dyDescent="0.25">
      <c r="A74" s="43"/>
      <c r="B74" s="34"/>
      <c r="C74" s="47"/>
      <c r="D74" s="47">
        <v>65</v>
      </c>
      <c r="E74" s="48"/>
      <c r="F74" s="47"/>
      <c r="G74" s="47"/>
      <c r="H74" s="47"/>
      <c r="I74" s="47"/>
      <c r="J74" s="47"/>
      <c r="K74" s="47"/>
      <c r="L74" s="47"/>
      <c r="M74" s="47"/>
      <c r="N74" s="47"/>
      <c r="O74" s="47"/>
      <c r="P74" s="47"/>
      <c r="Q74" s="47"/>
      <c r="R74" s="47"/>
      <c r="S74" s="47"/>
      <c r="T74" s="47"/>
      <c r="U74" s="49" t="str">
        <f ca="1">IF(COUNTIF(OFFSET($E74,0,1):OFFSET(U74,0,-1),"=*")&gt;0,IF($C74="К","-"," - "),IF(COUNTIF(OFFSET($E74,0,1):OFFSET(U74,0,-1),"&lt;4")&gt;0,IF(C74="К","-"," - "),(IFERROR(AVERAGE(OFFSET($E74,0,1):OFFSET(U74,0,-1)),"Очікую"))))</f>
        <v>Очікую</v>
      </c>
      <c r="V74" s="49" t="str">
        <f t="shared" ca="1" si="0"/>
        <v>Очікую</v>
      </c>
      <c r="W74" s="36"/>
      <c r="X74" s="42"/>
    </row>
    <row r="75" spans="1:24" s="12" customFormat="1" ht="15" customHeight="1" x14ac:dyDescent="0.25">
      <c r="A75" s="43"/>
      <c r="B75" s="34"/>
      <c r="C75" s="47"/>
      <c r="D75" s="47">
        <v>66</v>
      </c>
      <c r="E75" s="48"/>
      <c r="F75" s="47"/>
      <c r="G75" s="47"/>
      <c r="H75" s="47"/>
      <c r="I75" s="47"/>
      <c r="J75" s="47"/>
      <c r="K75" s="47"/>
      <c r="L75" s="47"/>
      <c r="M75" s="47"/>
      <c r="N75" s="47"/>
      <c r="O75" s="47"/>
      <c r="P75" s="47"/>
      <c r="Q75" s="47"/>
      <c r="R75" s="47"/>
      <c r="S75" s="47"/>
      <c r="T75" s="47"/>
      <c r="U75" s="49" t="str">
        <f ca="1">IF(COUNTIF(OFFSET($E75,0,1):OFFSET(U75,0,-1),"=*")&gt;0,IF($C75="К","-"," - "),IF(COUNTIF(OFFSET($E75,0,1):OFFSET(U75,0,-1),"&lt;4")&gt;0,IF(C75="К","-"," - "),(IFERROR(AVERAGE(OFFSET($E75,0,1):OFFSET(U75,0,-1)),"Очікую"))))</f>
        <v>Очікую</v>
      </c>
      <c r="V75" s="49" t="str">
        <f t="shared" ref="V75:V109" ca="1" si="1">IFERROR(U75/12*90,"Очікую")</f>
        <v>Очікую</v>
      </c>
      <c r="W75" s="36"/>
      <c r="X75" s="42"/>
    </row>
    <row r="76" spans="1:24" s="12" customFormat="1" ht="15" customHeight="1" x14ac:dyDescent="0.25">
      <c r="A76" s="43"/>
      <c r="B76" s="34"/>
      <c r="C76" s="47"/>
      <c r="D76" s="47">
        <v>67</v>
      </c>
      <c r="E76" s="48"/>
      <c r="F76" s="47"/>
      <c r="G76" s="47"/>
      <c r="H76" s="47"/>
      <c r="I76" s="47"/>
      <c r="J76" s="47"/>
      <c r="K76" s="47"/>
      <c r="L76" s="47"/>
      <c r="M76" s="47"/>
      <c r="N76" s="47"/>
      <c r="O76" s="47"/>
      <c r="P76" s="47"/>
      <c r="Q76" s="47"/>
      <c r="R76" s="47"/>
      <c r="S76" s="47"/>
      <c r="T76" s="47"/>
      <c r="U76" s="49" t="str">
        <f ca="1">IF(COUNTIF(OFFSET($E76,0,1):OFFSET(U76,0,-1),"=*")&gt;0,IF($C76="К","-"," - "),IF(COUNTIF(OFFSET($E76,0,1):OFFSET(U76,0,-1),"&lt;4")&gt;0,IF(C76="К","-"," - "),(IFERROR(AVERAGE(OFFSET($E76,0,1):OFFSET(U76,0,-1)),"Очікую"))))</f>
        <v>Очікую</v>
      </c>
      <c r="V76" s="49" t="str">
        <f t="shared" ca="1" si="1"/>
        <v>Очікую</v>
      </c>
      <c r="W76" s="36"/>
      <c r="X76" s="42"/>
    </row>
    <row r="77" spans="1:24" s="12" customFormat="1" ht="15" customHeight="1" x14ac:dyDescent="0.25">
      <c r="A77" s="43"/>
      <c r="B77" s="34"/>
      <c r="C77" s="47"/>
      <c r="D77" s="47">
        <v>68</v>
      </c>
      <c r="E77" s="48"/>
      <c r="F77" s="47"/>
      <c r="G77" s="47"/>
      <c r="H77" s="47"/>
      <c r="I77" s="47"/>
      <c r="J77" s="47"/>
      <c r="K77" s="47"/>
      <c r="L77" s="47"/>
      <c r="M77" s="47"/>
      <c r="N77" s="47"/>
      <c r="O77" s="47"/>
      <c r="P77" s="47"/>
      <c r="Q77" s="47"/>
      <c r="R77" s="47"/>
      <c r="S77" s="47"/>
      <c r="T77" s="47"/>
      <c r="U77" s="49" t="str">
        <f ca="1">IF(COUNTIF(OFFSET($E77,0,1):OFFSET(U77,0,-1),"=*")&gt;0,IF($C77="К","-"," - "),IF(COUNTIF(OFFSET($E77,0,1):OFFSET(U77,0,-1),"&lt;4")&gt;0,IF(C77="К","-"," - "),(IFERROR(AVERAGE(OFFSET($E77,0,1):OFFSET(U77,0,-1)),"Очікую"))))</f>
        <v>Очікую</v>
      </c>
      <c r="V77" s="49" t="str">
        <f t="shared" ca="1" si="1"/>
        <v>Очікую</v>
      </c>
      <c r="W77" s="36"/>
      <c r="X77" s="42"/>
    </row>
    <row r="78" spans="1:24" s="12" customFormat="1" ht="15" customHeight="1" x14ac:dyDescent="0.25">
      <c r="A78" s="43"/>
      <c r="B78" s="34"/>
      <c r="C78" s="47"/>
      <c r="D78" s="47">
        <v>69</v>
      </c>
      <c r="E78" s="48"/>
      <c r="F78" s="47"/>
      <c r="G78" s="47"/>
      <c r="H78" s="47"/>
      <c r="I78" s="47"/>
      <c r="J78" s="47"/>
      <c r="K78" s="47"/>
      <c r="L78" s="47"/>
      <c r="M78" s="47"/>
      <c r="N78" s="47"/>
      <c r="O78" s="47"/>
      <c r="P78" s="47"/>
      <c r="Q78" s="47"/>
      <c r="R78" s="47"/>
      <c r="S78" s="47"/>
      <c r="T78" s="47"/>
      <c r="U78" s="49" t="str">
        <f ca="1">IF(COUNTIF(OFFSET($E78,0,1):OFFSET(U78,0,-1),"=*")&gt;0,IF($C78="К","-"," - "),IF(COUNTIF(OFFSET($E78,0,1):OFFSET(U78,0,-1),"&lt;4")&gt;0,IF(C78="К","-"," - "),(IFERROR(AVERAGE(OFFSET($E78,0,1):OFFSET(U78,0,-1)),"Очікую"))))</f>
        <v>Очікую</v>
      </c>
      <c r="V78" s="49" t="str">
        <f t="shared" ca="1" si="1"/>
        <v>Очікую</v>
      </c>
      <c r="W78" s="36"/>
      <c r="X78" s="42"/>
    </row>
    <row r="79" spans="1:24" s="12" customFormat="1" ht="15" customHeight="1" x14ac:dyDescent="0.25">
      <c r="A79" s="43"/>
      <c r="B79" s="34"/>
      <c r="C79" s="47"/>
      <c r="D79" s="47">
        <v>70</v>
      </c>
      <c r="E79" s="48"/>
      <c r="F79" s="47"/>
      <c r="G79" s="47"/>
      <c r="H79" s="47"/>
      <c r="I79" s="47"/>
      <c r="J79" s="47"/>
      <c r="K79" s="47"/>
      <c r="L79" s="47"/>
      <c r="M79" s="47"/>
      <c r="N79" s="47"/>
      <c r="O79" s="47"/>
      <c r="P79" s="47"/>
      <c r="Q79" s="47"/>
      <c r="R79" s="47"/>
      <c r="S79" s="47"/>
      <c r="T79" s="47"/>
      <c r="U79" s="49" t="str">
        <f ca="1">IF(COUNTIF(OFFSET($E79,0,1):OFFSET(U79,0,-1),"=*")&gt;0,IF($C79="К","-"," - "),IF(COUNTIF(OFFSET($E79,0,1):OFFSET(U79,0,-1),"&lt;4")&gt;0,IF(C79="К","-"," - "),(IFERROR(AVERAGE(OFFSET($E79,0,1):OFFSET(U79,0,-1)),"Очікую"))))</f>
        <v>Очікую</v>
      </c>
      <c r="V79" s="49" t="str">
        <f t="shared" ca="1" si="1"/>
        <v>Очікую</v>
      </c>
      <c r="W79" s="36"/>
      <c r="X79" s="42"/>
    </row>
    <row r="80" spans="1:24" s="12" customFormat="1" ht="15" customHeight="1" x14ac:dyDescent="0.25">
      <c r="A80" s="43"/>
      <c r="B80" s="34"/>
      <c r="C80" s="47"/>
      <c r="D80" s="47">
        <v>71</v>
      </c>
      <c r="E80" s="48"/>
      <c r="F80" s="47"/>
      <c r="G80" s="47"/>
      <c r="H80" s="47"/>
      <c r="I80" s="47"/>
      <c r="J80" s="47"/>
      <c r="K80" s="47"/>
      <c r="L80" s="47"/>
      <c r="M80" s="47"/>
      <c r="N80" s="47"/>
      <c r="O80" s="47"/>
      <c r="P80" s="47"/>
      <c r="Q80" s="47"/>
      <c r="R80" s="47"/>
      <c r="S80" s="47"/>
      <c r="T80" s="47"/>
      <c r="U80" s="49" t="str">
        <f ca="1">IF(COUNTIF(OFFSET($E80,0,1):OFFSET(U80,0,-1),"=*")&gt;0,IF($C80="К","-"," - "),IF(COUNTIF(OFFSET($E80,0,1):OFFSET(U80,0,-1),"&lt;4")&gt;0,IF(C80="К","-"," - "),(IFERROR(AVERAGE(OFFSET($E80,0,1):OFFSET(U80,0,-1)),"Очікую"))))</f>
        <v>Очікую</v>
      </c>
      <c r="V80" s="49" t="str">
        <f t="shared" ca="1" si="1"/>
        <v>Очікую</v>
      </c>
      <c r="W80" s="36"/>
      <c r="X80" s="42"/>
    </row>
    <row r="81" spans="1:24" s="12" customFormat="1" ht="15" customHeight="1" x14ac:dyDescent="0.25">
      <c r="A81" s="43"/>
      <c r="B81" s="34"/>
      <c r="C81" s="47"/>
      <c r="D81" s="47">
        <v>72</v>
      </c>
      <c r="E81" s="48"/>
      <c r="F81" s="47"/>
      <c r="G81" s="47"/>
      <c r="H81" s="47"/>
      <c r="I81" s="47"/>
      <c r="J81" s="47"/>
      <c r="K81" s="47"/>
      <c r="L81" s="47"/>
      <c r="M81" s="47"/>
      <c r="N81" s="47"/>
      <c r="O81" s="47"/>
      <c r="P81" s="47"/>
      <c r="Q81" s="47"/>
      <c r="R81" s="47"/>
      <c r="S81" s="47"/>
      <c r="T81" s="47"/>
      <c r="U81" s="49" t="str">
        <f ca="1">IF(COUNTIF(OFFSET($E81,0,1):OFFSET(U81,0,-1),"=*")&gt;0,IF($C81="К","-"," - "),IF(COUNTIF(OFFSET($E81,0,1):OFFSET(U81,0,-1),"&lt;4")&gt;0,IF(C81="К","-"," - "),(IFERROR(AVERAGE(OFFSET($E81,0,1):OFFSET(U81,0,-1)),"Очікую"))))</f>
        <v>Очікую</v>
      </c>
      <c r="V81" s="49" t="str">
        <f t="shared" ca="1" si="1"/>
        <v>Очікую</v>
      </c>
      <c r="W81" s="36"/>
      <c r="X81" s="42"/>
    </row>
    <row r="82" spans="1:24" s="12" customFormat="1" ht="15" customHeight="1" x14ac:dyDescent="0.25">
      <c r="A82" s="43"/>
      <c r="B82" s="34"/>
      <c r="C82" s="47"/>
      <c r="D82" s="47">
        <v>73</v>
      </c>
      <c r="E82" s="48"/>
      <c r="F82" s="47"/>
      <c r="G82" s="47"/>
      <c r="H82" s="47"/>
      <c r="I82" s="47"/>
      <c r="J82" s="47"/>
      <c r="K82" s="47"/>
      <c r="L82" s="47"/>
      <c r="M82" s="47"/>
      <c r="N82" s="47"/>
      <c r="O82" s="47"/>
      <c r="P82" s="47"/>
      <c r="Q82" s="47"/>
      <c r="R82" s="47"/>
      <c r="S82" s="47"/>
      <c r="T82" s="47"/>
      <c r="U82" s="49" t="str">
        <f ca="1">IF(COUNTIF(OFFSET($E82,0,1):OFFSET(U82,0,-1),"=*")&gt;0,IF($C82="К","-"," - "),IF(COUNTIF(OFFSET($E82,0,1):OFFSET(U82,0,-1),"&lt;4")&gt;0,IF(C82="К","-"," - "),(IFERROR(AVERAGE(OFFSET($E82,0,1):OFFSET(U82,0,-1)),"Очікую"))))</f>
        <v>Очікую</v>
      </c>
      <c r="V82" s="49" t="str">
        <f t="shared" ca="1" si="1"/>
        <v>Очікую</v>
      </c>
      <c r="W82" s="36"/>
      <c r="X82" s="42"/>
    </row>
    <row r="83" spans="1:24" s="12" customFormat="1" ht="15" customHeight="1" x14ac:dyDescent="0.25">
      <c r="A83" s="43"/>
      <c r="B83" s="34"/>
      <c r="C83" s="47"/>
      <c r="D83" s="47">
        <v>74</v>
      </c>
      <c r="E83" s="48"/>
      <c r="F83" s="47"/>
      <c r="G83" s="47"/>
      <c r="H83" s="47"/>
      <c r="I83" s="47"/>
      <c r="J83" s="47"/>
      <c r="K83" s="47"/>
      <c r="L83" s="47"/>
      <c r="M83" s="47"/>
      <c r="N83" s="47"/>
      <c r="O83" s="47"/>
      <c r="P83" s="47"/>
      <c r="Q83" s="47"/>
      <c r="R83" s="47"/>
      <c r="S83" s="47"/>
      <c r="T83" s="47"/>
      <c r="U83" s="49" t="str">
        <f ca="1">IF(COUNTIF(OFFSET($E83,0,1):OFFSET(U83,0,-1),"=*")&gt;0,IF($C83="К","-"," - "),IF(COUNTIF(OFFSET($E83,0,1):OFFSET(U83,0,-1),"&lt;4")&gt;0,IF(C83="К","-"," - "),(IFERROR(AVERAGE(OFFSET($E83,0,1):OFFSET(U83,0,-1)),"Очікую"))))</f>
        <v>Очікую</v>
      </c>
      <c r="V83" s="49" t="str">
        <f t="shared" ca="1" si="1"/>
        <v>Очікую</v>
      </c>
      <c r="W83" s="36"/>
      <c r="X83" s="42"/>
    </row>
    <row r="84" spans="1:24" s="12" customFormat="1" ht="15" customHeight="1" x14ac:dyDescent="0.25">
      <c r="A84" s="43"/>
      <c r="B84" s="34"/>
      <c r="C84" s="47"/>
      <c r="D84" s="47">
        <v>75</v>
      </c>
      <c r="E84" s="48"/>
      <c r="F84" s="47"/>
      <c r="G84" s="47"/>
      <c r="H84" s="47"/>
      <c r="I84" s="47"/>
      <c r="J84" s="47"/>
      <c r="K84" s="47"/>
      <c r="L84" s="47"/>
      <c r="M84" s="47"/>
      <c r="N84" s="47"/>
      <c r="O84" s="47"/>
      <c r="P84" s="47"/>
      <c r="Q84" s="47"/>
      <c r="R84" s="47"/>
      <c r="S84" s="47"/>
      <c r="T84" s="47"/>
      <c r="U84" s="49" t="str">
        <f ca="1">IF(COUNTIF(OFFSET($E84,0,1):OFFSET(U84,0,-1),"=*")&gt;0,IF($C84="К","-"," - "),IF(COUNTIF(OFFSET($E84,0,1):OFFSET(U84,0,-1),"&lt;4")&gt;0,IF(C84="К","-"," - "),(IFERROR(AVERAGE(OFFSET($E84,0,1):OFFSET(U84,0,-1)),"Очікую"))))</f>
        <v>Очікую</v>
      </c>
      <c r="V84" s="49" t="str">
        <f t="shared" ca="1" si="1"/>
        <v>Очікую</v>
      </c>
      <c r="W84" s="36"/>
      <c r="X84" s="42"/>
    </row>
    <row r="85" spans="1:24" s="12" customFormat="1" ht="15" customHeight="1" x14ac:dyDescent="0.25">
      <c r="A85" s="43"/>
      <c r="B85" s="34"/>
      <c r="C85" s="47"/>
      <c r="D85" s="47">
        <v>76</v>
      </c>
      <c r="E85" s="48"/>
      <c r="F85" s="47"/>
      <c r="G85" s="47"/>
      <c r="H85" s="47"/>
      <c r="I85" s="47"/>
      <c r="J85" s="47"/>
      <c r="K85" s="47"/>
      <c r="L85" s="47"/>
      <c r="M85" s="47"/>
      <c r="N85" s="47"/>
      <c r="O85" s="47"/>
      <c r="P85" s="47"/>
      <c r="Q85" s="47"/>
      <c r="R85" s="47"/>
      <c r="S85" s="47"/>
      <c r="T85" s="47"/>
      <c r="U85" s="49" t="str">
        <f ca="1">IF(COUNTIF(OFFSET($E85,0,1):OFFSET(U85,0,-1),"=*")&gt;0,IF($C85="К","-"," - "),IF(COUNTIF(OFFSET($E85,0,1):OFFSET(U85,0,-1),"&lt;4")&gt;0,IF(C85="К","-"," - "),(IFERROR(AVERAGE(OFFSET($E85,0,1):OFFSET(U85,0,-1)),"Очікую"))))</f>
        <v>Очікую</v>
      </c>
      <c r="V85" s="49" t="str">
        <f t="shared" ca="1" si="1"/>
        <v>Очікую</v>
      </c>
      <c r="W85" s="36"/>
      <c r="X85" s="42"/>
    </row>
    <row r="86" spans="1:24" s="12" customFormat="1" ht="15" customHeight="1" x14ac:dyDescent="0.25">
      <c r="A86" s="43"/>
      <c r="B86" s="34"/>
      <c r="C86" s="47"/>
      <c r="D86" s="47">
        <v>77</v>
      </c>
      <c r="E86" s="48"/>
      <c r="F86" s="47"/>
      <c r="G86" s="47"/>
      <c r="H86" s="47"/>
      <c r="I86" s="47"/>
      <c r="J86" s="47"/>
      <c r="K86" s="47"/>
      <c r="L86" s="47"/>
      <c r="M86" s="47"/>
      <c r="N86" s="47"/>
      <c r="O86" s="47"/>
      <c r="P86" s="47"/>
      <c r="Q86" s="47"/>
      <c r="R86" s="47"/>
      <c r="S86" s="47"/>
      <c r="T86" s="47"/>
      <c r="U86" s="49" t="str">
        <f ca="1">IF(COUNTIF(OFFSET($E86,0,1):OFFSET(U86,0,-1),"=*")&gt;0,IF($C86="К","-"," - "),IF(COUNTIF(OFFSET($E86,0,1):OFFSET(U86,0,-1),"&lt;4")&gt;0,IF(C86="К","-"," - "),(IFERROR(AVERAGE(OFFSET($E86,0,1):OFFSET(U86,0,-1)),"Очікую"))))</f>
        <v>Очікую</v>
      </c>
      <c r="V86" s="49" t="str">
        <f t="shared" ca="1" si="1"/>
        <v>Очікую</v>
      </c>
      <c r="W86" s="36"/>
      <c r="X86" s="42"/>
    </row>
    <row r="87" spans="1:24" s="12" customFormat="1" ht="15" customHeight="1" x14ac:dyDescent="0.25">
      <c r="A87" s="43"/>
      <c r="B87" s="34"/>
      <c r="C87" s="47"/>
      <c r="D87" s="47">
        <v>78</v>
      </c>
      <c r="E87" s="48"/>
      <c r="F87" s="47"/>
      <c r="G87" s="47"/>
      <c r="H87" s="47"/>
      <c r="I87" s="47"/>
      <c r="J87" s="47"/>
      <c r="K87" s="47"/>
      <c r="L87" s="47"/>
      <c r="M87" s="47"/>
      <c r="N87" s="47"/>
      <c r="O87" s="47"/>
      <c r="P87" s="47"/>
      <c r="Q87" s="47"/>
      <c r="R87" s="47"/>
      <c r="S87" s="47"/>
      <c r="T87" s="47"/>
      <c r="U87" s="49" t="str">
        <f ca="1">IF(COUNTIF(OFFSET($E87,0,1):OFFSET(U87,0,-1),"=*")&gt;0,IF($C87="К","-"," - "),IF(COUNTIF(OFFSET($E87,0,1):OFFSET(U87,0,-1),"&lt;4")&gt;0,IF(C87="К","-"," - "),(IFERROR(AVERAGE(OFFSET($E87,0,1):OFFSET(U87,0,-1)),"Очікую"))))</f>
        <v>Очікую</v>
      </c>
      <c r="V87" s="49" t="str">
        <f t="shared" ca="1" si="1"/>
        <v>Очікую</v>
      </c>
      <c r="W87" s="36"/>
      <c r="X87" s="42"/>
    </row>
    <row r="88" spans="1:24" s="12" customFormat="1" ht="15" customHeight="1" x14ac:dyDescent="0.25">
      <c r="A88" s="43"/>
      <c r="B88" s="34"/>
      <c r="C88" s="47"/>
      <c r="D88" s="47">
        <v>79</v>
      </c>
      <c r="E88" s="48"/>
      <c r="F88" s="47"/>
      <c r="G88" s="47"/>
      <c r="H88" s="47"/>
      <c r="I88" s="47"/>
      <c r="J88" s="47"/>
      <c r="K88" s="47"/>
      <c r="L88" s="47"/>
      <c r="M88" s="47"/>
      <c r="N88" s="47"/>
      <c r="O88" s="47"/>
      <c r="P88" s="47"/>
      <c r="Q88" s="47"/>
      <c r="R88" s="47"/>
      <c r="S88" s="47"/>
      <c r="T88" s="47"/>
      <c r="U88" s="49" t="str">
        <f ca="1">IF(COUNTIF(OFFSET($E88,0,1):OFFSET(U88,0,-1),"=*")&gt;0,IF($C88="К","-"," - "),IF(COUNTIF(OFFSET($E88,0,1):OFFSET(U88,0,-1),"&lt;4")&gt;0,IF(C88="К","-"," - "),(IFERROR(AVERAGE(OFFSET($E88,0,1):OFFSET(U88,0,-1)),"Очікую"))))</f>
        <v>Очікую</v>
      </c>
      <c r="V88" s="49" t="str">
        <f t="shared" ca="1" si="1"/>
        <v>Очікую</v>
      </c>
      <c r="W88" s="36"/>
      <c r="X88" s="42"/>
    </row>
    <row r="89" spans="1:24" s="12" customFormat="1" ht="15" customHeight="1" x14ac:dyDescent="0.25">
      <c r="A89" s="43"/>
      <c r="B89" s="34"/>
      <c r="C89" s="47"/>
      <c r="D89" s="47">
        <v>80</v>
      </c>
      <c r="E89" s="48"/>
      <c r="F89" s="47"/>
      <c r="G89" s="47"/>
      <c r="H89" s="47"/>
      <c r="I89" s="47"/>
      <c r="J89" s="47"/>
      <c r="K89" s="47"/>
      <c r="L89" s="47"/>
      <c r="M89" s="47"/>
      <c r="N89" s="47"/>
      <c r="O89" s="47"/>
      <c r="P89" s="47"/>
      <c r="Q89" s="47"/>
      <c r="R89" s="47"/>
      <c r="S89" s="47"/>
      <c r="T89" s="47"/>
      <c r="U89" s="49" t="str">
        <f ca="1">IF(COUNTIF(OFFSET($E89,0,1):OFFSET(U89,0,-1),"=*")&gt;0,IF($C89="К","-"," - "),IF(COUNTIF(OFFSET($E89,0,1):OFFSET(U89,0,-1),"&lt;4")&gt;0,IF(C89="К","-"," - "),(IFERROR(AVERAGE(OFFSET($E89,0,1):OFFSET(U89,0,-1)),"Очікую"))))</f>
        <v>Очікую</v>
      </c>
      <c r="V89" s="49" t="str">
        <f t="shared" ca="1" si="1"/>
        <v>Очікую</v>
      </c>
      <c r="W89" s="36"/>
      <c r="X89" s="42"/>
    </row>
    <row r="90" spans="1:24" s="12" customFormat="1" ht="15" customHeight="1" x14ac:dyDescent="0.25">
      <c r="A90" s="43"/>
      <c r="B90" s="34"/>
      <c r="C90" s="47"/>
      <c r="D90" s="47">
        <v>81</v>
      </c>
      <c r="E90" s="48"/>
      <c r="F90" s="47"/>
      <c r="G90" s="47"/>
      <c r="H90" s="47"/>
      <c r="I90" s="47"/>
      <c r="J90" s="47"/>
      <c r="K90" s="47"/>
      <c r="L90" s="47"/>
      <c r="M90" s="47"/>
      <c r="N90" s="47"/>
      <c r="O90" s="47"/>
      <c r="P90" s="47"/>
      <c r="Q90" s="47"/>
      <c r="R90" s="47"/>
      <c r="S90" s="47"/>
      <c r="T90" s="47"/>
      <c r="U90" s="49" t="str">
        <f ca="1">IF(COUNTIF(OFFSET($E90,0,1):OFFSET(U90,0,-1),"=*")&gt;0,IF($C90="К","-"," - "),IF(COUNTIF(OFFSET($E90,0,1):OFFSET(U90,0,-1),"&lt;4")&gt;0,IF(C90="К","-"," - "),(IFERROR(AVERAGE(OFFSET($E90,0,1):OFFSET(U90,0,-1)),"Очікую"))))</f>
        <v>Очікую</v>
      </c>
      <c r="V90" s="49" t="str">
        <f t="shared" ca="1" si="1"/>
        <v>Очікую</v>
      </c>
      <c r="W90" s="36"/>
      <c r="X90" s="42"/>
    </row>
    <row r="91" spans="1:24" s="12" customFormat="1" ht="15" customHeight="1" x14ac:dyDescent="0.25">
      <c r="A91" s="43"/>
      <c r="B91" s="34"/>
      <c r="C91" s="47"/>
      <c r="D91" s="47">
        <v>82</v>
      </c>
      <c r="E91" s="48"/>
      <c r="F91" s="47"/>
      <c r="G91" s="47"/>
      <c r="H91" s="47"/>
      <c r="I91" s="47"/>
      <c r="J91" s="47"/>
      <c r="K91" s="47"/>
      <c r="L91" s="47"/>
      <c r="M91" s="47"/>
      <c r="N91" s="47"/>
      <c r="O91" s="47"/>
      <c r="P91" s="47"/>
      <c r="Q91" s="47"/>
      <c r="R91" s="47"/>
      <c r="S91" s="47"/>
      <c r="T91" s="47"/>
      <c r="U91" s="49" t="str">
        <f ca="1">IF(COUNTIF(OFFSET($E91,0,1):OFFSET(U91,0,-1),"=*")&gt;0,IF($C91="К","-"," - "),IF(COUNTIF(OFFSET($E91,0,1):OFFSET(U91,0,-1),"&lt;4")&gt;0,IF(C91="К","-"," - "),(IFERROR(AVERAGE(OFFSET($E91,0,1):OFFSET(U91,0,-1)),"Очікую"))))</f>
        <v>Очікую</v>
      </c>
      <c r="V91" s="49" t="str">
        <f t="shared" ca="1" si="1"/>
        <v>Очікую</v>
      </c>
      <c r="W91" s="36"/>
      <c r="X91" s="42"/>
    </row>
    <row r="92" spans="1:24" s="12" customFormat="1" ht="15" customHeight="1" x14ac:dyDescent="0.25">
      <c r="A92" s="43"/>
      <c r="B92" s="34"/>
      <c r="C92" s="47"/>
      <c r="D92" s="47">
        <v>83</v>
      </c>
      <c r="E92" s="48"/>
      <c r="F92" s="47"/>
      <c r="G92" s="47"/>
      <c r="H92" s="47"/>
      <c r="I92" s="47"/>
      <c r="J92" s="47"/>
      <c r="K92" s="47"/>
      <c r="L92" s="47"/>
      <c r="M92" s="47"/>
      <c r="N92" s="47"/>
      <c r="O92" s="47"/>
      <c r="P92" s="47"/>
      <c r="Q92" s="47"/>
      <c r="R92" s="47"/>
      <c r="S92" s="47"/>
      <c r="T92" s="47"/>
      <c r="U92" s="49" t="str">
        <f ca="1">IF(COUNTIF(OFFSET($E92,0,1):OFFSET(U92,0,-1),"=*")&gt;0,IF($C92="К","-"," - "),IF(COUNTIF(OFFSET($E92,0,1):OFFSET(U92,0,-1),"&lt;4")&gt;0,IF(C92="К","-"," - "),(IFERROR(AVERAGE(OFFSET($E92,0,1):OFFSET(U92,0,-1)),"Очікую"))))</f>
        <v>Очікую</v>
      </c>
      <c r="V92" s="49" t="str">
        <f t="shared" ca="1" si="1"/>
        <v>Очікую</v>
      </c>
      <c r="W92" s="36"/>
      <c r="X92" s="42"/>
    </row>
    <row r="93" spans="1:24" s="12" customFormat="1" ht="15" customHeight="1" x14ac:dyDescent="0.25">
      <c r="A93" s="43"/>
      <c r="B93" s="34"/>
      <c r="C93" s="47"/>
      <c r="D93" s="47">
        <v>84</v>
      </c>
      <c r="E93" s="48"/>
      <c r="F93" s="47"/>
      <c r="G93" s="47"/>
      <c r="H93" s="47"/>
      <c r="I93" s="47"/>
      <c r="J93" s="47"/>
      <c r="K93" s="47"/>
      <c r="L93" s="47"/>
      <c r="M93" s="47"/>
      <c r="N93" s="47"/>
      <c r="O93" s="47"/>
      <c r="P93" s="47"/>
      <c r="Q93" s="47"/>
      <c r="R93" s="47"/>
      <c r="S93" s="47"/>
      <c r="T93" s="47"/>
      <c r="U93" s="49" t="str">
        <f ca="1">IF(COUNTIF(OFFSET($E93,0,1):OFFSET(U93,0,-1),"=*")&gt;0,IF($C93="К","-"," - "),IF(COUNTIF(OFFSET($E93,0,1):OFFSET(U93,0,-1),"&lt;4")&gt;0,IF(C93="К","-"," - "),(IFERROR(AVERAGE(OFFSET($E93,0,1):OFFSET(U93,0,-1)),"Очікую"))))</f>
        <v>Очікую</v>
      </c>
      <c r="V93" s="49" t="str">
        <f t="shared" ca="1" si="1"/>
        <v>Очікую</v>
      </c>
      <c r="W93" s="36"/>
      <c r="X93" s="42"/>
    </row>
    <row r="94" spans="1:24" s="12" customFormat="1" ht="15" customHeight="1" x14ac:dyDescent="0.25">
      <c r="A94" s="43"/>
      <c r="B94" s="34"/>
      <c r="C94" s="47"/>
      <c r="D94" s="47">
        <v>85</v>
      </c>
      <c r="E94" s="48"/>
      <c r="F94" s="47"/>
      <c r="G94" s="47"/>
      <c r="H94" s="47"/>
      <c r="I94" s="47"/>
      <c r="J94" s="47"/>
      <c r="K94" s="47"/>
      <c r="L94" s="47"/>
      <c r="M94" s="47"/>
      <c r="N94" s="47"/>
      <c r="O94" s="47"/>
      <c r="P94" s="47"/>
      <c r="Q94" s="47"/>
      <c r="R94" s="47"/>
      <c r="S94" s="47"/>
      <c r="T94" s="47"/>
      <c r="U94" s="49" t="str">
        <f ca="1">IF(COUNTIF(OFFSET($E94,0,1):OFFSET(U94,0,-1),"=*")&gt;0,IF($C94="К","-"," - "),IF(COUNTIF(OFFSET($E94,0,1):OFFSET(U94,0,-1),"&lt;4")&gt;0,IF(C94="К","-"," - "),(IFERROR(AVERAGE(OFFSET($E94,0,1):OFFSET(U94,0,-1)),"Очікую"))))</f>
        <v>Очікую</v>
      </c>
      <c r="V94" s="49" t="str">
        <f t="shared" ca="1" si="1"/>
        <v>Очікую</v>
      </c>
      <c r="W94" s="36"/>
      <c r="X94" s="42"/>
    </row>
    <row r="95" spans="1:24" s="12" customFormat="1" ht="15" customHeight="1" x14ac:dyDescent="0.25">
      <c r="A95" s="43"/>
      <c r="B95" s="34"/>
      <c r="C95" s="47"/>
      <c r="D95" s="47">
        <v>86</v>
      </c>
      <c r="E95" s="48"/>
      <c r="F95" s="47"/>
      <c r="G95" s="47"/>
      <c r="H95" s="47"/>
      <c r="I95" s="47"/>
      <c r="J95" s="47"/>
      <c r="K95" s="47"/>
      <c r="L95" s="47"/>
      <c r="M95" s="47"/>
      <c r="N95" s="47"/>
      <c r="O95" s="47"/>
      <c r="P95" s="47"/>
      <c r="Q95" s="47"/>
      <c r="R95" s="47"/>
      <c r="S95" s="47"/>
      <c r="T95" s="47"/>
      <c r="U95" s="49" t="str">
        <f ca="1">IF(COUNTIF(OFFSET($E95,0,1):OFFSET(U95,0,-1),"=*")&gt;0,IF($C95="К","-"," - "),IF(COUNTIF(OFFSET($E95,0,1):OFFSET(U95,0,-1),"&lt;4")&gt;0,IF(C95="К","-"," - "),(IFERROR(AVERAGE(OFFSET($E95,0,1):OFFSET(U95,0,-1)),"Очікую"))))</f>
        <v>Очікую</v>
      </c>
      <c r="V95" s="49" t="str">
        <f t="shared" ca="1" si="1"/>
        <v>Очікую</v>
      </c>
      <c r="W95" s="36"/>
      <c r="X95" s="42"/>
    </row>
    <row r="96" spans="1:24" s="12" customFormat="1" ht="15" customHeight="1" x14ac:dyDescent="0.25">
      <c r="A96" s="43"/>
      <c r="B96" s="34"/>
      <c r="C96" s="47"/>
      <c r="D96" s="47">
        <v>87</v>
      </c>
      <c r="E96" s="48"/>
      <c r="F96" s="47"/>
      <c r="G96" s="47"/>
      <c r="H96" s="47"/>
      <c r="I96" s="47"/>
      <c r="J96" s="47"/>
      <c r="K96" s="47"/>
      <c r="L96" s="47"/>
      <c r="M96" s="47"/>
      <c r="N96" s="47"/>
      <c r="O96" s="47"/>
      <c r="P96" s="47"/>
      <c r="Q96" s="47"/>
      <c r="R96" s="47"/>
      <c r="S96" s="47"/>
      <c r="T96" s="47"/>
      <c r="U96" s="49" t="str">
        <f ca="1">IF(COUNTIF(OFFSET($E96,0,1):OFFSET(U96,0,-1),"=*")&gt;0,IF($C96="К","-"," - "),IF(COUNTIF(OFFSET($E96,0,1):OFFSET(U96,0,-1),"&lt;4")&gt;0,IF(C96="К","-"," - "),(IFERROR(AVERAGE(OFFSET($E96,0,1):OFFSET(U96,0,-1)),"Очікую"))))</f>
        <v>Очікую</v>
      </c>
      <c r="V96" s="49" t="str">
        <f t="shared" ca="1" si="1"/>
        <v>Очікую</v>
      </c>
      <c r="W96" s="36"/>
      <c r="X96" s="42"/>
    </row>
    <row r="97" spans="1:24" s="12" customFormat="1" ht="15" customHeight="1" x14ac:dyDescent="0.25">
      <c r="A97" s="43"/>
      <c r="B97" s="34"/>
      <c r="C97" s="47"/>
      <c r="D97" s="47">
        <v>88</v>
      </c>
      <c r="E97" s="48"/>
      <c r="F97" s="47"/>
      <c r="G97" s="47"/>
      <c r="H97" s="47"/>
      <c r="I97" s="47"/>
      <c r="J97" s="47"/>
      <c r="K97" s="47"/>
      <c r="L97" s="47"/>
      <c r="M97" s="47"/>
      <c r="N97" s="47"/>
      <c r="O97" s="47"/>
      <c r="P97" s="47"/>
      <c r="Q97" s="47"/>
      <c r="R97" s="47"/>
      <c r="S97" s="47"/>
      <c r="T97" s="47"/>
      <c r="U97" s="49" t="str">
        <f ca="1">IF(COUNTIF(OFFSET($E97,0,1):OFFSET(U97,0,-1),"=*")&gt;0,IF($C97="К","-"," - "),IF(COUNTIF(OFFSET($E97,0,1):OFFSET(U97,0,-1),"&lt;4")&gt;0,IF(C97="К","-"," - "),(IFERROR(AVERAGE(OFFSET($E97,0,1):OFFSET(U97,0,-1)),"Очікую"))))</f>
        <v>Очікую</v>
      </c>
      <c r="V97" s="49" t="str">
        <f t="shared" ca="1" si="1"/>
        <v>Очікую</v>
      </c>
      <c r="W97" s="36"/>
      <c r="X97" s="42"/>
    </row>
    <row r="98" spans="1:24" s="12" customFormat="1" ht="15" customHeight="1" x14ac:dyDescent="0.25">
      <c r="A98" s="43"/>
      <c r="B98" s="34"/>
      <c r="C98" s="47"/>
      <c r="D98" s="47">
        <v>89</v>
      </c>
      <c r="E98" s="48"/>
      <c r="F98" s="47"/>
      <c r="G98" s="47"/>
      <c r="H98" s="47"/>
      <c r="I98" s="47"/>
      <c r="J98" s="47"/>
      <c r="K98" s="47"/>
      <c r="L98" s="47"/>
      <c r="M98" s="47"/>
      <c r="N98" s="47"/>
      <c r="O98" s="47"/>
      <c r="P98" s="47"/>
      <c r="Q98" s="47"/>
      <c r="R98" s="47"/>
      <c r="S98" s="47"/>
      <c r="T98" s="47"/>
      <c r="U98" s="49" t="str">
        <f ca="1">IF(COUNTIF(OFFSET($E98,0,1):OFFSET(U98,0,-1),"=*")&gt;0,IF($C98="К","-"," - "),IF(COUNTIF(OFFSET($E98,0,1):OFFSET(U98,0,-1),"&lt;4")&gt;0,IF(C98="К","-"," - "),(IFERROR(AVERAGE(OFFSET($E98,0,1):OFFSET(U98,0,-1)),"Очікую"))))</f>
        <v>Очікую</v>
      </c>
      <c r="V98" s="49" t="str">
        <f t="shared" ca="1" si="1"/>
        <v>Очікую</v>
      </c>
      <c r="W98" s="36"/>
      <c r="X98" s="42"/>
    </row>
    <row r="99" spans="1:24" s="12" customFormat="1" ht="15" customHeight="1" x14ac:dyDescent="0.25">
      <c r="A99" s="43"/>
      <c r="B99" s="34"/>
      <c r="C99" s="47"/>
      <c r="D99" s="47">
        <v>90</v>
      </c>
      <c r="E99" s="48"/>
      <c r="F99" s="47"/>
      <c r="G99" s="47"/>
      <c r="H99" s="47"/>
      <c r="I99" s="47"/>
      <c r="J99" s="47"/>
      <c r="K99" s="47"/>
      <c r="L99" s="47"/>
      <c r="M99" s="47"/>
      <c r="N99" s="47"/>
      <c r="O99" s="47"/>
      <c r="P99" s="47"/>
      <c r="Q99" s="47"/>
      <c r="R99" s="47"/>
      <c r="S99" s="47"/>
      <c r="T99" s="47"/>
      <c r="U99" s="49" t="str">
        <f ca="1">IF(COUNTIF(OFFSET($E99,0,1):OFFSET(U99,0,-1),"=*")&gt;0,IF($C99="К","-"," - "),IF(COUNTIF(OFFSET($E99,0,1):OFFSET(U99,0,-1),"&lt;4")&gt;0,IF(C99="К","-"," - "),(IFERROR(AVERAGE(OFFSET($E99,0,1):OFFSET(U99,0,-1)),"Очікую"))))</f>
        <v>Очікую</v>
      </c>
      <c r="V99" s="49" t="str">
        <f t="shared" ca="1" si="1"/>
        <v>Очікую</v>
      </c>
      <c r="W99" s="36"/>
      <c r="X99" s="42"/>
    </row>
    <row r="100" spans="1:24" s="12" customFormat="1" ht="15" customHeight="1" x14ac:dyDescent="0.25">
      <c r="A100" s="43"/>
      <c r="B100" s="34"/>
      <c r="C100" s="47"/>
      <c r="D100" s="47">
        <v>91</v>
      </c>
      <c r="E100" s="48"/>
      <c r="F100" s="47"/>
      <c r="G100" s="47"/>
      <c r="H100" s="47"/>
      <c r="I100" s="47"/>
      <c r="J100" s="47"/>
      <c r="K100" s="47"/>
      <c r="L100" s="47"/>
      <c r="M100" s="47"/>
      <c r="N100" s="47"/>
      <c r="O100" s="47"/>
      <c r="P100" s="47"/>
      <c r="Q100" s="47"/>
      <c r="R100" s="47"/>
      <c r="S100" s="47"/>
      <c r="T100" s="47"/>
      <c r="U100" s="49" t="str">
        <f ca="1">IF(COUNTIF(OFFSET($E100,0,1):OFFSET(U100,0,-1),"=*")&gt;0,IF($C100="К","-"," - "),IF(COUNTIF(OFFSET($E100,0,1):OFFSET(U100,0,-1),"&lt;4")&gt;0,IF(C100="К","-"," - "),(IFERROR(AVERAGE(OFFSET($E100,0,1):OFFSET(U100,0,-1)),"Очікую"))))</f>
        <v>Очікую</v>
      </c>
      <c r="V100" s="49" t="str">
        <f t="shared" ca="1" si="1"/>
        <v>Очікую</v>
      </c>
      <c r="W100" s="36"/>
      <c r="X100" s="42"/>
    </row>
    <row r="101" spans="1:24" s="12" customFormat="1" ht="15" customHeight="1" x14ac:dyDescent="0.25">
      <c r="A101" s="43"/>
      <c r="B101" s="34"/>
      <c r="C101" s="47"/>
      <c r="D101" s="47">
        <v>92</v>
      </c>
      <c r="E101" s="48"/>
      <c r="F101" s="47"/>
      <c r="G101" s="47"/>
      <c r="H101" s="47"/>
      <c r="I101" s="47"/>
      <c r="J101" s="47"/>
      <c r="K101" s="47"/>
      <c r="L101" s="47"/>
      <c r="M101" s="47"/>
      <c r="N101" s="47"/>
      <c r="O101" s="47"/>
      <c r="P101" s="47"/>
      <c r="Q101" s="47"/>
      <c r="R101" s="47"/>
      <c r="S101" s="47"/>
      <c r="T101" s="47"/>
      <c r="U101" s="49" t="str">
        <f ca="1">IF(COUNTIF(OFFSET($E101,0,1):OFFSET(U101,0,-1),"=*")&gt;0,IF($C101="К","-"," - "),IF(COUNTIF(OFFSET($E101,0,1):OFFSET(U101,0,-1),"&lt;4")&gt;0,IF(C101="К","-"," - "),(IFERROR(AVERAGE(OFFSET($E101,0,1):OFFSET(U101,0,-1)),"Очікую"))))</f>
        <v>Очікую</v>
      </c>
      <c r="V101" s="49" t="str">
        <f t="shared" ca="1" si="1"/>
        <v>Очікую</v>
      </c>
      <c r="W101" s="36"/>
      <c r="X101" s="42"/>
    </row>
    <row r="102" spans="1:24" s="12" customFormat="1" ht="15" customHeight="1" x14ac:dyDescent="0.25">
      <c r="A102" s="43"/>
      <c r="B102" s="34"/>
      <c r="C102" s="47"/>
      <c r="D102" s="47">
        <v>93</v>
      </c>
      <c r="E102" s="48"/>
      <c r="F102" s="47"/>
      <c r="G102" s="47"/>
      <c r="H102" s="47"/>
      <c r="I102" s="47"/>
      <c r="J102" s="47"/>
      <c r="K102" s="47"/>
      <c r="L102" s="47"/>
      <c r="M102" s="47"/>
      <c r="N102" s="47"/>
      <c r="O102" s="47"/>
      <c r="P102" s="47"/>
      <c r="Q102" s="47"/>
      <c r="R102" s="47"/>
      <c r="S102" s="47"/>
      <c r="T102" s="47"/>
      <c r="U102" s="49" t="str">
        <f ca="1">IF(COUNTIF(OFFSET($E102,0,1):OFFSET(U102,0,-1),"=*")&gt;0,IF($C102="К","-"," - "),IF(COUNTIF(OFFSET($E102,0,1):OFFSET(U102,0,-1),"&lt;4")&gt;0,IF(C102="К","-"," - "),(IFERROR(AVERAGE(OFFSET($E102,0,1):OFFSET(U102,0,-1)),"Очікую"))))</f>
        <v>Очікую</v>
      </c>
      <c r="V102" s="49" t="str">
        <f t="shared" ca="1" si="1"/>
        <v>Очікую</v>
      </c>
      <c r="W102" s="36"/>
      <c r="X102" s="42"/>
    </row>
    <row r="103" spans="1:24" s="12" customFormat="1" ht="15" customHeight="1" x14ac:dyDescent="0.25">
      <c r="A103" s="43"/>
      <c r="B103" s="34"/>
      <c r="C103" s="47"/>
      <c r="D103" s="47">
        <v>94</v>
      </c>
      <c r="E103" s="48"/>
      <c r="F103" s="47"/>
      <c r="G103" s="47"/>
      <c r="H103" s="47"/>
      <c r="I103" s="47"/>
      <c r="J103" s="47"/>
      <c r="K103" s="47"/>
      <c r="L103" s="47"/>
      <c r="M103" s="47"/>
      <c r="N103" s="47"/>
      <c r="O103" s="47"/>
      <c r="P103" s="47"/>
      <c r="Q103" s="47"/>
      <c r="R103" s="47"/>
      <c r="S103" s="47"/>
      <c r="T103" s="47"/>
      <c r="U103" s="49" t="str">
        <f ca="1">IF(COUNTIF(OFFSET($E103,0,1):OFFSET(U103,0,-1),"=*")&gt;0,IF($C103="К","-"," - "),IF(COUNTIF(OFFSET($E103,0,1):OFFSET(U103,0,-1),"&lt;4")&gt;0,IF(C103="К","-"," - "),(IFERROR(AVERAGE(OFFSET($E103,0,1):OFFSET(U103,0,-1)),"Очікую"))))</f>
        <v>Очікую</v>
      </c>
      <c r="V103" s="49" t="str">
        <f t="shared" ca="1" si="1"/>
        <v>Очікую</v>
      </c>
      <c r="W103" s="36"/>
      <c r="X103" s="42"/>
    </row>
    <row r="104" spans="1:24" s="12" customFormat="1" ht="15" customHeight="1" x14ac:dyDescent="0.25">
      <c r="A104" s="43"/>
      <c r="B104" s="34"/>
      <c r="C104" s="47"/>
      <c r="D104" s="47">
        <v>95</v>
      </c>
      <c r="E104" s="48"/>
      <c r="F104" s="47"/>
      <c r="G104" s="47"/>
      <c r="H104" s="47"/>
      <c r="I104" s="47"/>
      <c r="J104" s="47"/>
      <c r="K104" s="47"/>
      <c r="L104" s="47"/>
      <c r="M104" s="47"/>
      <c r="N104" s="47"/>
      <c r="O104" s="47"/>
      <c r="P104" s="47"/>
      <c r="Q104" s="47"/>
      <c r="R104" s="47"/>
      <c r="S104" s="47"/>
      <c r="T104" s="47"/>
      <c r="U104" s="49" t="str">
        <f ca="1">IF(COUNTIF(OFFSET($E104,0,1):OFFSET(U104,0,-1),"=*")&gt;0,IF($C104="К","-"," - "),IF(COUNTIF(OFFSET($E104,0,1):OFFSET(U104,0,-1),"&lt;4")&gt;0,IF(C104="К","-"," - "),(IFERROR(AVERAGE(OFFSET($E104,0,1):OFFSET(U104,0,-1)),"Очікую"))))</f>
        <v>Очікую</v>
      </c>
      <c r="V104" s="49" t="str">
        <f t="shared" ca="1" si="1"/>
        <v>Очікую</v>
      </c>
      <c r="W104" s="36"/>
      <c r="X104" s="42"/>
    </row>
    <row r="105" spans="1:24" s="12" customFormat="1" ht="15" customHeight="1" x14ac:dyDescent="0.25">
      <c r="A105" s="43"/>
      <c r="B105" s="34"/>
      <c r="C105" s="47"/>
      <c r="D105" s="47">
        <v>96</v>
      </c>
      <c r="E105" s="48"/>
      <c r="F105" s="47"/>
      <c r="G105" s="47"/>
      <c r="H105" s="47"/>
      <c r="I105" s="47"/>
      <c r="J105" s="47"/>
      <c r="K105" s="47"/>
      <c r="L105" s="47"/>
      <c r="M105" s="47"/>
      <c r="N105" s="47"/>
      <c r="O105" s="47"/>
      <c r="P105" s="47"/>
      <c r="Q105" s="47"/>
      <c r="R105" s="47"/>
      <c r="S105" s="47"/>
      <c r="T105" s="47"/>
      <c r="U105" s="49" t="str">
        <f ca="1">IF(COUNTIF(OFFSET($E105,0,1):OFFSET(U105,0,-1),"=*")&gt;0,IF($C105="К","-"," - "),IF(COUNTIF(OFFSET($E105,0,1):OFFSET(U105,0,-1),"&lt;4")&gt;0,IF(C105="К","-"," - "),(IFERROR(AVERAGE(OFFSET($E105,0,1):OFFSET(U105,0,-1)),"Очікую"))))</f>
        <v>Очікую</v>
      </c>
      <c r="V105" s="49" t="str">
        <f t="shared" ca="1" si="1"/>
        <v>Очікую</v>
      </c>
      <c r="W105" s="36"/>
      <c r="X105" s="42"/>
    </row>
    <row r="106" spans="1:24" s="12" customFormat="1" ht="15" customHeight="1" x14ac:dyDescent="0.25">
      <c r="A106" s="43"/>
      <c r="B106" s="34"/>
      <c r="C106" s="47"/>
      <c r="D106" s="47">
        <v>97</v>
      </c>
      <c r="E106" s="48"/>
      <c r="F106" s="47"/>
      <c r="G106" s="47"/>
      <c r="H106" s="47"/>
      <c r="I106" s="47"/>
      <c r="J106" s="47"/>
      <c r="K106" s="47"/>
      <c r="L106" s="47"/>
      <c r="M106" s="47"/>
      <c r="N106" s="47"/>
      <c r="O106" s="47"/>
      <c r="P106" s="47"/>
      <c r="Q106" s="47"/>
      <c r="R106" s="47"/>
      <c r="S106" s="47"/>
      <c r="T106" s="47"/>
      <c r="U106" s="49" t="str">
        <f ca="1">IF(COUNTIF(OFFSET($E106,0,1):OFFSET(U106,0,-1),"=*")&gt;0,IF($C106="К","-"," - "),IF(COUNTIF(OFFSET($E106,0,1):OFFSET(U106,0,-1),"&lt;4")&gt;0,IF(C106="К","-"," - "),(IFERROR(AVERAGE(OFFSET($E106,0,1):OFFSET(U106,0,-1)),"Очікую"))))</f>
        <v>Очікую</v>
      </c>
      <c r="V106" s="49" t="str">
        <f t="shared" ca="1" si="1"/>
        <v>Очікую</v>
      </c>
      <c r="W106" s="36"/>
      <c r="X106" s="42"/>
    </row>
    <row r="107" spans="1:24" s="12" customFormat="1" ht="15" customHeight="1" x14ac:dyDescent="0.25">
      <c r="A107" s="43"/>
      <c r="B107" s="34"/>
      <c r="C107" s="47"/>
      <c r="D107" s="47">
        <v>98</v>
      </c>
      <c r="E107" s="48"/>
      <c r="F107" s="47"/>
      <c r="G107" s="47"/>
      <c r="H107" s="47"/>
      <c r="I107" s="47"/>
      <c r="J107" s="47"/>
      <c r="K107" s="47"/>
      <c r="L107" s="47"/>
      <c r="M107" s="47"/>
      <c r="N107" s="47"/>
      <c r="O107" s="47"/>
      <c r="P107" s="47"/>
      <c r="Q107" s="47"/>
      <c r="R107" s="47"/>
      <c r="S107" s="47"/>
      <c r="T107" s="47"/>
      <c r="U107" s="49" t="str">
        <f ca="1">IF(COUNTIF(OFFSET($E107,0,1):OFFSET(U107,0,-1),"=*")&gt;0,IF($C107="К","-"," - "),IF(COUNTIF(OFFSET($E107,0,1):OFFSET(U107,0,-1),"&lt;4")&gt;0,IF(C107="К","-"," - "),(IFERROR(AVERAGE(OFFSET($E107,0,1):OFFSET(U107,0,-1)),"Очікую"))))</f>
        <v>Очікую</v>
      </c>
      <c r="V107" s="49" t="str">
        <f t="shared" ca="1" si="1"/>
        <v>Очікую</v>
      </c>
      <c r="W107" s="36"/>
      <c r="X107" s="42"/>
    </row>
    <row r="108" spans="1:24" s="12" customFormat="1" ht="15" customHeight="1" x14ac:dyDescent="0.25">
      <c r="A108" s="43"/>
      <c r="B108" s="34"/>
      <c r="C108" s="47"/>
      <c r="D108" s="47">
        <v>99</v>
      </c>
      <c r="E108" s="48"/>
      <c r="F108" s="47"/>
      <c r="G108" s="47"/>
      <c r="H108" s="47"/>
      <c r="I108" s="47"/>
      <c r="J108" s="47"/>
      <c r="K108" s="47"/>
      <c r="L108" s="47"/>
      <c r="M108" s="47"/>
      <c r="N108" s="47"/>
      <c r="O108" s="47"/>
      <c r="P108" s="47"/>
      <c r="Q108" s="47"/>
      <c r="R108" s="47"/>
      <c r="S108" s="47"/>
      <c r="T108" s="47"/>
      <c r="U108" s="49" t="str">
        <f ca="1">IF(COUNTIF(OFFSET($E108,0,1):OFFSET(U108,0,-1),"=*")&gt;0,IF($C108="К","-"," - "),IF(COUNTIF(OFFSET($E108,0,1):OFFSET(U108,0,-1),"&lt;4")&gt;0,IF(C108="К","-"," - "),(IFERROR(AVERAGE(OFFSET($E108,0,1):OFFSET(U108,0,-1)),"Очікую"))))</f>
        <v>Очікую</v>
      </c>
      <c r="V108" s="49" t="str">
        <f t="shared" ca="1" si="1"/>
        <v>Очікую</v>
      </c>
      <c r="W108" s="36"/>
      <c r="X108" s="42"/>
    </row>
    <row r="109" spans="1:24" s="12" customFormat="1" ht="15" customHeight="1" x14ac:dyDescent="0.25">
      <c r="A109" s="43"/>
      <c r="B109" s="34"/>
      <c r="C109" s="47"/>
      <c r="D109" s="47">
        <v>100</v>
      </c>
      <c r="E109" s="48"/>
      <c r="F109" s="47"/>
      <c r="G109" s="47"/>
      <c r="H109" s="47"/>
      <c r="I109" s="47"/>
      <c r="J109" s="47"/>
      <c r="K109" s="47"/>
      <c r="L109" s="47"/>
      <c r="M109" s="47"/>
      <c r="N109" s="47"/>
      <c r="O109" s="47"/>
      <c r="P109" s="47"/>
      <c r="Q109" s="47"/>
      <c r="R109" s="47"/>
      <c r="S109" s="47"/>
      <c r="T109" s="47"/>
      <c r="U109" s="49" t="str">
        <f ca="1">IF(COUNTIF(OFFSET($E109,0,1):OFFSET(U109,0,-1),"=*")&gt;0,IF($C109="К","-"," - "),IF(COUNTIF(OFFSET($E109,0,1):OFFSET(U109,0,-1),"&lt;4")&gt;0,IF(C109="К","-"," - "),(IFERROR(AVERAGE(OFFSET($E109,0,1):OFFSET(U109,0,-1)),"Очікую"))))</f>
        <v>Очікую</v>
      </c>
      <c r="V109" s="49" t="str">
        <f t="shared" ca="1" si="1"/>
        <v>Очікую</v>
      </c>
      <c r="W109" s="36"/>
      <c r="X109" s="42"/>
    </row>
    <row r="110" spans="1:24" ht="15" customHeight="1" x14ac:dyDescent="0.25">
      <c r="A110" s="43"/>
      <c r="B110" s="34"/>
      <c r="C110" s="27"/>
      <c r="D110" s="27"/>
      <c r="E110" s="28" t="s">
        <v>9</v>
      </c>
      <c r="F110" s="5" t="str">
        <f ca="1">З6!F115</f>
        <v>Очікую</v>
      </c>
      <c r="G110" s="27"/>
      <c r="H110" s="29"/>
      <c r="I110" s="27"/>
      <c r="J110" s="27"/>
      <c r="K110" s="27"/>
      <c r="L110" s="27"/>
      <c r="M110" s="27"/>
      <c r="N110" s="27"/>
      <c r="O110" s="27"/>
      <c r="P110" s="30"/>
      <c r="Q110" s="29"/>
      <c r="R110" s="27"/>
      <c r="S110" s="27"/>
      <c r="T110" s="27"/>
      <c r="U110" s="27"/>
      <c r="V110" s="27"/>
      <c r="W110" s="35"/>
      <c r="X110" s="42"/>
    </row>
    <row r="111" spans="1:24" ht="15" customHeight="1" x14ac:dyDescent="0.25">
      <c r="A111" s="43"/>
      <c r="B111" s="34"/>
      <c r="C111" s="27"/>
      <c r="D111" s="27"/>
      <c r="E111" s="28" t="s">
        <v>10</v>
      </c>
      <c r="F111" s="5" t="str">
        <f ca="1">З6!F116</f>
        <v>Очікую</v>
      </c>
      <c r="G111" s="27"/>
      <c r="H111" s="78" t="s">
        <v>11</v>
      </c>
      <c r="I111" s="78"/>
      <c r="J111" s="78"/>
      <c r="K111" s="78"/>
      <c r="L111" s="78"/>
      <c r="M111" s="7"/>
      <c r="N111" s="7"/>
      <c r="O111" s="7"/>
      <c r="P111" s="79" t="s">
        <v>81</v>
      </c>
      <c r="Q111" s="79"/>
      <c r="R111" s="79"/>
      <c r="S111" s="79"/>
      <c r="T111" s="79"/>
      <c r="U111" s="79"/>
      <c r="V111" s="27"/>
      <c r="W111" s="35"/>
      <c r="X111" s="42"/>
    </row>
    <row r="112" spans="1:24" ht="15" customHeight="1" x14ac:dyDescent="0.25">
      <c r="A112" s="43"/>
      <c r="B112" s="34"/>
      <c r="C112" s="27"/>
      <c r="D112" s="27"/>
      <c r="E112" s="28" t="s">
        <v>12</v>
      </c>
      <c r="F112" s="5">
        <f>З6!F117</f>
        <v>0</v>
      </c>
      <c r="G112" s="27"/>
      <c r="H112" s="11"/>
      <c r="I112" s="7"/>
      <c r="J112" s="7"/>
      <c r="K112" s="7"/>
      <c r="L112" s="7"/>
      <c r="M112" s="7"/>
      <c r="N112" s="7"/>
      <c r="O112" s="7"/>
      <c r="P112" s="11"/>
      <c r="Q112" s="11"/>
      <c r="R112" s="7"/>
      <c r="S112" s="7"/>
      <c r="T112" s="7"/>
      <c r="U112" s="7"/>
      <c r="V112" s="27"/>
      <c r="W112" s="35"/>
      <c r="X112" s="42"/>
    </row>
    <row r="113" spans="1:24" ht="15" customHeight="1" x14ac:dyDescent="0.25">
      <c r="A113" s="43"/>
      <c r="B113" s="34"/>
      <c r="C113" s="27"/>
      <c r="D113" s="27"/>
      <c r="E113" s="28" t="s">
        <v>13</v>
      </c>
      <c r="F113" s="5" t="str">
        <f ca="1">З6!F118</f>
        <v>Очікую</v>
      </c>
      <c r="G113" s="27"/>
      <c r="H113" s="79" t="s">
        <v>14</v>
      </c>
      <c r="I113" s="79"/>
      <c r="J113" s="79"/>
      <c r="K113" s="79"/>
      <c r="L113" s="79"/>
      <c r="M113" s="7"/>
      <c r="N113" s="7"/>
      <c r="O113" s="7"/>
      <c r="P113" s="79" t="s">
        <v>15</v>
      </c>
      <c r="Q113" s="79"/>
      <c r="R113" s="79"/>
      <c r="S113" s="79"/>
      <c r="T113" s="79"/>
      <c r="U113" s="79"/>
      <c r="V113" s="27"/>
      <c r="W113" s="35"/>
      <c r="X113" s="42"/>
    </row>
    <row r="114" spans="1:24" ht="12" customHeight="1" thickBot="1" x14ac:dyDescent="0.3">
      <c r="A114" s="43"/>
      <c r="B114" s="37"/>
      <c r="C114" s="38"/>
      <c r="D114" s="38"/>
      <c r="E114" s="38"/>
      <c r="F114" s="38"/>
      <c r="G114" s="38"/>
      <c r="H114" s="38"/>
      <c r="I114" s="38"/>
      <c r="J114" s="38"/>
      <c r="K114" s="38"/>
      <c r="L114" s="38"/>
      <c r="M114" s="38"/>
      <c r="N114" s="38"/>
      <c r="O114" s="38"/>
      <c r="P114" s="38"/>
      <c r="Q114" s="38"/>
      <c r="R114" s="38"/>
      <c r="S114" s="38"/>
      <c r="T114" s="38"/>
      <c r="U114" s="38"/>
      <c r="V114" s="38"/>
      <c r="W114" s="39"/>
      <c r="X114" s="42"/>
    </row>
    <row r="115" spans="1:24" ht="12" customHeight="1" x14ac:dyDescent="0.25">
      <c r="A115" s="41"/>
      <c r="B115" s="17"/>
      <c r="C115" s="17"/>
      <c r="D115" s="17"/>
      <c r="E115" s="17"/>
      <c r="F115" s="17"/>
      <c r="G115" s="17"/>
      <c r="H115" s="17"/>
      <c r="I115" s="17"/>
      <c r="J115" s="17"/>
      <c r="K115" s="17"/>
      <c r="L115" s="17"/>
      <c r="M115" s="17"/>
      <c r="N115" s="17"/>
      <c r="O115" s="17"/>
      <c r="P115" s="17"/>
      <c r="Q115" s="17"/>
      <c r="R115" s="17"/>
      <c r="S115" s="17"/>
      <c r="T115" s="17"/>
      <c r="U115" s="17"/>
      <c r="V115" s="17"/>
      <c r="W115" s="17"/>
      <c r="X115" s="42"/>
    </row>
    <row r="116" spans="1:24" ht="0" hidden="1" customHeight="1" x14ac:dyDescent="0.25">
      <c r="A116" s="44"/>
      <c r="X116" s="44"/>
    </row>
    <row r="117" spans="1:24" ht="0" hidden="1" customHeight="1" x14ac:dyDescent="0.25">
      <c r="A117" s="44"/>
      <c r="X117" s="44"/>
    </row>
    <row r="118" spans="1:24" ht="0" hidden="1" customHeight="1" x14ac:dyDescent="0.25">
      <c r="A118" s="44"/>
      <c r="X118" s="44"/>
    </row>
    <row r="119" spans="1:24" ht="0" hidden="1" customHeight="1" x14ac:dyDescent="0.25">
      <c r="A119" s="44"/>
      <c r="X119" s="44"/>
    </row>
    <row r="120" spans="1:24" ht="0" hidden="1"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row>
  </sheetData>
  <sheetProtection insertRows="0" deleteRows="0"/>
  <mergeCells count="13">
    <mergeCell ref="H111:L111"/>
    <mergeCell ref="P111:U111"/>
    <mergeCell ref="H113:L113"/>
    <mergeCell ref="P113:U113"/>
    <mergeCell ref="C8:C9"/>
    <mergeCell ref="D8:D9"/>
    <mergeCell ref="E8:E9"/>
    <mergeCell ref="F8:V8"/>
    <mergeCell ref="C3:V3"/>
    <mergeCell ref="C4:V4"/>
    <mergeCell ref="C5:V5"/>
    <mergeCell ref="C6:V6"/>
    <mergeCell ref="C7:V7"/>
  </mergeCells>
  <printOptions horizontalCentered="1"/>
  <pageMargins left="0.19685039370078741" right="0.19685039370078741" top="0.19685039370078741" bottom="0.19685039370078741" header="0" footer="0"/>
  <pageSetup paperSize="9" scale="32"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26B0A"/>
    <pageSetUpPr fitToPage="1"/>
  </sheetPr>
  <dimension ref="A1:BI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2" width="11.28515625" style="1" customWidth="1"/>
    <col min="23" max="24" width="2.7109375" style="1" customWidth="1"/>
    <col min="25" max="30" width="14.42578125" style="1" hidden="1" customWidth="1"/>
    <col min="31" max="31" width="14.85546875" style="1" hidden="1" customWidth="1"/>
    <col min="32" max="45" width="3.7109375" style="1" hidden="1" customWidth="1"/>
    <col min="46" max="61" width="5.7109375" style="1" hidden="1" customWidth="1"/>
    <col min="62" max="16384" width="14.42578125" style="1" hidden="1"/>
  </cols>
  <sheetData>
    <row r="1" spans="1:24"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c r="X1" s="41"/>
    </row>
    <row r="2" spans="1:24" ht="12" customHeight="1" x14ac:dyDescent="0.25">
      <c r="A2" s="43"/>
      <c r="B2" s="31"/>
      <c r="C2" s="32"/>
      <c r="D2" s="32"/>
      <c r="E2" s="32"/>
      <c r="F2" s="32"/>
      <c r="G2" s="32"/>
      <c r="H2" s="32"/>
      <c r="I2" s="32"/>
      <c r="J2" s="32"/>
      <c r="K2" s="32"/>
      <c r="L2" s="32"/>
      <c r="M2" s="32"/>
      <c r="N2" s="32"/>
      <c r="O2" s="32"/>
      <c r="P2" s="32"/>
      <c r="Q2" s="32"/>
      <c r="R2" s="32"/>
      <c r="S2" s="32"/>
      <c r="T2" s="32"/>
      <c r="U2" s="32"/>
      <c r="V2" s="32"/>
      <c r="W2" s="33"/>
      <c r="X2" s="42"/>
    </row>
    <row r="3" spans="1:24" s="2" customFormat="1" ht="54.95" customHeight="1" x14ac:dyDescent="0.3">
      <c r="A3" s="43"/>
      <c r="B3" s="34"/>
      <c r="C3" s="74" t="s">
        <v>19</v>
      </c>
      <c r="D3" s="74"/>
      <c r="E3" s="74"/>
      <c r="F3" s="74"/>
      <c r="G3" s="74"/>
      <c r="H3" s="74"/>
      <c r="I3" s="74"/>
      <c r="J3" s="74"/>
      <c r="K3" s="74"/>
      <c r="L3" s="74"/>
      <c r="M3" s="74"/>
      <c r="N3" s="74"/>
      <c r="O3" s="74"/>
      <c r="P3" s="74"/>
      <c r="Q3" s="74"/>
      <c r="R3" s="74"/>
      <c r="S3" s="74"/>
      <c r="T3" s="74"/>
      <c r="U3" s="74"/>
      <c r="V3" s="74"/>
      <c r="W3" s="35"/>
      <c r="X3" s="42"/>
    </row>
    <row r="4" spans="1:24" s="3" customFormat="1" ht="15" customHeight="1" x14ac:dyDescent="0.25">
      <c r="A4" s="43"/>
      <c r="B4" s="34"/>
      <c r="C4" s="75" t="s">
        <v>38</v>
      </c>
      <c r="D4" s="75"/>
      <c r="E4" s="75"/>
      <c r="F4" s="75"/>
      <c r="G4" s="75"/>
      <c r="H4" s="75"/>
      <c r="I4" s="75"/>
      <c r="J4" s="75"/>
      <c r="K4" s="75"/>
      <c r="L4" s="75"/>
      <c r="M4" s="75"/>
      <c r="N4" s="75"/>
      <c r="O4" s="75"/>
      <c r="P4" s="75"/>
      <c r="Q4" s="75"/>
      <c r="R4" s="75"/>
      <c r="S4" s="75"/>
      <c r="T4" s="75"/>
      <c r="U4" s="75"/>
      <c r="V4" s="75"/>
      <c r="W4" s="35"/>
      <c r="X4" s="42"/>
    </row>
    <row r="5" spans="1:24" s="2" customFormat="1" ht="15" customHeight="1" x14ac:dyDescent="0.25">
      <c r="A5" s="43"/>
      <c r="B5" s="34"/>
      <c r="C5" s="76" t="s">
        <v>35</v>
      </c>
      <c r="D5" s="76"/>
      <c r="E5" s="76"/>
      <c r="F5" s="76"/>
      <c r="G5" s="76"/>
      <c r="H5" s="76"/>
      <c r="I5" s="76"/>
      <c r="J5" s="76"/>
      <c r="K5" s="76"/>
      <c r="L5" s="76"/>
      <c r="M5" s="76"/>
      <c r="N5" s="76"/>
      <c r="O5" s="76"/>
      <c r="P5" s="76"/>
      <c r="Q5" s="76"/>
      <c r="R5" s="76"/>
      <c r="S5" s="76"/>
      <c r="T5" s="76"/>
      <c r="U5" s="76"/>
      <c r="V5" s="76"/>
      <c r="W5" s="35"/>
      <c r="X5" s="42"/>
    </row>
    <row r="6" spans="1:24" s="2" customFormat="1" ht="15" customHeight="1" x14ac:dyDescent="0.25">
      <c r="A6" s="43"/>
      <c r="B6" s="34"/>
      <c r="C6" s="76" t="s">
        <v>37</v>
      </c>
      <c r="D6" s="76"/>
      <c r="E6" s="76"/>
      <c r="F6" s="76"/>
      <c r="G6" s="76"/>
      <c r="H6" s="76"/>
      <c r="I6" s="76"/>
      <c r="J6" s="76"/>
      <c r="K6" s="76"/>
      <c r="L6" s="76"/>
      <c r="M6" s="76"/>
      <c r="N6" s="76"/>
      <c r="O6" s="76"/>
      <c r="P6" s="76"/>
      <c r="Q6" s="76"/>
      <c r="R6" s="76"/>
      <c r="S6" s="76"/>
      <c r="T6" s="76"/>
      <c r="U6" s="76"/>
      <c r="V6" s="76"/>
      <c r="W6" s="35"/>
      <c r="X6" s="42"/>
    </row>
    <row r="7" spans="1:24" s="2" customFormat="1" ht="15" customHeight="1" x14ac:dyDescent="0.25">
      <c r="A7" s="43"/>
      <c r="B7" s="34"/>
      <c r="C7" s="77" t="s">
        <v>36</v>
      </c>
      <c r="D7" s="77"/>
      <c r="E7" s="77"/>
      <c r="F7" s="77"/>
      <c r="G7" s="77"/>
      <c r="H7" s="77"/>
      <c r="I7" s="77"/>
      <c r="J7" s="77"/>
      <c r="K7" s="77"/>
      <c r="L7" s="77"/>
      <c r="M7" s="77"/>
      <c r="N7" s="77"/>
      <c r="O7" s="77"/>
      <c r="P7" s="77"/>
      <c r="Q7" s="77"/>
      <c r="R7" s="77"/>
      <c r="S7" s="77"/>
      <c r="T7" s="77"/>
      <c r="U7" s="77"/>
      <c r="V7" s="77"/>
      <c r="W7" s="35"/>
      <c r="X7" s="42"/>
    </row>
    <row r="8" spans="1:24" ht="15" customHeight="1" x14ac:dyDescent="0.25">
      <c r="A8" s="43"/>
      <c r="B8" s="34"/>
      <c r="C8" s="80" t="s">
        <v>0</v>
      </c>
      <c r="D8" s="82" t="s">
        <v>1</v>
      </c>
      <c r="E8" s="82" t="s">
        <v>2</v>
      </c>
      <c r="F8" s="81" t="s">
        <v>17</v>
      </c>
      <c r="G8" s="81"/>
      <c r="H8" s="81"/>
      <c r="I8" s="81"/>
      <c r="J8" s="81"/>
      <c r="K8" s="81"/>
      <c r="L8" s="81"/>
      <c r="M8" s="81"/>
      <c r="N8" s="81"/>
      <c r="O8" s="81"/>
      <c r="P8" s="81"/>
      <c r="Q8" s="81"/>
      <c r="R8" s="81"/>
      <c r="S8" s="81"/>
      <c r="T8" s="81"/>
      <c r="U8" s="81"/>
      <c r="V8" s="81"/>
      <c r="W8" s="35"/>
      <c r="X8" s="42"/>
    </row>
    <row r="9" spans="1:24" ht="125.1" customHeight="1" x14ac:dyDescent="0.25">
      <c r="A9" s="43"/>
      <c r="B9" s="34"/>
      <c r="C9" s="81"/>
      <c r="D9" s="81"/>
      <c r="E9" s="81"/>
      <c r="F9" s="25" t="s">
        <v>20</v>
      </c>
      <c r="G9" s="25" t="s">
        <v>21</v>
      </c>
      <c r="H9" s="25" t="s">
        <v>22</v>
      </c>
      <c r="I9" s="25" t="s">
        <v>23</v>
      </c>
      <c r="J9" s="25" t="s">
        <v>24</v>
      </c>
      <c r="K9" s="25" t="s">
        <v>25</v>
      </c>
      <c r="L9" s="25" t="s">
        <v>26</v>
      </c>
      <c r="M9" s="25" t="s">
        <v>27</v>
      </c>
      <c r="N9" s="25" t="s">
        <v>28</v>
      </c>
      <c r="O9" s="25" t="s">
        <v>29</v>
      </c>
      <c r="P9" s="25" t="s">
        <v>30</v>
      </c>
      <c r="Q9" s="25" t="s">
        <v>31</v>
      </c>
      <c r="R9" s="25" t="s">
        <v>32</v>
      </c>
      <c r="S9" s="25" t="s">
        <v>33</v>
      </c>
      <c r="T9" s="25" t="s">
        <v>34</v>
      </c>
      <c r="U9" s="26" t="s">
        <v>3</v>
      </c>
      <c r="V9" s="26" t="s">
        <v>39</v>
      </c>
      <c r="W9" s="35"/>
      <c r="X9" s="42"/>
    </row>
    <row r="10" spans="1:24" s="12" customFormat="1" ht="15" customHeight="1" x14ac:dyDescent="0.25">
      <c r="A10" s="43"/>
      <c r="B10" s="34"/>
      <c r="C10" s="47"/>
      <c r="D10" s="47">
        <v>1</v>
      </c>
      <c r="E10" s="48"/>
      <c r="F10" s="47"/>
      <c r="G10" s="47"/>
      <c r="H10" s="47"/>
      <c r="I10" s="47"/>
      <c r="J10" s="47"/>
      <c r="K10" s="47"/>
      <c r="L10" s="47"/>
      <c r="M10" s="47"/>
      <c r="N10" s="47"/>
      <c r="O10" s="47"/>
      <c r="P10" s="47"/>
      <c r="Q10" s="47"/>
      <c r="R10" s="47"/>
      <c r="S10" s="47"/>
      <c r="T10" s="47"/>
      <c r="U10" s="49" t="str">
        <f ca="1">IF(COUNTIF(OFFSET($E10,0,1):OFFSET(U10,0,-1),"=*")&gt;0,IF($C10="К","-"," - "),IF(COUNTIF(OFFSET($E10,0,1):OFFSET(U10,0,-1),"&lt;4")&gt;0,IF(C10="К","-"," - "),(IFERROR(AVERAGE(OFFSET($E10,0,1):OFFSET(U10,0,-1)),"Очікую"))))</f>
        <v>Очікую</v>
      </c>
      <c r="V10" s="49" t="str">
        <f ca="1">IFERROR(U10/12*90,"Очікую")</f>
        <v>Очікую</v>
      </c>
      <c r="W10" s="36"/>
      <c r="X10" s="42"/>
    </row>
    <row r="11" spans="1:24" s="12" customFormat="1" ht="15" customHeight="1" x14ac:dyDescent="0.25">
      <c r="A11" s="43"/>
      <c r="B11" s="34"/>
      <c r="C11" s="47"/>
      <c r="D11" s="47">
        <v>2</v>
      </c>
      <c r="E11" s="48"/>
      <c r="F11" s="47"/>
      <c r="G11" s="47"/>
      <c r="H11" s="47"/>
      <c r="I11" s="47"/>
      <c r="J11" s="47"/>
      <c r="K11" s="47"/>
      <c r="L11" s="47"/>
      <c r="M11" s="47"/>
      <c r="N11" s="47"/>
      <c r="O11" s="47"/>
      <c r="P11" s="47"/>
      <c r="Q11" s="47"/>
      <c r="R11" s="47"/>
      <c r="S11" s="47"/>
      <c r="T11" s="47"/>
      <c r="U11" s="49" t="str">
        <f ca="1">IF(COUNTIF(OFFSET($E11,0,1):OFFSET(U11,0,-1),"=*")&gt;0,IF($C11="К","-"," - "),IF(COUNTIF(OFFSET($E11,0,1):OFFSET(U11,0,-1),"&lt;4")&gt;0,IF(C11="К","-"," - "),(IFERROR(AVERAGE(OFFSET($E11,0,1):OFFSET(U11,0,-1)),"Очікую"))))</f>
        <v>Очікую</v>
      </c>
      <c r="V11" s="49" t="str">
        <f t="shared" ref="V11:V74" ca="1" si="0">IFERROR(U11/12*90,"Очікую")</f>
        <v>Очікую</v>
      </c>
      <c r="W11" s="36"/>
      <c r="X11" s="42"/>
    </row>
    <row r="12" spans="1:24" s="12" customFormat="1" ht="15" customHeight="1" x14ac:dyDescent="0.25">
      <c r="A12" s="43"/>
      <c r="B12" s="34"/>
      <c r="C12" s="47"/>
      <c r="D12" s="47">
        <v>3</v>
      </c>
      <c r="E12" s="48"/>
      <c r="F12" s="47"/>
      <c r="G12" s="47"/>
      <c r="H12" s="47"/>
      <c r="I12" s="47"/>
      <c r="J12" s="47"/>
      <c r="K12" s="47"/>
      <c r="L12" s="47"/>
      <c r="M12" s="47"/>
      <c r="N12" s="47"/>
      <c r="O12" s="47"/>
      <c r="P12" s="47"/>
      <c r="Q12" s="47"/>
      <c r="R12" s="47"/>
      <c r="S12" s="47"/>
      <c r="T12" s="47"/>
      <c r="U12" s="49" t="str">
        <f ca="1">IF(COUNTIF(OFFSET($E12,0,1):OFFSET(U12,0,-1),"=*")&gt;0,IF($C12="К","-"," - "),IF(COUNTIF(OFFSET($E12,0,1):OFFSET(U12,0,-1),"&lt;4")&gt;0,IF(C12="К","-"," - "),(IFERROR(AVERAGE(OFFSET($E12,0,1):OFFSET(U12,0,-1)),"Очікую"))))</f>
        <v>Очікую</v>
      </c>
      <c r="V12" s="49" t="str">
        <f t="shared" ca="1" si="0"/>
        <v>Очікую</v>
      </c>
      <c r="W12" s="36"/>
      <c r="X12" s="42"/>
    </row>
    <row r="13" spans="1:24" s="12" customFormat="1" ht="15" customHeight="1" x14ac:dyDescent="0.25">
      <c r="A13" s="43"/>
      <c r="B13" s="34"/>
      <c r="C13" s="47"/>
      <c r="D13" s="47">
        <v>4</v>
      </c>
      <c r="E13" s="48"/>
      <c r="F13" s="47"/>
      <c r="G13" s="47"/>
      <c r="H13" s="47"/>
      <c r="I13" s="47"/>
      <c r="J13" s="47"/>
      <c r="K13" s="47"/>
      <c r="L13" s="47"/>
      <c r="M13" s="47"/>
      <c r="N13" s="47"/>
      <c r="O13" s="47"/>
      <c r="P13" s="47"/>
      <c r="Q13" s="47"/>
      <c r="R13" s="47"/>
      <c r="S13" s="47"/>
      <c r="T13" s="47"/>
      <c r="U13" s="49" t="str">
        <f ca="1">IF(COUNTIF(OFFSET($E13,0,1):OFFSET(U13,0,-1),"=*")&gt;0,IF($C13="К","-"," - "),IF(COUNTIF(OFFSET($E13,0,1):OFFSET(U13,0,-1),"&lt;4")&gt;0,IF(C13="К","-"," - "),(IFERROR(AVERAGE(OFFSET($E13,0,1):OFFSET(U13,0,-1)),"Очікую"))))</f>
        <v>Очікую</v>
      </c>
      <c r="V13" s="49" t="str">
        <f t="shared" ca="1" si="0"/>
        <v>Очікую</v>
      </c>
      <c r="W13" s="36"/>
      <c r="X13" s="42"/>
    </row>
    <row r="14" spans="1:24" s="12" customFormat="1" ht="15" customHeight="1" x14ac:dyDescent="0.25">
      <c r="A14" s="43"/>
      <c r="B14" s="34"/>
      <c r="C14" s="47"/>
      <c r="D14" s="47">
        <v>5</v>
      </c>
      <c r="E14" s="48"/>
      <c r="F14" s="47"/>
      <c r="G14" s="47"/>
      <c r="H14" s="47"/>
      <c r="I14" s="47"/>
      <c r="J14" s="47"/>
      <c r="K14" s="47"/>
      <c r="L14" s="47"/>
      <c r="M14" s="47"/>
      <c r="N14" s="47"/>
      <c r="O14" s="47"/>
      <c r="P14" s="47"/>
      <c r="Q14" s="47"/>
      <c r="R14" s="47"/>
      <c r="S14" s="47"/>
      <c r="T14" s="47"/>
      <c r="U14" s="49" t="str">
        <f ca="1">IF(COUNTIF(OFFSET($E14,0,1):OFFSET(U14,0,-1),"=*")&gt;0,IF($C14="К","-"," - "),IF(COUNTIF(OFFSET($E14,0,1):OFFSET(U14,0,-1),"&lt;4")&gt;0,IF(C14="К","-"," - "),(IFERROR(AVERAGE(OFFSET($E14,0,1):OFFSET(U14,0,-1)),"Очікую"))))</f>
        <v>Очікую</v>
      </c>
      <c r="V14" s="49" t="str">
        <f t="shared" ca="1" si="0"/>
        <v>Очікую</v>
      </c>
      <c r="W14" s="36"/>
      <c r="X14" s="42"/>
    </row>
    <row r="15" spans="1:24" s="12" customFormat="1" ht="15" customHeight="1" x14ac:dyDescent="0.25">
      <c r="A15" s="43"/>
      <c r="B15" s="34"/>
      <c r="C15" s="47"/>
      <c r="D15" s="47">
        <v>6</v>
      </c>
      <c r="E15" s="48"/>
      <c r="F15" s="47"/>
      <c r="G15" s="47"/>
      <c r="H15" s="47"/>
      <c r="I15" s="47"/>
      <c r="J15" s="47"/>
      <c r="K15" s="47"/>
      <c r="L15" s="47"/>
      <c r="M15" s="47"/>
      <c r="N15" s="47"/>
      <c r="O15" s="47"/>
      <c r="P15" s="47"/>
      <c r="Q15" s="47"/>
      <c r="R15" s="47"/>
      <c r="S15" s="47"/>
      <c r="T15" s="47"/>
      <c r="U15" s="49" t="str">
        <f ca="1">IF(COUNTIF(OFFSET($E15,0,1):OFFSET(U15,0,-1),"=*")&gt;0,IF($C15="К","-"," - "),IF(COUNTIF(OFFSET($E15,0,1):OFFSET(U15,0,-1),"&lt;4")&gt;0,IF(C15="К","-"," - "),(IFERROR(AVERAGE(OFFSET($E15,0,1):OFFSET(U15,0,-1)),"Очікую"))))</f>
        <v>Очікую</v>
      </c>
      <c r="V15" s="49" t="str">
        <f t="shared" ca="1" si="0"/>
        <v>Очікую</v>
      </c>
      <c r="W15" s="36"/>
      <c r="X15" s="42"/>
    </row>
    <row r="16" spans="1:24" s="12" customFormat="1" ht="15" customHeight="1" x14ac:dyDescent="0.25">
      <c r="A16" s="43"/>
      <c r="B16" s="34"/>
      <c r="C16" s="47"/>
      <c r="D16" s="47">
        <v>7</v>
      </c>
      <c r="E16" s="48"/>
      <c r="F16" s="47"/>
      <c r="G16" s="47"/>
      <c r="H16" s="47"/>
      <c r="I16" s="47"/>
      <c r="J16" s="47"/>
      <c r="K16" s="47"/>
      <c r="L16" s="47"/>
      <c r="M16" s="47"/>
      <c r="N16" s="47"/>
      <c r="O16" s="47"/>
      <c r="P16" s="47"/>
      <c r="Q16" s="47"/>
      <c r="R16" s="47"/>
      <c r="S16" s="47"/>
      <c r="T16" s="47"/>
      <c r="U16" s="49" t="str">
        <f ca="1">IF(COUNTIF(OFFSET($E16,0,1):OFFSET(U16,0,-1),"=*")&gt;0,IF($C16="К","-"," - "),IF(COUNTIF(OFFSET($E16,0,1):OFFSET(U16,0,-1),"&lt;4")&gt;0,IF(C16="К","-"," - "),(IFERROR(AVERAGE(OFFSET($E16,0,1):OFFSET(U16,0,-1)),"Очікую"))))</f>
        <v>Очікую</v>
      </c>
      <c r="V16" s="49" t="str">
        <f t="shared" ca="1" si="0"/>
        <v>Очікую</v>
      </c>
      <c r="W16" s="36"/>
      <c r="X16" s="42"/>
    </row>
    <row r="17" spans="1:24" s="12" customFormat="1" ht="15" customHeight="1" x14ac:dyDescent="0.25">
      <c r="A17" s="43"/>
      <c r="B17" s="34"/>
      <c r="C17" s="47"/>
      <c r="D17" s="47">
        <v>8</v>
      </c>
      <c r="E17" s="48"/>
      <c r="F17" s="47"/>
      <c r="G17" s="47"/>
      <c r="H17" s="47"/>
      <c r="I17" s="47"/>
      <c r="J17" s="47"/>
      <c r="K17" s="47"/>
      <c r="L17" s="47"/>
      <c r="M17" s="47"/>
      <c r="N17" s="47"/>
      <c r="O17" s="47"/>
      <c r="P17" s="47"/>
      <c r="Q17" s="47"/>
      <c r="R17" s="47"/>
      <c r="S17" s="47"/>
      <c r="T17" s="47"/>
      <c r="U17" s="49" t="str">
        <f ca="1">IF(COUNTIF(OFFSET($E17,0,1):OFFSET(U17,0,-1),"=*")&gt;0,IF($C17="К","-"," - "),IF(COUNTIF(OFFSET($E17,0,1):OFFSET(U17,0,-1),"&lt;4")&gt;0,IF(C17="К","-"," - "),(IFERROR(AVERAGE(OFFSET($E17,0,1):OFFSET(U17,0,-1)),"Очікую"))))</f>
        <v>Очікую</v>
      </c>
      <c r="V17" s="49" t="str">
        <f t="shared" ca="1" si="0"/>
        <v>Очікую</v>
      </c>
      <c r="W17" s="36"/>
      <c r="X17" s="42"/>
    </row>
    <row r="18" spans="1:24" s="12" customFormat="1" ht="15" customHeight="1" x14ac:dyDescent="0.25">
      <c r="A18" s="43"/>
      <c r="B18" s="34"/>
      <c r="C18" s="47"/>
      <c r="D18" s="47">
        <v>9</v>
      </c>
      <c r="E18" s="48"/>
      <c r="F18" s="47"/>
      <c r="G18" s="47"/>
      <c r="H18" s="47"/>
      <c r="I18" s="47"/>
      <c r="J18" s="47"/>
      <c r="K18" s="47"/>
      <c r="L18" s="47"/>
      <c r="M18" s="47"/>
      <c r="N18" s="47"/>
      <c r="O18" s="47"/>
      <c r="P18" s="47"/>
      <c r="Q18" s="47"/>
      <c r="R18" s="47"/>
      <c r="S18" s="47"/>
      <c r="T18" s="47"/>
      <c r="U18" s="49" t="str">
        <f ca="1">IF(COUNTIF(OFFSET($E18,0,1):OFFSET(U18,0,-1),"=*")&gt;0,IF($C18="К","-"," - "),IF(COUNTIF(OFFSET($E18,0,1):OFFSET(U18,0,-1),"&lt;4")&gt;0,IF(C18="К","-"," - "),(IFERROR(AVERAGE(OFFSET($E18,0,1):OFFSET(U18,0,-1)),"Очікую"))))</f>
        <v>Очікую</v>
      </c>
      <c r="V18" s="49" t="str">
        <f t="shared" ca="1" si="0"/>
        <v>Очікую</v>
      </c>
      <c r="W18" s="36"/>
      <c r="X18" s="42"/>
    </row>
    <row r="19" spans="1:24" s="12" customFormat="1" ht="15" customHeight="1" x14ac:dyDescent="0.25">
      <c r="A19" s="43"/>
      <c r="B19" s="34"/>
      <c r="C19" s="47"/>
      <c r="D19" s="47">
        <v>10</v>
      </c>
      <c r="E19" s="48"/>
      <c r="F19" s="47"/>
      <c r="G19" s="47"/>
      <c r="H19" s="47"/>
      <c r="I19" s="47"/>
      <c r="J19" s="47"/>
      <c r="K19" s="47"/>
      <c r="L19" s="47"/>
      <c r="M19" s="47"/>
      <c r="N19" s="47"/>
      <c r="O19" s="47"/>
      <c r="P19" s="47"/>
      <c r="Q19" s="47"/>
      <c r="R19" s="47"/>
      <c r="S19" s="47"/>
      <c r="T19" s="47"/>
      <c r="U19" s="49" t="str">
        <f ca="1">IF(COUNTIF(OFFSET($E19,0,1):OFFSET(U19,0,-1),"=*")&gt;0,IF($C19="К","-"," - "),IF(COUNTIF(OFFSET($E19,0,1):OFFSET(U19,0,-1),"&lt;4")&gt;0,IF(C19="К","-"," - "),(IFERROR(AVERAGE(OFFSET($E19,0,1):OFFSET(U19,0,-1)),"Очікую"))))</f>
        <v>Очікую</v>
      </c>
      <c r="V19" s="49" t="str">
        <f t="shared" ca="1" si="0"/>
        <v>Очікую</v>
      </c>
      <c r="W19" s="36"/>
      <c r="X19" s="42"/>
    </row>
    <row r="20" spans="1:24" s="12" customFormat="1" ht="15" customHeight="1" x14ac:dyDescent="0.25">
      <c r="A20" s="43"/>
      <c r="B20" s="34"/>
      <c r="C20" s="47"/>
      <c r="D20" s="47">
        <v>11</v>
      </c>
      <c r="E20" s="48"/>
      <c r="F20" s="47"/>
      <c r="G20" s="47"/>
      <c r="H20" s="47"/>
      <c r="I20" s="47"/>
      <c r="J20" s="47"/>
      <c r="K20" s="47"/>
      <c r="L20" s="47"/>
      <c r="M20" s="47"/>
      <c r="N20" s="47"/>
      <c r="O20" s="47"/>
      <c r="P20" s="47"/>
      <c r="Q20" s="47"/>
      <c r="R20" s="47"/>
      <c r="S20" s="47"/>
      <c r="T20" s="47"/>
      <c r="U20" s="49" t="str">
        <f ca="1">IF(COUNTIF(OFFSET($E20,0,1):OFFSET(U20,0,-1),"=*")&gt;0,IF($C20="К","-"," - "),IF(COUNTIF(OFFSET($E20,0,1):OFFSET(U20,0,-1),"&lt;4")&gt;0,IF(C20="К","-"," - "),(IFERROR(AVERAGE(OFFSET($E20,0,1):OFFSET(U20,0,-1)),"Очікую"))))</f>
        <v>Очікую</v>
      </c>
      <c r="V20" s="49" t="str">
        <f t="shared" ca="1" si="0"/>
        <v>Очікую</v>
      </c>
      <c r="W20" s="36"/>
      <c r="X20" s="42"/>
    </row>
    <row r="21" spans="1:24" s="12" customFormat="1" ht="15" customHeight="1" x14ac:dyDescent="0.25">
      <c r="A21" s="43"/>
      <c r="B21" s="34"/>
      <c r="C21" s="47"/>
      <c r="D21" s="47">
        <v>12</v>
      </c>
      <c r="E21" s="48"/>
      <c r="F21" s="47"/>
      <c r="G21" s="47"/>
      <c r="H21" s="47"/>
      <c r="I21" s="47"/>
      <c r="J21" s="47"/>
      <c r="K21" s="47"/>
      <c r="L21" s="47"/>
      <c r="M21" s="47"/>
      <c r="N21" s="47"/>
      <c r="O21" s="47"/>
      <c r="P21" s="47"/>
      <c r="Q21" s="47"/>
      <c r="R21" s="47"/>
      <c r="S21" s="47"/>
      <c r="T21" s="47"/>
      <c r="U21" s="49" t="str">
        <f ca="1">IF(COUNTIF(OFFSET($E21,0,1):OFFSET(U21,0,-1),"=*")&gt;0,IF($C21="К","-"," - "),IF(COUNTIF(OFFSET($E21,0,1):OFFSET(U21,0,-1),"&lt;4")&gt;0,IF(C21="К","-"," - "),(IFERROR(AVERAGE(OFFSET($E21,0,1):OFFSET(U21,0,-1)),"Очікую"))))</f>
        <v>Очікую</v>
      </c>
      <c r="V21" s="49" t="str">
        <f t="shared" ca="1" si="0"/>
        <v>Очікую</v>
      </c>
      <c r="W21" s="36"/>
      <c r="X21" s="42"/>
    </row>
    <row r="22" spans="1:24" s="12" customFormat="1" ht="15" customHeight="1" x14ac:dyDescent="0.25">
      <c r="A22" s="43"/>
      <c r="B22" s="34"/>
      <c r="C22" s="47"/>
      <c r="D22" s="47">
        <v>13</v>
      </c>
      <c r="E22" s="48"/>
      <c r="F22" s="47"/>
      <c r="G22" s="47"/>
      <c r="H22" s="47"/>
      <c r="I22" s="47"/>
      <c r="J22" s="47"/>
      <c r="K22" s="47"/>
      <c r="L22" s="47"/>
      <c r="M22" s="47"/>
      <c r="N22" s="47"/>
      <c r="O22" s="47"/>
      <c r="P22" s="47"/>
      <c r="Q22" s="47"/>
      <c r="R22" s="47"/>
      <c r="S22" s="47"/>
      <c r="T22" s="47"/>
      <c r="U22" s="49" t="str">
        <f ca="1">IF(COUNTIF(OFFSET($E22,0,1):OFFSET(U22,0,-1),"=*")&gt;0,IF($C22="К","-"," - "),IF(COUNTIF(OFFSET($E22,0,1):OFFSET(U22,0,-1),"&lt;4")&gt;0,IF(C22="К","-"," - "),(IFERROR(AVERAGE(OFFSET($E22,0,1):OFFSET(U22,0,-1)),"Очікую"))))</f>
        <v>Очікую</v>
      </c>
      <c r="V22" s="49" t="str">
        <f t="shared" ca="1" si="0"/>
        <v>Очікую</v>
      </c>
      <c r="W22" s="36"/>
      <c r="X22" s="42"/>
    </row>
    <row r="23" spans="1:24" s="12" customFormat="1" ht="15" customHeight="1" x14ac:dyDescent="0.25">
      <c r="A23" s="43"/>
      <c r="B23" s="34"/>
      <c r="C23" s="47"/>
      <c r="D23" s="47">
        <v>14</v>
      </c>
      <c r="E23" s="48"/>
      <c r="F23" s="47"/>
      <c r="G23" s="47"/>
      <c r="H23" s="47"/>
      <c r="I23" s="47"/>
      <c r="J23" s="47"/>
      <c r="K23" s="47"/>
      <c r="L23" s="47"/>
      <c r="M23" s="47"/>
      <c r="N23" s="47"/>
      <c r="O23" s="47"/>
      <c r="P23" s="47"/>
      <c r="Q23" s="47"/>
      <c r="R23" s="47"/>
      <c r="S23" s="47"/>
      <c r="T23" s="47"/>
      <c r="U23" s="49" t="str">
        <f ca="1">IF(COUNTIF(OFFSET($E23,0,1):OFFSET(U23,0,-1),"=*")&gt;0,IF($C23="К","-"," - "),IF(COUNTIF(OFFSET($E23,0,1):OFFSET(U23,0,-1),"&lt;4")&gt;0,IF(C23="К","-"," - "),(IFERROR(AVERAGE(OFFSET($E23,0,1):OFFSET(U23,0,-1)),"Очікую"))))</f>
        <v>Очікую</v>
      </c>
      <c r="V23" s="49" t="str">
        <f t="shared" ca="1" si="0"/>
        <v>Очікую</v>
      </c>
      <c r="W23" s="36"/>
      <c r="X23" s="42"/>
    </row>
    <row r="24" spans="1:24" s="12" customFormat="1" ht="15" customHeight="1" x14ac:dyDescent="0.25">
      <c r="A24" s="43"/>
      <c r="B24" s="34"/>
      <c r="C24" s="47"/>
      <c r="D24" s="47">
        <v>15</v>
      </c>
      <c r="E24" s="48"/>
      <c r="F24" s="47"/>
      <c r="G24" s="47"/>
      <c r="H24" s="47"/>
      <c r="I24" s="47"/>
      <c r="J24" s="47"/>
      <c r="K24" s="47"/>
      <c r="L24" s="47"/>
      <c r="M24" s="47"/>
      <c r="N24" s="47"/>
      <c r="O24" s="47"/>
      <c r="P24" s="47"/>
      <c r="Q24" s="47"/>
      <c r="R24" s="47"/>
      <c r="S24" s="47"/>
      <c r="T24" s="47"/>
      <c r="U24" s="49" t="str">
        <f ca="1">IF(COUNTIF(OFFSET($E24,0,1):OFFSET(U24,0,-1),"=*")&gt;0,IF($C24="К","-"," - "),IF(COUNTIF(OFFSET($E24,0,1):OFFSET(U24,0,-1),"&lt;4")&gt;0,IF(C24="К","-"," - "),(IFERROR(AVERAGE(OFFSET($E24,0,1):OFFSET(U24,0,-1)),"Очікую"))))</f>
        <v>Очікую</v>
      </c>
      <c r="V24" s="49" t="str">
        <f t="shared" ca="1" si="0"/>
        <v>Очікую</v>
      </c>
      <c r="W24" s="36"/>
      <c r="X24" s="42"/>
    </row>
    <row r="25" spans="1:24" s="12" customFormat="1" ht="15" customHeight="1" x14ac:dyDescent="0.25">
      <c r="A25" s="43"/>
      <c r="B25" s="34"/>
      <c r="C25" s="47"/>
      <c r="D25" s="47">
        <v>16</v>
      </c>
      <c r="E25" s="48"/>
      <c r="F25" s="47"/>
      <c r="G25" s="47"/>
      <c r="H25" s="47"/>
      <c r="I25" s="47"/>
      <c r="J25" s="47"/>
      <c r="K25" s="47"/>
      <c r="L25" s="47"/>
      <c r="M25" s="47"/>
      <c r="N25" s="47"/>
      <c r="O25" s="47"/>
      <c r="P25" s="47"/>
      <c r="Q25" s="47"/>
      <c r="R25" s="47"/>
      <c r="S25" s="47"/>
      <c r="T25" s="47"/>
      <c r="U25" s="49" t="str">
        <f ca="1">IF(COUNTIF(OFFSET($E25,0,1):OFFSET(U25,0,-1),"=*")&gt;0,IF($C25="К","-"," - "),IF(COUNTIF(OFFSET($E25,0,1):OFFSET(U25,0,-1),"&lt;4")&gt;0,IF(C25="К","-"," - "),(IFERROR(AVERAGE(OFFSET($E25,0,1):OFFSET(U25,0,-1)),"Очікую"))))</f>
        <v>Очікую</v>
      </c>
      <c r="V25" s="49" t="str">
        <f t="shared" ca="1" si="0"/>
        <v>Очікую</v>
      </c>
      <c r="W25" s="36"/>
      <c r="X25" s="42"/>
    </row>
    <row r="26" spans="1:24" s="12" customFormat="1" ht="15" customHeight="1" x14ac:dyDescent="0.25">
      <c r="A26" s="43"/>
      <c r="B26" s="34"/>
      <c r="C26" s="47"/>
      <c r="D26" s="47">
        <v>17</v>
      </c>
      <c r="E26" s="48"/>
      <c r="F26" s="47"/>
      <c r="G26" s="47"/>
      <c r="H26" s="47"/>
      <c r="I26" s="47"/>
      <c r="J26" s="47"/>
      <c r="K26" s="47"/>
      <c r="L26" s="47"/>
      <c r="M26" s="47"/>
      <c r="N26" s="47"/>
      <c r="O26" s="47"/>
      <c r="P26" s="47"/>
      <c r="Q26" s="47"/>
      <c r="R26" s="47"/>
      <c r="S26" s="47"/>
      <c r="T26" s="47"/>
      <c r="U26" s="49" t="str">
        <f ca="1">IF(COUNTIF(OFFSET($E26,0,1):OFFSET(U26,0,-1),"=*")&gt;0,IF($C26="К","-"," - "),IF(COUNTIF(OFFSET($E26,0,1):OFFSET(U26,0,-1),"&lt;4")&gt;0,IF(C26="К","-"," - "),(IFERROR(AVERAGE(OFFSET($E26,0,1):OFFSET(U26,0,-1)),"Очікую"))))</f>
        <v>Очікую</v>
      </c>
      <c r="V26" s="49" t="str">
        <f t="shared" ca="1" si="0"/>
        <v>Очікую</v>
      </c>
      <c r="W26" s="36"/>
      <c r="X26" s="42"/>
    </row>
    <row r="27" spans="1:24" s="12" customFormat="1" ht="15" customHeight="1" x14ac:dyDescent="0.25">
      <c r="A27" s="43"/>
      <c r="B27" s="34"/>
      <c r="C27" s="47"/>
      <c r="D27" s="47">
        <v>18</v>
      </c>
      <c r="E27" s="48"/>
      <c r="F27" s="47"/>
      <c r="G27" s="47"/>
      <c r="H27" s="47"/>
      <c r="I27" s="47"/>
      <c r="J27" s="47"/>
      <c r="K27" s="47"/>
      <c r="L27" s="47"/>
      <c r="M27" s="47"/>
      <c r="N27" s="47"/>
      <c r="O27" s="47"/>
      <c r="P27" s="47"/>
      <c r="Q27" s="47"/>
      <c r="R27" s="47"/>
      <c r="S27" s="47"/>
      <c r="T27" s="47"/>
      <c r="U27" s="49" t="str">
        <f ca="1">IF(COUNTIF(OFFSET($E27,0,1):OFFSET(U27,0,-1),"=*")&gt;0,IF($C27="К","-"," - "),IF(COUNTIF(OFFSET($E27,0,1):OFFSET(U27,0,-1),"&lt;4")&gt;0,IF(C27="К","-"," - "),(IFERROR(AVERAGE(OFFSET($E27,0,1):OFFSET(U27,0,-1)),"Очікую"))))</f>
        <v>Очікую</v>
      </c>
      <c r="V27" s="49" t="str">
        <f t="shared" ca="1" si="0"/>
        <v>Очікую</v>
      </c>
      <c r="W27" s="36"/>
      <c r="X27" s="42"/>
    </row>
    <row r="28" spans="1:24" s="12" customFormat="1" ht="15" customHeight="1" x14ac:dyDescent="0.25">
      <c r="A28" s="43"/>
      <c r="B28" s="34"/>
      <c r="C28" s="47"/>
      <c r="D28" s="47">
        <v>19</v>
      </c>
      <c r="E28" s="48"/>
      <c r="F28" s="47"/>
      <c r="G28" s="47"/>
      <c r="H28" s="47"/>
      <c r="I28" s="47"/>
      <c r="J28" s="47"/>
      <c r="K28" s="47"/>
      <c r="L28" s="47"/>
      <c r="M28" s="47"/>
      <c r="N28" s="47"/>
      <c r="O28" s="47"/>
      <c r="P28" s="47"/>
      <c r="Q28" s="47"/>
      <c r="R28" s="47"/>
      <c r="S28" s="47"/>
      <c r="T28" s="47"/>
      <c r="U28" s="49" t="str">
        <f ca="1">IF(COUNTIF(OFFSET($E28,0,1):OFFSET(U28,0,-1),"=*")&gt;0,IF($C28="К","-"," - "),IF(COUNTIF(OFFSET($E28,0,1):OFFSET(U28,0,-1),"&lt;4")&gt;0,IF(C28="К","-"," - "),(IFERROR(AVERAGE(OFFSET($E28,0,1):OFFSET(U28,0,-1)),"Очікую"))))</f>
        <v>Очікую</v>
      </c>
      <c r="V28" s="49" t="str">
        <f t="shared" ca="1" si="0"/>
        <v>Очікую</v>
      </c>
      <c r="W28" s="36"/>
      <c r="X28" s="42"/>
    </row>
    <row r="29" spans="1:24" s="12" customFormat="1" ht="15" customHeight="1" x14ac:dyDescent="0.25">
      <c r="A29" s="43"/>
      <c r="B29" s="34"/>
      <c r="C29" s="47"/>
      <c r="D29" s="47">
        <v>20</v>
      </c>
      <c r="E29" s="48"/>
      <c r="F29" s="47"/>
      <c r="G29" s="47"/>
      <c r="H29" s="47"/>
      <c r="I29" s="47"/>
      <c r="J29" s="47"/>
      <c r="K29" s="47"/>
      <c r="L29" s="47"/>
      <c r="M29" s="47"/>
      <c r="N29" s="47"/>
      <c r="O29" s="47"/>
      <c r="P29" s="47"/>
      <c r="Q29" s="47"/>
      <c r="R29" s="47"/>
      <c r="S29" s="47"/>
      <c r="T29" s="47"/>
      <c r="U29" s="49" t="str">
        <f ca="1">IF(COUNTIF(OFFSET($E29,0,1):OFFSET(U29,0,-1),"=*")&gt;0,IF($C29="К","-"," - "),IF(COUNTIF(OFFSET($E29,0,1):OFFSET(U29,0,-1),"&lt;4")&gt;0,IF(C29="К","-"," - "),(IFERROR(AVERAGE(OFFSET($E29,0,1):OFFSET(U29,0,-1)),"Очікую"))))</f>
        <v>Очікую</v>
      </c>
      <c r="V29" s="49" t="str">
        <f t="shared" ca="1" si="0"/>
        <v>Очікую</v>
      </c>
      <c r="W29" s="36"/>
      <c r="X29" s="42"/>
    </row>
    <row r="30" spans="1:24" s="12" customFormat="1" ht="15" customHeight="1" x14ac:dyDescent="0.25">
      <c r="A30" s="43"/>
      <c r="B30" s="34"/>
      <c r="C30" s="47"/>
      <c r="D30" s="47">
        <v>21</v>
      </c>
      <c r="E30" s="48"/>
      <c r="F30" s="47"/>
      <c r="G30" s="47"/>
      <c r="H30" s="47"/>
      <c r="I30" s="47"/>
      <c r="J30" s="47"/>
      <c r="K30" s="47"/>
      <c r="L30" s="47"/>
      <c r="M30" s="47"/>
      <c r="N30" s="47"/>
      <c r="O30" s="47"/>
      <c r="P30" s="47"/>
      <c r="Q30" s="47"/>
      <c r="R30" s="47"/>
      <c r="S30" s="47"/>
      <c r="T30" s="47"/>
      <c r="U30" s="49" t="str">
        <f ca="1">IF(COUNTIF(OFFSET($E30,0,1):OFFSET(U30,0,-1),"=*")&gt;0,IF($C30="К","-"," - "),IF(COUNTIF(OFFSET($E30,0,1):OFFSET(U30,0,-1),"&lt;4")&gt;0,IF(C30="К","-"," - "),(IFERROR(AVERAGE(OFFSET($E30,0,1):OFFSET(U30,0,-1)),"Очікую"))))</f>
        <v>Очікую</v>
      </c>
      <c r="V30" s="49" t="str">
        <f t="shared" ca="1" si="0"/>
        <v>Очікую</v>
      </c>
      <c r="W30" s="36"/>
      <c r="X30" s="42"/>
    </row>
    <row r="31" spans="1:24" s="12" customFormat="1" ht="15" customHeight="1" x14ac:dyDescent="0.25">
      <c r="A31" s="43"/>
      <c r="B31" s="34"/>
      <c r="C31" s="47"/>
      <c r="D31" s="47">
        <v>22</v>
      </c>
      <c r="E31" s="48"/>
      <c r="F31" s="47"/>
      <c r="G31" s="47"/>
      <c r="H31" s="47"/>
      <c r="I31" s="47"/>
      <c r="J31" s="47"/>
      <c r="K31" s="47"/>
      <c r="L31" s="47"/>
      <c r="M31" s="47"/>
      <c r="N31" s="47"/>
      <c r="O31" s="47"/>
      <c r="P31" s="47"/>
      <c r="Q31" s="47"/>
      <c r="R31" s="47"/>
      <c r="S31" s="47"/>
      <c r="T31" s="47"/>
      <c r="U31" s="49" t="str">
        <f ca="1">IF(COUNTIF(OFFSET($E31,0,1):OFFSET(U31,0,-1),"=*")&gt;0,IF($C31="К","-"," - "),IF(COUNTIF(OFFSET($E31,0,1):OFFSET(U31,0,-1),"&lt;4")&gt;0,IF(C31="К","-"," - "),(IFERROR(AVERAGE(OFFSET($E31,0,1):OFFSET(U31,0,-1)),"Очікую"))))</f>
        <v>Очікую</v>
      </c>
      <c r="V31" s="49" t="str">
        <f t="shared" ca="1" si="0"/>
        <v>Очікую</v>
      </c>
      <c r="W31" s="36"/>
      <c r="X31" s="42"/>
    </row>
    <row r="32" spans="1:24" s="12" customFormat="1" ht="15" customHeight="1" x14ac:dyDescent="0.25">
      <c r="A32" s="43"/>
      <c r="B32" s="34"/>
      <c r="C32" s="47"/>
      <c r="D32" s="47">
        <v>23</v>
      </c>
      <c r="E32" s="48"/>
      <c r="F32" s="47"/>
      <c r="G32" s="47"/>
      <c r="H32" s="47"/>
      <c r="I32" s="47"/>
      <c r="J32" s="47"/>
      <c r="K32" s="47"/>
      <c r="L32" s="47"/>
      <c r="M32" s="47"/>
      <c r="N32" s="47"/>
      <c r="O32" s="47"/>
      <c r="P32" s="47"/>
      <c r="Q32" s="47"/>
      <c r="R32" s="47"/>
      <c r="S32" s="47"/>
      <c r="T32" s="47"/>
      <c r="U32" s="49" t="str">
        <f ca="1">IF(COUNTIF(OFFSET($E32,0,1):OFFSET(U32,0,-1),"=*")&gt;0,IF($C32="К","-"," - "),IF(COUNTIF(OFFSET($E32,0,1):OFFSET(U32,0,-1),"&lt;4")&gt;0,IF(C32="К","-"," - "),(IFERROR(AVERAGE(OFFSET($E32,0,1):OFFSET(U32,0,-1)),"Очікую"))))</f>
        <v>Очікую</v>
      </c>
      <c r="V32" s="49" t="str">
        <f t="shared" ca="1" si="0"/>
        <v>Очікую</v>
      </c>
      <c r="W32" s="36"/>
      <c r="X32" s="42"/>
    </row>
    <row r="33" spans="1:24" s="12" customFormat="1" ht="15" customHeight="1" x14ac:dyDescent="0.25">
      <c r="A33" s="43"/>
      <c r="B33" s="34"/>
      <c r="C33" s="47"/>
      <c r="D33" s="47">
        <v>24</v>
      </c>
      <c r="E33" s="48"/>
      <c r="F33" s="47"/>
      <c r="G33" s="47"/>
      <c r="H33" s="47"/>
      <c r="I33" s="47"/>
      <c r="J33" s="47"/>
      <c r="K33" s="47"/>
      <c r="L33" s="47"/>
      <c r="M33" s="47"/>
      <c r="N33" s="47"/>
      <c r="O33" s="47"/>
      <c r="P33" s="47"/>
      <c r="Q33" s="47"/>
      <c r="R33" s="47"/>
      <c r="S33" s="47"/>
      <c r="T33" s="47"/>
      <c r="U33" s="49" t="str">
        <f ca="1">IF(COUNTIF(OFFSET($E33,0,1):OFFSET(U33,0,-1),"=*")&gt;0,IF($C33="К","-"," - "),IF(COUNTIF(OFFSET($E33,0,1):OFFSET(U33,0,-1),"&lt;4")&gt;0,IF(C33="К","-"," - "),(IFERROR(AVERAGE(OFFSET($E33,0,1):OFFSET(U33,0,-1)),"Очікую"))))</f>
        <v>Очікую</v>
      </c>
      <c r="V33" s="49" t="str">
        <f t="shared" ca="1" si="0"/>
        <v>Очікую</v>
      </c>
      <c r="W33" s="36"/>
      <c r="X33" s="42"/>
    </row>
    <row r="34" spans="1:24" s="12" customFormat="1" ht="15" customHeight="1" x14ac:dyDescent="0.25">
      <c r="A34" s="43"/>
      <c r="B34" s="34"/>
      <c r="C34" s="47"/>
      <c r="D34" s="47">
        <v>25</v>
      </c>
      <c r="E34" s="48"/>
      <c r="F34" s="47"/>
      <c r="G34" s="47"/>
      <c r="H34" s="47"/>
      <c r="I34" s="47"/>
      <c r="J34" s="47"/>
      <c r="K34" s="47"/>
      <c r="L34" s="47"/>
      <c r="M34" s="47"/>
      <c r="N34" s="47"/>
      <c r="O34" s="47"/>
      <c r="P34" s="47"/>
      <c r="Q34" s="47"/>
      <c r="R34" s="47"/>
      <c r="S34" s="47"/>
      <c r="T34" s="47"/>
      <c r="U34" s="49" t="str">
        <f ca="1">IF(COUNTIF(OFFSET($E34,0,1):OFFSET(U34,0,-1),"=*")&gt;0,IF($C34="К","-"," - "),IF(COUNTIF(OFFSET($E34,0,1):OFFSET(U34,0,-1),"&lt;4")&gt;0,IF(C34="К","-"," - "),(IFERROR(AVERAGE(OFFSET($E34,0,1):OFFSET(U34,0,-1)),"Очікую"))))</f>
        <v>Очікую</v>
      </c>
      <c r="V34" s="49" t="str">
        <f t="shared" ca="1" si="0"/>
        <v>Очікую</v>
      </c>
      <c r="W34" s="36"/>
      <c r="X34" s="42"/>
    </row>
    <row r="35" spans="1:24" s="12" customFormat="1" ht="15" customHeight="1" x14ac:dyDescent="0.25">
      <c r="A35" s="43"/>
      <c r="B35" s="34"/>
      <c r="C35" s="47"/>
      <c r="D35" s="47">
        <v>26</v>
      </c>
      <c r="E35" s="48"/>
      <c r="F35" s="47"/>
      <c r="G35" s="47"/>
      <c r="H35" s="47"/>
      <c r="I35" s="47"/>
      <c r="J35" s="47"/>
      <c r="K35" s="47"/>
      <c r="L35" s="47"/>
      <c r="M35" s="47"/>
      <c r="N35" s="47"/>
      <c r="O35" s="47"/>
      <c r="P35" s="47"/>
      <c r="Q35" s="47"/>
      <c r="R35" s="47"/>
      <c r="S35" s="47"/>
      <c r="T35" s="47"/>
      <c r="U35" s="49" t="str">
        <f ca="1">IF(COUNTIF(OFFSET($E35,0,1):OFFSET(U35,0,-1),"=*")&gt;0,IF($C35="К","-"," - "),IF(COUNTIF(OFFSET($E35,0,1):OFFSET(U35,0,-1),"&lt;4")&gt;0,IF(C35="К","-"," - "),(IFERROR(AVERAGE(OFFSET($E35,0,1):OFFSET(U35,0,-1)),"Очікую"))))</f>
        <v>Очікую</v>
      </c>
      <c r="V35" s="49" t="str">
        <f t="shared" ca="1" si="0"/>
        <v>Очікую</v>
      </c>
      <c r="W35" s="36"/>
      <c r="X35" s="42"/>
    </row>
    <row r="36" spans="1:24" s="12" customFormat="1" ht="15" customHeight="1" x14ac:dyDescent="0.25">
      <c r="A36" s="43"/>
      <c r="B36" s="34"/>
      <c r="C36" s="47"/>
      <c r="D36" s="47">
        <v>27</v>
      </c>
      <c r="E36" s="48"/>
      <c r="F36" s="47"/>
      <c r="G36" s="47"/>
      <c r="H36" s="47"/>
      <c r="I36" s="47"/>
      <c r="J36" s="47"/>
      <c r="K36" s="47"/>
      <c r="L36" s="47"/>
      <c r="M36" s="47"/>
      <c r="N36" s="47"/>
      <c r="O36" s="47"/>
      <c r="P36" s="47"/>
      <c r="Q36" s="47"/>
      <c r="R36" s="47"/>
      <c r="S36" s="47"/>
      <c r="T36" s="47"/>
      <c r="U36" s="49" t="str">
        <f ca="1">IF(COUNTIF(OFFSET($E36,0,1):OFFSET(U36,0,-1),"=*")&gt;0,IF($C36="К","-"," - "),IF(COUNTIF(OFFSET($E36,0,1):OFFSET(U36,0,-1),"&lt;4")&gt;0,IF(C36="К","-"," - "),(IFERROR(AVERAGE(OFFSET($E36,0,1):OFFSET(U36,0,-1)),"Очікую"))))</f>
        <v>Очікую</v>
      </c>
      <c r="V36" s="49" t="str">
        <f t="shared" ca="1" si="0"/>
        <v>Очікую</v>
      </c>
      <c r="W36" s="36"/>
      <c r="X36" s="42"/>
    </row>
    <row r="37" spans="1:24" s="12" customFormat="1" ht="15" customHeight="1" x14ac:dyDescent="0.25">
      <c r="A37" s="43"/>
      <c r="B37" s="34"/>
      <c r="C37" s="47"/>
      <c r="D37" s="47">
        <v>28</v>
      </c>
      <c r="E37" s="48"/>
      <c r="F37" s="47"/>
      <c r="G37" s="47"/>
      <c r="H37" s="47"/>
      <c r="I37" s="47"/>
      <c r="J37" s="47"/>
      <c r="K37" s="47"/>
      <c r="L37" s="47"/>
      <c r="M37" s="47"/>
      <c r="N37" s="47"/>
      <c r="O37" s="47"/>
      <c r="P37" s="47"/>
      <c r="Q37" s="47"/>
      <c r="R37" s="47"/>
      <c r="S37" s="47"/>
      <c r="T37" s="47"/>
      <c r="U37" s="49" t="str">
        <f ca="1">IF(COUNTIF(OFFSET($E37,0,1):OFFSET(U37,0,-1),"=*")&gt;0,IF($C37="К","-"," - "),IF(COUNTIF(OFFSET($E37,0,1):OFFSET(U37,0,-1),"&lt;4")&gt;0,IF(C37="К","-"," - "),(IFERROR(AVERAGE(OFFSET($E37,0,1):OFFSET(U37,0,-1)),"Очікую"))))</f>
        <v>Очікую</v>
      </c>
      <c r="V37" s="49" t="str">
        <f t="shared" ca="1" si="0"/>
        <v>Очікую</v>
      </c>
      <c r="W37" s="36"/>
      <c r="X37" s="42"/>
    </row>
    <row r="38" spans="1:24" s="12" customFormat="1" ht="15" customHeight="1" x14ac:dyDescent="0.25">
      <c r="A38" s="43"/>
      <c r="B38" s="34"/>
      <c r="C38" s="47"/>
      <c r="D38" s="47">
        <v>29</v>
      </c>
      <c r="E38" s="48"/>
      <c r="F38" s="47"/>
      <c r="G38" s="47"/>
      <c r="H38" s="47"/>
      <c r="I38" s="47"/>
      <c r="J38" s="47"/>
      <c r="K38" s="47"/>
      <c r="L38" s="47"/>
      <c r="M38" s="47"/>
      <c r="N38" s="47"/>
      <c r="O38" s="47"/>
      <c r="P38" s="47"/>
      <c r="Q38" s="47"/>
      <c r="R38" s="47"/>
      <c r="S38" s="47"/>
      <c r="T38" s="47"/>
      <c r="U38" s="49" t="str">
        <f ca="1">IF(COUNTIF(OFFSET($E38,0,1):OFFSET(U38,0,-1),"=*")&gt;0,IF($C38="К","-"," - "),IF(COUNTIF(OFFSET($E38,0,1):OFFSET(U38,0,-1),"&lt;4")&gt;0,IF(C38="К","-"," - "),(IFERROR(AVERAGE(OFFSET($E38,0,1):OFFSET(U38,0,-1)),"Очікую"))))</f>
        <v>Очікую</v>
      </c>
      <c r="V38" s="49" t="str">
        <f t="shared" ca="1" si="0"/>
        <v>Очікую</v>
      </c>
      <c r="W38" s="36"/>
      <c r="X38" s="42"/>
    </row>
    <row r="39" spans="1:24" s="12" customFormat="1" ht="15" customHeight="1" x14ac:dyDescent="0.25">
      <c r="A39" s="43"/>
      <c r="B39" s="34"/>
      <c r="C39" s="47"/>
      <c r="D39" s="47">
        <v>30</v>
      </c>
      <c r="E39" s="48"/>
      <c r="F39" s="47"/>
      <c r="G39" s="47"/>
      <c r="H39" s="47"/>
      <c r="I39" s="47"/>
      <c r="J39" s="47"/>
      <c r="K39" s="47"/>
      <c r="L39" s="47"/>
      <c r="M39" s="47"/>
      <c r="N39" s="47"/>
      <c r="O39" s="47"/>
      <c r="P39" s="47"/>
      <c r="Q39" s="47"/>
      <c r="R39" s="47"/>
      <c r="S39" s="47"/>
      <c r="T39" s="47"/>
      <c r="U39" s="49" t="str">
        <f ca="1">IF(COUNTIF(OFFSET($E39,0,1):OFFSET(U39,0,-1),"=*")&gt;0,IF($C39="К","-"," - "),IF(COUNTIF(OFFSET($E39,0,1):OFFSET(U39,0,-1),"&lt;4")&gt;0,IF(C39="К","-"," - "),(IFERROR(AVERAGE(OFFSET($E39,0,1):OFFSET(U39,0,-1)),"Очікую"))))</f>
        <v>Очікую</v>
      </c>
      <c r="V39" s="49" t="str">
        <f t="shared" ca="1" si="0"/>
        <v>Очікую</v>
      </c>
      <c r="W39" s="36"/>
      <c r="X39" s="42"/>
    </row>
    <row r="40" spans="1:24" s="12" customFormat="1" ht="15" customHeight="1" x14ac:dyDescent="0.25">
      <c r="A40" s="43"/>
      <c r="B40" s="34"/>
      <c r="C40" s="47"/>
      <c r="D40" s="47">
        <v>31</v>
      </c>
      <c r="E40" s="48"/>
      <c r="F40" s="47"/>
      <c r="G40" s="47"/>
      <c r="H40" s="47"/>
      <c r="I40" s="47"/>
      <c r="J40" s="47"/>
      <c r="K40" s="47"/>
      <c r="L40" s="47"/>
      <c r="M40" s="47"/>
      <c r="N40" s="47"/>
      <c r="O40" s="47"/>
      <c r="P40" s="47"/>
      <c r="Q40" s="47"/>
      <c r="R40" s="47"/>
      <c r="S40" s="47"/>
      <c r="T40" s="47"/>
      <c r="U40" s="49" t="str">
        <f ca="1">IF(COUNTIF(OFFSET($E40,0,1):OFFSET(U40,0,-1),"=*")&gt;0,IF($C40="К","-"," - "),IF(COUNTIF(OFFSET($E40,0,1):OFFSET(U40,0,-1),"&lt;4")&gt;0,IF(C40="К","-"," - "),(IFERROR(AVERAGE(OFFSET($E40,0,1):OFFSET(U40,0,-1)),"Очікую"))))</f>
        <v>Очікую</v>
      </c>
      <c r="V40" s="49" t="str">
        <f t="shared" ca="1" si="0"/>
        <v>Очікую</v>
      </c>
      <c r="W40" s="36"/>
      <c r="X40" s="42"/>
    </row>
    <row r="41" spans="1:24" s="12" customFormat="1" ht="15" customHeight="1" x14ac:dyDescent="0.25">
      <c r="A41" s="43"/>
      <c r="B41" s="34"/>
      <c r="C41" s="47"/>
      <c r="D41" s="47">
        <v>32</v>
      </c>
      <c r="E41" s="48"/>
      <c r="F41" s="47"/>
      <c r="G41" s="47"/>
      <c r="H41" s="47"/>
      <c r="I41" s="47"/>
      <c r="J41" s="47"/>
      <c r="K41" s="47"/>
      <c r="L41" s="47"/>
      <c r="M41" s="47"/>
      <c r="N41" s="47"/>
      <c r="O41" s="47"/>
      <c r="P41" s="47"/>
      <c r="Q41" s="47"/>
      <c r="R41" s="47"/>
      <c r="S41" s="47"/>
      <c r="T41" s="47"/>
      <c r="U41" s="49" t="str">
        <f ca="1">IF(COUNTIF(OFFSET($E41,0,1):OFFSET(U41,0,-1),"=*")&gt;0,IF($C41="К","-"," - "),IF(COUNTIF(OFFSET($E41,0,1):OFFSET(U41,0,-1),"&lt;4")&gt;0,IF(C41="К","-"," - "),(IFERROR(AVERAGE(OFFSET($E41,0,1):OFFSET(U41,0,-1)),"Очікую"))))</f>
        <v>Очікую</v>
      </c>
      <c r="V41" s="49" t="str">
        <f t="shared" ca="1" si="0"/>
        <v>Очікую</v>
      </c>
      <c r="W41" s="36"/>
      <c r="X41" s="42"/>
    </row>
    <row r="42" spans="1:24" s="12" customFormat="1" ht="15" customHeight="1" x14ac:dyDescent="0.25">
      <c r="A42" s="43"/>
      <c r="B42" s="34"/>
      <c r="C42" s="47"/>
      <c r="D42" s="47">
        <v>33</v>
      </c>
      <c r="E42" s="48"/>
      <c r="F42" s="47"/>
      <c r="G42" s="47"/>
      <c r="H42" s="47"/>
      <c r="I42" s="47"/>
      <c r="J42" s="47"/>
      <c r="K42" s="47"/>
      <c r="L42" s="47"/>
      <c r="M42" s="47"/>
      <c r="N42" s="47"/>
      <c r="O42" s="47"/>
      <c r="P42" s="47"/>
      <c r="Q42" s="47"/>
      <c r="R42" s="47"/>
      <c r="S42" s="47"/>
      <c r="T42" s="47"/>
      <c r="U42" s="49" t="str">
        <f ca="1">IF(COUNTIF(OFFSET($E42,0,1):OFFSET(U42,0,-1),"=*")&gt;0,IF($C42="К","-"," - "),IF(COUNTIF(OFFSET($E42,0,1):OFFSET(U42,0,-1),"&lt;4")&gt;0,IF(C42="К","-"," - "),(IFERROR(AVERAGE(OFFSET($E42,0,1):OFFSET(U42,0,-1)),"Очікую"))))</f>
        <v>Очікую</v>
      </c>
      <c r="V42" s="49" t="str">
        <f t="shared" ca="1" si="0"/>
        <v>Очікую</v>
      </c>
      <c r="W42" s="36"/>
      <c r="X42" s="42"/>
    </row>
    <row r="43" spans="1:24" s="12" customFormat="1" ht="15" customHeight="1" x14ac:dyDescent="0.25">
      <c r="A43" s="43"/>
      <c r="B43" s="34"/>
      <c r="C43" s="47"/>
      <c r="D43" s="47">
        <v>34</v>
      </c>
      <c r="E43" s="48"/>
      <c r="F43" s="47"/>
      <c r="G43" s="47"/>
      <c r="H43" s="47"/>
      <c r="I43" s="47"/>
      <c r="J43" s="47"/>
      <c r="K43" s="47"/>
      <c r="L43" s="47"/>
      <c r="M43" s="47"/>
      <c r="N43" s="47"/>
      <c r="O43" s="47"/>
      <c r="P43" s="47"/>
      <c r="Q43" s="47"/>
      <c r="R43" s="47"/>
      <c r="S43" s="47"/>
      <c r="T43" s="47"/>
      <c r="U43" s="49" t="str">
        <f ca="1">IF(COUNTIF(OFFSET($E43,0,1):OFFSET(U43,0,-1),"=*")&gt;0,IF($C43="К","-"," - "),IF(COUNTIF(OFFSET($E43,0,1):OFFSET(U43,0,-1),"&lt;4")&gt;0,IF(C43="К","-"," - "),(IFERROR(AVERAGE(OFFSET($E43,0,1):OFFSET(U43,0,-1)),"Очікую"))))</f>
        <v>Очікую</v>
      </c>
      <c r="V43" s="49" t="str">
        <f t="shared" ca="1" si="0"/>
        <v>Очікую</v>
      </c>
      <c r="W43" s="36"/>
      <c r="X43" s="42"/>
    </row>
    <row r="44" spans="1:24" s="12" customFormat="1" ht="15" customHeight="1" x14ac:dyDescent="0.25">
      <c r="A44" s="43"/>
      <c r="B44" s="34"/>
      <c r="C44" s="47"/>
      <c r="D44" s="47">
        <v>35</v>
      </c>
      <c r="E44" s="48"/>
      <c r="F44" s="47"/>
      <c r="G44" s="47"/>
      <c r="H44" s="47"/>
      <c r="I44" s="47"/>
      <c r="J44" s="47"/>
      <c r="K44" s="47"/>
      <c r="L44" s="47"/>
      <c r="M44" s="47"/>
      <c r="N44" s="47"/>
      <c r="O44" s="47"/>
      <c r="P44" s="47"/>
      <c r="Q44" s="47"/>
      <c r="R44" s="47"/>
      <c r="S44" s="47"/>
      <c r="T44" s="47"/>
      <c r="U44" s="49" t="str">
        <f ca="1">IF(COUNTIF(OFFSET($E44,0,1):OFFSET(U44,0,-1),"=*")&gt;0,IF($C44="К","-"," - "),IF(COUNTIF(OFFSET($E44,0,1):OFFSET(U44,0,-1),"&lt;4")&gt;0,IF(C44="К","-"," - "),(IFERROR(AVERAGE(OFFSET($E44,0,1):OFFSET(U44,0,-1)),"Очікую"))))</f>
        <v>Очікую</v>
      </c>
      <c r="V44" s="49" t="str">
        <f t="shared" ca="1" si="0"/>
        <v>Очікую</v>
      </c>
      <c r="W44" s="36"/>
      <c r="X44" s="42"/>
    </row>
    <row r="45" spans="1:24" s="12" customFormat="1" ht="15" customHeight="1" x14ac:dyDescent="0.25">
      <c r="A45" s="43"/>
      <c r="B45" s="34"/>
      <c r="C45" s="47"/>
      <c r="D45" s="47">
        <v>36</v>
      </c>
      <c r="E45" s="48"/>
      <c r="F45" s="47"/>
      <c r="G45" s="47"/>
      <c r="H45" s="47"/>
      <c r="I45" s="47"/>
      <c r="J45" s="47"/>
      <c r="K45" s="47"/>
      <c r="L45" s="47"/>
      <c r="M45" s="47"/>
      <c r="N45" s="47"/>
      <c r="O45" s="47"/>
      <c r="P45" s="47"/>
      <c r="Q45" s="47"/>
      <c r="R45" s="47"/>
      <c r="S45" s="47"/>
      <c r="T45" s="47"/>
      <c r="U45" s="49" t="str">
        <f ca="1">IF(COUNTIF(OFFSET($E45,0,1):OFFSET(U45,0,-1),"=*")&gt;0,IF($C45="К","-"," - "),IF(COUNTIF(OFFSET($E45,0,1):OFFSET(U45,0,-1),"&lt;4")&gt;0,IF(C45="К","-"," - "),(IFERROR(AVERAGE(OFFSET($E45,0,1):OFFSET(U45,0,-1)),"Очікую"))))</f>
        <v>Очікую</v>
      </c>
      <c r="V45" s="49" t="str">
        <f t="shared" ca="1" si="0"/>
        <v>Очікую</v>
      </c>
      <c r="W45" s="36"/>
      <c r="X45" s="42"/>
    </row>
    <row r="46" spans="1:24" s="12" customFormat="1" ht="15" customHeight="1" x14ac:dyDescent="0.25">
      <c r="A46" s="43"/>
      <c r="B46" s="34"/>
      <c r="C46" s="47"/>
      <c r="D46" s="47">
        <v>37</v>
      </c>
      <c r="E46" s="48"/>
      <c r="F46" s="47"/>
      <c r="G46" s="47"/>
      <c r="H46" s="47"/>
      <c r="I46" s="47"/>
      <c r="J46" s="47"/>
      <c r="K46" s="47"/>
      <c r="L46" s="47"/>
      <c r="M46" s="47"/>
      <c r="N46" s="47"/>
      <c r="O46" s="47"/>
      <c r="P46" s="47"/>
      <c r="Q46" s="47"/>
      <c r="R46" s="47"/>
      <c r="S46" s="47"/>
      <c r="T46" s="47"/>
      <c r="U46" s="49" t="str">
        <f ca="1">IF(COUNTIF(OFFSET($E46,0,1):OFFSET(U46,0,-1),"=*")&gt;0,IF($C46="К","-"," - "),IF(COUNTIF(OFFSET($E46,0,1):OFFSET(U46,0,-1),"&lt;4")&gt;0,IF(C46="К","-"," - "),(IFERROR(AVERAGE(OFFSET($E46,0,1):OFFSET(U46,0,-1)),"Очікую"))))</f>
        <v>Очікую</v>
      </c>
      <c r="V46" s="49" t="str">
        <f t="shared" ca="1" si="0"/>
        <v>Очікую</v>
      </c>
      <c r="W46" s="36"/>
      <c r="X46" s="42"/>
    </row>
    <row r="47" spans="1:24" s="12" customFormat="1" ht="15" customHeight="1" x14ac:dyDescent="0.25">
      <c r="A47" s="43"/>
      <c r="B47" s="34"/>
      <c r="C47" s="47"/>
      <c r="D47" s="47">
        <v>38</v>
      </c>
      <c r="E47" s="48"/>
      <c r="F47" s="47"/>
      <c r="G47" s="47"/>
      <c r="H47" s="47"/>
      <c r="I47" s="47"/>
      <c r="J47" s="47"/>
      <c r="K47" s="47"/>
      <c r="L47" s="47"/>
      <c r="M47" s="47"/>
      <c r="N47" s="47"/>
      <c r="O47" s="47"/>
      <c r="P47" s="47"/>
      <c r="Q47" s="47"/>
      <c r="R47" s="47"/>
      <c r="S47" s="47"/>
      <c r="T47" s="47"/>
      <c r="U47" s="49" t="str">
        <f ca="1">IF(COUNTIF(OFFSET($E47,0,1):OFFSET(U47,0,-1),"=*")&gt;0,IF($C47="К","-"," - "),IF(COUNTIF(OFFSET($E47,0,1):OFFSET(U47,0,-1),"&lt;4")&gt;0,IF(C47="К","-"," - "),(IFERROR(AVERAGE(OFFSET($E47,0,1):OFFSET(U47,0,-1)),"Очікую"))))</f>
        <v>Очікую</v>
      </c>
      <c r="V47" s="49" t="str">
        <f t="shared" ca="1" si="0"/>
        <v>Очікую</v>
      </c>
      <c r="W47" s="36"/>
      <c r="X47" s="42"/>
    </row>
    <row r="48" spans="1:24" s="12" customFormat="1" ht="15" customHeight="1" x14ac:dyDescent="0.25">
      <c r="A48" s="43"/>
      <c r="B48" s="34"/>
      <c r="C48" s="47"/>
      <c r="D48" s="47">
        <v>39</v>
      </c>
      <c r="E48" s="48"/>
      <c r="F48" s="47"/>
      <c r="G48" s="47"/>
      <c r="H48" s="47"/>
      <c r="I48" s="47"/>
      <c r="J48" s="47"/>
      <c r="K48" s="47"/>
      <c r="L48" s="47"/>
      <c r="M48" s="47"/>
      <c r="N48" s="47"/>
      <c r="O48" s="47"/>
      <c r="P48" s="47"/>
      <c r="Q48" s="47"/>
      <c r="R48" s="47"/>
      <c r="S48" s="47"/>
      <c r="T48" s="47"/>
      <c r="U48" s="49" t="str">
        <f ca="1">IF(COUNTIF(OFFSET($E48,0,1):OFFSET(U48,0,-1),"=*")&gt;0,IF($C48="К","-"," - "),IF(COUNTIF(OFFSET($E48,0,1):OFFSET(U48,0,-1),"&lt;4")&gt;0,IF(C48="К","-"," - "),(IFERROR(AVERAGE(OFFSET($E48,0,1):OFFSET(U48,0,-1)),"Очікую"))))</f>
        <v>Очікую</v>
      </c>
      <c r="V48" s="49" t="str">
        <f t="shared" ca="1" si="0"/>
        <v>Очікую</v>
      </c>
      <c r="W48" s="36"/>
      <c r="X48" s="42"/>
    </row>
    <row r="49" spans="1:24" s="12" customFormat="1" ht="15" customHeight="1" x14ac:dyDescent="0.25">
      <c r="A49" s="43"/>
      <c r="B49" s="34"/>
      <c r="C49" s="47"/>
      <c r="D49" s="47">
        <v>40</v>
      </c>
      <c r="E49" s="48"/>
      <c r="F49" s="47"/>
      <c r="G49" s="47"/>
      <c r="H49" s="47"/>
      <c r="I49" s="47"/>
      <c r="J49" s="47"/>
      <c r="K49" s="47"/>
      <c r="L49" s="47"/>
      <c r="M49" s="47"/>
      <c r="N49" s="47"/>
      <c r="O49" s="47"/>
      <c r="P49" s="47"/>
      <c r="Q49" s="47"/>
      <c r="R49" s="47"/>
      <c r="S49" s="47"/>
      <c r="T49" s="47"/>
      <c r="U49" s="49" t="str">
        <f ca="1">IF(COUNTIF(OFFSET($E49,0,1):OFFSET(U49,0,-1),"=*")&gt;0,IF($C49="К","-"," - "),IF(COUNTIF(OFFSET($E49,0,1):OFFSET(U49,0,-1),"&lt;4")&gt;0,IF(C49="К","-"," - "),(IFERROR(AVERAGE(OFFSET($E49,0,1):OFFSET(U49,0,-1)),"Очікую"))))</f>
        <v>Очікую</v>
      </c>
      <c r="V49" s="49" t="str">
        <f t="shared" ca="1" si="0"/>
        <v>Очікую</v>
      </c>
      <c r="W49" s="36"/>
      <c r="X49" s="42"/>
    </row>
    <row r="50" spans="1:24" s="12" customFormat="1" ht="15" customHeight="1" x14ac:dyDescent="0.25">
      <c r="A50" s="43"/>
      <c r="B50" s="34"/>
      <c r="C50" s="47"/>
      <c r="D50" s="47">
        <v>41</v>
      </c>
      <c r="E50" s="48"/>
      <c r="F50" s="47"/>
      <c r="G50" s="47"/>
      <c r="H50" s="47"/>
      <c r="I50" s="47"/>
      <c r="J50" s="47"/>
      <c r="K50" s="47"/>
      <c r="L50" s="47"/>
      <c r="M50" s="47"/>
      <c r="N50" s="47"/>
      <c r="O50" s="47"/>
      <c r="P50" s="47"/>
      <c r="Q50" s="47"/>
      <c r="R50" s="47"/>
      <c r="S50" s="47"/>
      <c r="T50" s="47"/>
      <c r="U50" s="49" t="str">
        <f ca="1">IF(COUNTIF(OFFSET($E50,0,1):OFFSET(U50,0,-1),"=*")&gt;0,IF($C50="К","-"," - "),IF(COUNTIF(OFFSET($E50,0,1):OFFSET(U50,0,-1),"&lt;4")&gt;0,IF(C50="К","-"," - "),(IFERROR(AVERAGE(OFFSET($E50,0,1):OFFSET(U50,0,-1)),"Очікую"))))</f>
        <v>Очікую</v>
      </c>
      <c r="V50" s="49" t="str">
        <f t="shared" ca="1" si="0"/>
        <v>Очікую</v>
      </c>
      <c r="W50" s="36"/>
      <c r="X50" s="42"/>
    </row>
    <row r="51" spans="1:24" s="12" customFormat="1" ht="15" customHeight="1" x14ac:dyDescent="0.25">
      <c r="A51" s="43"/>
      <c r="B51" s="34"/>
      <c r="C51" s="47"/>
      <c r="D51" s="47">
        <v>42</v>
      </c>
      <c r="E51" s="48"/>
      <c r="F51" s="47"/>
      <c r="G51" s="47"/>
      <c r="H51" s="47"/>
      <c r="I51" s="47"/>
      <c r="J51" s="47"/>
      <c r="K51" s="47"/>
      <c r="L51" s="47"/>
      <c r="M51" s="47"/>
      <c r="N51" s="47"/>
      <c r="O51" s="47"/>
      <c r="P51" s="47"/>
      <c r="Q51" s="47"/>
      <c r="R51" s="47"/>
      <c r="S51" s="47"/>
      <c r="T51" s="47"/>
      <c r="U51" s="49" t="str">
        <f ca="1">IF(COUNTIF(OFFSET($E51,0,1):OFFSET(U51,0,-1),"=*")&gt;0,IF($C51="К","-"," - "),IF(COUNTIF(OFFSET($E51,0,1):OFFSET(U51,0,-1),"&lt;4")&gt;0,IF(C51="К","-"," - "),(IFERROR(AVERAGE(OFFSET($E51,0,1):OFFSET(U51,0,-1)),"Очікую"))))</f>
        <v>Очікую</v>
      </c>
      <c r="V51" s="49" t="str">
        <f t="shared" ca="1" si="0"/>
        <v>Очікую</v>
      </c>
      <c r="W51" s="36"/>
      <c r="X51" s="42"/>
    </row>
    <row r="52" spans="1:24" s="12" customFormat="1" ht="15" customHeight="1" x14ac:dyDescent="0.25">
      <c r="A52" s="43"/>
      <c r="B52" s="34"/>
      <c r="C52" s="47"/>
      <c r="D52" s="47">
        <v>43</v>
      </c>
      <c r="E52" s="48"/>
      <c r="F52" s="47"/>
      <c r="G52" s="47"/>
      <c r="H52" s="47"/>
      <c r="I52" s="47"/>
      <c r="J52" s="47"/>
      <c r="K52" s="47"/>
      <c r="L52" s="47"/>
      <c r="M52" s="47"/>
      <c r="N52" s="47"/>
      <c r="O52" s="47"/>
      <c r="P52" s="47"/>
      <c r="Q52" s="47"/>
      <c r="R52" s="47"/>
      <c r="S52" s="47"/>
      <c r="T52" s="47"/>
      <c r="U52" s="49" t="str">
        <f ca="1">IF(COUNTIF(OFFSET($E52,0,1):OFFSET(U52,0,-1),"=*")&gt;0,IF($C52="К","-"," - "),IF(COUNTIF(OFFSET($E52,0,1):OFFSET(U52,0,-1),"&lt;4")&gt;0,IF(C52="К","-"," - "),(IFERROR(AVERAGE(OFFSET($E52,0,1):OFFSET(U52,0,-1)),"Очікую"))))</f>
        <v>Очікую</v>
      </c>
      <c r="V52" s="49" t="str">
        <f t="shared" ca="1" si="0"/>
        <v>Очікую</v>
      </c>
      <c r="W52" s="36"/>
      <c r="X52" s="42"/>
    </row>
    <row r="53" spans="1:24" s="12" customFormat="1" ht="15" customHeight="1" x14ac:dyDescent="0.25">
      <c r="A53" s="43"/>
      <c r="B53" s="34"/>
      <c r="C53" s="47"/>
      <c r="D53" s="47">
        <v>44</v>
      </c>
      <c r="E53" s="48"/>
      <c r="F53" s="47"/>
      <c r="G53" s="47"/>
      <c r="H53" s="47"/>
      <c r="I53" s="47"/>
      <c r="J53" s="47"/>
      <c r="K53" s="47"/>
      <c r="L53" s="47"/>
      <c r="M53" s="47"/>
      <c r="N53" s="47"/>
      <c r="O53" s="47"/>
      <c r="P53" s="47"/>
      <c r="Q53" s="47"/>
      <c r="R53" s="47"/>
      <c r="S53" s="47"/>
      <c r="T53" s="47"/>
      <c r="U53" s="49" t="str">
        <f ca="1">IF(COUNTIF(OFFSET($E53,0,1):OFFSET(U53,0,-1),"=*")&gt;0,IF($C53="К","-"," - "),IF(COUNTIF(OFFSET($E53,0,1):OFFSET(U53,0,-1),"&lt;4")&gt;0,IF(C53="К","-"," - "),(IFERROR(AVERAGE(OFFSET($E53,0,1):OFFSET(U53,0,-1)),"Очікую"))))</f>
        <v>Очікую</v>
      </c>
      <c r="V53" s="49" t="str">
        <f t="shared" ca="1" si="0"/>
        <v>Очікую</v>
      </c>
      <c r="W53" s="36"/>
      <c r="X53" s="42"/>
    </row>
    <row r="54" spans="1:24" s="12" customFormat="1" ht="15" customHeight="1" x14ac:dyDescent="0.25">
      <c r="A54" s="43"/>
      <c r="B54" s="34"/>
      <c r="C54" s="47"/>
      <c r="D54" s="47">
        <v>45</v>
      </c>
      <c r="E54" s="48"/>
      <c r="F54" s="47"/>
      <c r="G54" s="47"/>
      <c r="H54" s="47"/>
      <c r="I54" s="47"/>
      <c r="J54" s="47"/>
      <c r="K54" s="47"/>
      <c r="L54" s="47"/>
      <c r="M54" s="47"/>
      <c r="N54" s="47"/>
      <c r="O54" s="47"/>
      <c r="P54" s="47"/>
      <c r="Q54" s="47"/>
      <c r="R54" s="47"/>
      <c r="S54" s="47"/>
      <c r="T54" s="47"/>
      <c r="U54" s="49" t="str">
        <f ca="1">IF(COUNTIF(OFFSET($E54,0,1):OFFSET(U54,0,-1),"=*")&gt;0,IF($C54="К","-"," - "),IF(COUNTIF(OFFSET($E54,0,1):OFFSET(U54,0,-1),"&lt;4")&gt;0,IF(C54="К","-"," - "),(IFERROR(AVERAGE(OFFSET($E54,0,1):OFFSET(U54,0,-1)),"Очікую"))))</f>
        <v>Очікую</v>
      </c>
      <c r="V54" s="49" t="str">
        <f t="shared" ca="1" si="0"/>
        <v>Очікую</v>
      </c>
      <c r="W54" s="36"/>
      <c r="X54" s="42"/>
    </row>
    <row r="55" spans="1:24" s="12" customFormat="1" ht="15" customHeight="1" x14ac:dyDescent="0.25">
      <c r="A55" s="43"/>
      <c r="B55" s="34"/>
      <c r="C55" s="47"/>
      <c r="D55" s="47">
        <v>46</v>
      </c>
      <c r="E55" s="48"/>
      <c r="F55" s="47"/>
      <c r="G55" s="47"/>
      <c r="H55" s="47"/>
      <c r="I55" s="47"/>
      <c r="J55" s="47"/>
      <c r="K55" s="47"/>
      <c r="L55" s="47"/>
      <c r="M55" s="47"/>
      <c r="N55" s="47"/>
      <c r="O55" s="47"/>
      <c r="P55" s="47"/>
      <c r="Q55" s="47"/>
      <c r="R55" s="47"/>
      <c r="S55" s="47"/>
      <c r="T55" s="47"/>
      <c r="U55" s="49" t="str">
        <f ca="1">IF(COUNTIF(OFFSET($E55,0,1):OFFSET(U55,0,-1),"=*")&gt;0,IF($C55="К","-"," - "),IF(COUNTIF(OFFSET($E55,0,1):OFFSET(U55,0,-1),"&lt;4")&gt;0,IF(C55="К","-"," - "),(IFERROR(AVERAGE(OFFSET($E55,0,1):OFFSET(U55,0,-1)),"Очікую"))))</f>
        <v>Очікую</v>
      </c>
      <c r="V55" s="49" t="str">
        <f t="shared" ca="1" si="0"/>
        <v>Очікую</v>
      </c>
      <c r="W55" s="36"/>
      <c r="X55" s="42"/>
    </row>
    <row r="56" spans="1:24" s="12" customFormat="1" ht="15" customHeight="1" x14ac:dyDescent="0.25">
      <c r="A56" s="43"/>
      <c r="B56" s="34"/>
      <c r="C56" s="47"/>
      <c r="D56" s="47">
        <v>47</v>
      </c>
      <c r="E56" s="48"/>
      <c r="F56" s="47"/>
      <c r="G56" s="47"/>
      <c r="H56" s="47"/>
      <c r="I56" s="47"/>
      <c r="J56" s="47"/>
      <c r="K56" s="47"/>
      <c r="L56" s="47"/>
      <c r="M56" s="47"/>
      <c r="N56" s="47"/>
      <c r="O56" s="47"/>
      <c r="P56" s="47"/>
      <c r="Q56" s="47"/>
      <c r="R56" s="47"/>
      <c r="S56" s="47"/>
      <c r="T56" s="47"/>
      <c r="U56" s="49" t="str">
        <f ca="1">IF(COUNTIF(OFFSET($E56,0,1):OFFSET(U56,0,-1),"=*")&gt;0,IF($C56="К","-"," - "),IF(COUNTIF(OFFSET($E56,0,1):OFFSET(U56,0,-1),"&lt;4")&gt;0,IF(C56="К","-"," - "),(IFERROR(AVERAGE(OFFSET($E56,0,1):OFFSET(U56,0,-1)),"Очікую"))))</f>
        <v>Очікую</v>
      </c>
      <c r="V56" s="49" t="str">
        <f t="shared" ca="1" si="0"/>
        <v>Очікую</v>
      </c>
      <c r="W56" s="36"/>
      <c r="X56" s="42"/>
    </row>
    <row r="57" spans="1:24" s="12" customFormat="1" ht="15" customHeight="1" x14ac:dyDescent="0.25">
      <c r="A57" s="43"/>
      <c r="B57" s="34"/>
      <c r="C57" s="47"/>
      <c r="D57" s="47">
        <v>48</v>
      </c>
      <c r="E57" s="48"/>
      <c r="F57" s="47"/>
      <c r="G57" s="47"/>
      <c r="H57" s="47"/>
      <c r="I57" s="47"/>
      <c r="J57" s="47"/>
      <c r="K57" s="47"/>
      <c r="L57" s="47"/>
      <c r="M57" s="47"/>
      <c r="N57" s="47"/>
      <c r="O57" s="47"/>
      <c r="P57" s="47"/>
      <c r="Q57" s="47"/>
      <c r="R57" s="47"/>
      <c r="S57" s="47"/>
      <c r="T57" s="47"/>
      <c r="U57" s="49" t="str">
        <f ca="1">IF(COUNTIF(OFFSET($E57,0,1):OFFSET(U57,0,-1),"=*")&gt;0,IF($C57="К","-"," - "),IF(COUNTIF(OFFSET($E57,0,1):OFFSET(U57,0,-1),"&lt;4")&gt;0,IF(C57="К","-"," - "),(IFERROR(AVERAGE(OFFSET($E57,0,1):OFFSET(U57,0,-1)),"Очікую"))))</f>
        <v>Очікую</v>
      </c>
      <c r="V57" s="49" t="str">
        <f t="shared" ca="1" si="0"/>
        <v>Очікую</v>
      </c>
      <c r="W57" s="36"/>
      <c r="X57" s="42"/>
    </row>
    <row r="58" spans="1:24" s="12" customFormat="1" ht="15" customHeight="1" x14ac:dyDescent="0.25">
      <c r="A58" s="43"/>
      <c r="B58" s="34"/>
      <c r="C58" s="47"/>
      <c r="D58" s="47">
        <v>49</v>
      </c>
      <c r="E58" s="48"/>
      <c r="F58" s="47"/>
      <c r="G58" s="47"/>
      <c r="H58" s="47"/>
      <c r="I58" s="47"/>
      <c r="J58" s="47"/>
      <c r="K58" s="47"/>
      <c r="L58" s="47"/>
      <c r="M58" s="47"/>
      <c r="N58" s="47"/>
      <c r="O58" s="47"/>
      <c r="P58" s="47"/>
      <c r="Q58" s="47"/>
      <c r="R58" s="47"/>
      <c r="S58" s="47"/>
      <c r="T58" s="47"/>
      <c r="U58" s="49" t="str">
        <f ca="1">IF(COUNTIF(OFFSET($E58,0,1):OFFSET(U58,0,-1),"=*")&gt;0,IF($C58="К","-"," - "),IF(COUNTIF(OFFSET($E58,0,1):OFFSET(U58,0,-1),"&lt;4")&gt;0,IF(C58="К","-"," - "),(IFERROR(AVERAGE(OFFSET($E58,0,1):OFFSET(U58,0,-1)),"Очікую"))))</f>
        <v>Очікую</v>
      </c>
      <c r="V58" s="49" t="str">
        <f t="shared" ca="1" si="0"/>
        <v>Очікую</v>
      </c>
      <c r="W58" s="36"/>
      <c r="X58" s="42"/>
    </row>
    <row r="59" spans="1:24" s="12" customFormat="1" ht="15" customHeight="1" x14ac:dyDescent="0.25">
      <c r="A59" s="43"/>
      <c r="B59" s="34"/>
      <c r="C59" s="47"/>
      <c r="D59" s="47">
        <v>50</v>
      </c>
      <c r="E59" s="48"/>
      <c r="F59" s="47"/>
      <c r="G59" s="47"/>
      <c r="H59" s="47"/>
      <c r="I59" s="47"/>
      <c r="J59" s="47"/>
      <c r="K59" s="47"/>
      <c r="L59" s="47"/>
      <c r="M59" s="47"/>
      <c r="N59" s="47"/>
      <c r="O59" s="47"/>
      <c r="P59" s="47"/>
      <c r="Q59" s="47"/>
      <c r="R59" s="47"/>
      <c r="S59" s="47"/>
      <c r="T59" s="47"/>
      <c r="U59" s="49" t="str">
        <f ca="1">IF(COUNTIF(OFFSET($E59,0,1):OFFSET(U59,0,-1),"=*")&gt;0,IF($C59="К","-"," - "),IF(COUNTIF(OFFSET($E59,0,1):OFFSET(U59,0,-1),"&lt;4")&gt;0,IF(C59="К","-"," - "),(IFERROR(AVERAGE(OFFSET($E59,0,1):OFFSET(U59,0,-1)),"Очікую"))))</f>
        <v>Очікую</v>
      </c>
      <c r="V59" s="49" t="str">
        <f t="shared" ca="1" si="0"/>
        <v>Очікую</v>
      </c>
      <c r="W59" s="36"/>
      <c r="X59" s="42"/>
    </row>
    <row r="60" spans="1:24" s="12" customFormat="1" ht="15" customHeight="1" x14ac:dyDescent="0.25">
      <c r="A60" s="43"/>
      <c r="B60" s="34"/>
      <c r="C60" s="47"/>
      <c r="D60" s="47">
        <v>51</v>
      </c>
      <c r="E60" s="48"/>
      <c r="F60" s="47"/>
      <c r="G60" s="47"/>
      <c r="H60" s="47"/>
      <c r="I60" s="47"/>
      <c r="J60" s="47"/>
      <c r="K60" s="47"/>
      <c r="L60" s="47"/>
      <c r="M60" s="47"/>
      <c r="N60" s="47"/>
      <c r="O60" s="47"/>
      <c r="P60" s="47"/>
      <c r="Q60" s="47"/>
      <c r="R60" s="47"/>
      <c r="S60" s="47"/>
      <c r="T60" s="47"/>
      <c r="U60" s="49" t="str">
        <f ca="1">IF(COUNTIF(OFFSET($E60,0,1):OFFSET(U60,0,-1),"=*")&gt;0,IF($C60="К","-"," - "),IF(COUNTIF(OFFSET($E60,0,1):OFFSET(U60,0,-1),"&lt;4")&gt;0,IF(C60="К","-"," - "),(IFERROR(AVERAGE(OFFSET($E60,0,1):OFFSET(U60,0,-1)),"Очікую"))))</f>
        <v>Очікую</v>
      </c>
      <c r="V60" s="49" t="str">
        <f t="shared" ca="1" si="0"/>
        <v>Очікую</v>
      </c>
      <c r="W60" s="36"/>
      <c r="X60" s="42"/>
    </row>
    <row r="61" spans="1:24" s="12" customFormat="1" ht="15" customHeight="1" x14ac:dyDescent="0.25">
      <c r="A61" s="43"/>
      <c r="B61" s="34"/>
      <c r="C61" s="47"/>
      <c r="D61" s="47">
        <v>52</v>
      </c>
      <c r="E61" s="48"/>
      <c r="F61" s="47"/>
      <c r="G61" s="47"/>
      <c r="H61" s="47"/>
      <c r="I61" s="47"/>
      <c r="J61" s="47"/>
      <c r="K61" s="47"/>
      <c r="L61" s="47"/>
      <c r="M61" s="47"/>
      <c r="N61" s="47"/>
      <c r="O61" s="47"/>
      <c r="P61" s="47"/>
      <c r="Q61" s="47"/>
      <c r="R61" s="47"/>
      <c r="S61" s="47"/>
      <c r="T61" s="47"/>
      <c r="U61" s="49" t="str">
        <f ca="1">IF(COUNTIF(OFFSET($E61,0,1):OFFSET(U61,0,-1),"=*")&gt;0,IF($C61="К","-"," - "),IF(COUNTIF(OFFSET($E61,0,1):OFFSET(U61,0,-1),"&lt;4")&gt;0,IF(C61="К","-"," - "),(IFERROR(AVERAGE(OFFSET($E61,0,1):OFFSET(U61,0,-1)),"Очікую"))))</f>
        <v>Очікую</v>
      </c>
      <c r="V61" s="49" t="str">
        <f t="shared" ca="1" si="0"/>
        <v>Очікую</v>
      </c>
      <c r="W61" s="36"/>
      <c r="X61" s="42"/>
    </row>
    <row r="62" spans="1:24" s="12" customFormat="1" ht="15" customHeight="1" x14ac:dyDescent="0.25">
      <c r="A62" s="43"/>
      <c r="B62" s="34"/>
      <c r="C62" s="47"/>
      <c r="D62" s="47">
        <v>53</v>
      </c>
      <c r="E62" s="48"/>
      <c r="F62" s="47"/>
      <c r="G62" s="47"/>
      <c r="H62" s="47"/>
      <c r="I62" s="47"/>
      <c r="J62" s="47"/>
      <c r="K62" s="47"/>
      <c r="L62" s="47"/>
      <c r="M62" s="47"/>
      <c r="N62" s="47"/>
      <c r="O62" s="47"/>
      <c r="P62" s="47"/>
      <c r="Q62" s="47"/>
      <c r="R62" s="47"/>
      <c r="S62" s="47"/>
      <c r="T62" s="47"/>
      <c r="U62" s="49" t="str">
        <f ca="1">IF(COUNTIF(OFFSET($E62,0,1):OFFSET(U62,0,-1),"=*")&gt;0,IF($C62="К","-"," - "),IF(COUNTIF(OFFSET($E62,0,1):OFFSET(U62,0,-1),"&lt;4")&gt;0,IF(C62="К","-"," - "),(IFERROR(AVERAGE(OFFSET($E62,0,1):OFFSET(U62,0,-1)),"Очікую"))))</f>
        <v>Очікую</v>
      </c>
      <c r="V62" s="49" t="str">
        <f t="shared" ca="1" si="0"/>
        <v>Очікую</v>
      </c>
      <c r="W62" s="36"/>
      <c r="X62" s="42"/>
    </row>
    <row r="63" spans="1:24" s="12" customFormat="1" ht="15" customHeight="1" x14ac:dyDescent="0.25">
      <c r="A63" s="43"/>
      <c r="B63" s="34"/>
      <c r="C63" s="47"/>
      <c r="D63" s="47">
        <v>54</v>
      </c>
      <c r="E63" s="48"/>
      <c r="F63" s="47"/>
      <c r="G63" s="47"/>
      <c r="H63" s="47"/>
      <c r="I63" s="47"/>
      <c r="J63" s="47"/>
      <c r="K63" s="47"/>
      <c r="L63" s="47"/>
      <c r="M63" s="47"/>
      <c r="N63" s="47"/>
      <c r="O63" s="47"/>
      <c r="P63" s="47"/>
      <c r="Q63" s="47"/>
      <c r="R63" s="47"/>
      <c r="S63" s="47"/>
      <c r="T63" s="47"/>
      <c r="U63" s="49" t="str">
        <f ca="1">IF(COUNTIF(OFFSET($E63,0,1):OFFSET(U63,0,-1),"=*")&gt;0,IF($C63="К","-"," - "),IF(COUNTIF(OFFSET($E63,0,1):OFFSET(U63,0,-1),"&lt;4")&gt;0,IF(C63="К","-"," - "),(IFERROR(AVERAGE(OFFSET($E63,0,1):OFFSET(U63,0,-1)),"Очікую"))))</f>
        <v>Очікую</v>
      </c>
      <c r="V63" s="49" t="str">
        <f t="shared" ca="1" si="0"/>
        <v>Очікую</v>
      </c>
      <c r="W63" s="36"/>
      <c r="X63" s="42"/>
    </row>
    <row r="64" spans="1:24" s="12" customFormat="1" ht="15" customHeight="1" x14ac:dyDescent="0.25">
      <c r="A64" s="43"/>
      <c r="B64" s="34"/>
      <c r="C64" s="47"/>
      <c r="D64" s="47">
        <v>55</v>
      </c>
      <c r="E64" s="48"/>
      <c r="F64" s="47"/>
      <c r="G64" s="47"/>
      <c r="H64" s="47"/>
      <c r="I64" s="47"/>
      <c r="J64" s="47"/>
      <c r="K64" s="47"/>
      <c r="L64" s="47"/>
      <c r="M64" s="47"/>
      <c r="N64" s="47"/>
      <c r="O64" s="47"/>
      <c r="P64" s="47"/>
      <c r="Q64" s="47"/>
      <c r="R64" s="47"/>
      <c r="S64" s="47"/>
      <c r="T64" s="47"/>
      <c r="U64" s="49" t="str">
        <f ca="1">IF(COUNTIF(OFFSET($E64,0,1):OFFSET(U64,0,-1),"=*")&gt;0,IF($C64="К","-"," - "),IF(COUNTIF(OFFSET($E64,0,1):OFFSET(U64,0,-1),"&lt;4")&gt;0,IF(C64="К","-"," - "),(IFERROR(AVERAGE(OFFSET($E64,0,1):OFFSET(U64,0,-1)),"Очікую"))))</f>
        <v>Очікую</v>
      </c>
      <c r="V64" s="49" t="str">
        <f t="shared" ca="1" si="0"/>
        <v>Очікую</v>
      </c>
      <c r="W64" s="36"/>
      <c r="X64" s="42"/>
    </row>
    <row r="65" spans="1:24" s="12" customFormat="1" ht="15" customHeight="1" x14ac:dyDescent="0.25">
      <c r="A65" s="43"/>
      <c r="B65" s="34"/>
      <c r="C65" s="47"/>
      <c r="D65" s="47">
        <v>56</v>
      </c>
      <c r="E65" s="48"/>
      <c r="F65" s="47"/>
      <c r="G65" s="47"/>
      <c r="H65" s="47"/>
      <c r="I65" s="47"/>
      <c r="J65" s="47"/>
      <c r="K65" s="47"/>
      <c r="L65" s="47"/>
      <c r="M65" s="47"/>
      <c r="N65" s="47"/>
      <c r="O65" s="47"/>
      <c r="P65" s="47"/>
      <c r="Q65" s="47"/>
      <c r="R65" s="47"/>
      <c r="S65" s="47"/>
      <c r="T65" s="47"/>
      <c r="U65" s="49" t="str">
        <f ca="1">IF(COUNTIF(OFFSET($E65,0,1):OFFSET(U65,0,-1),"=*")&gt;0,IF($C65="К","-"," - "),IF(COUNTIF(OFFSET($E65,0,1):OFFSET(U65,0,-1),"&lt;4")&gt;0,IF(C65="К","-"," - "),(IFERROR(AVERAGE(OFFSET($E65,0,1):OFFSET(U65,0,-1)),"Очікую"))))</f>
        <v>Очікую</v>
      </c>
      <c r="V65" s="49" t="str">
        <f t="shared" ca="1" si="0"/>
        <v>Очікую</v>
      </c>
      <c r="W65" s="36"/>
      <c r="X65" s="42"/>
    </row>
    <row r="66" spans="1:24" s="12" customFormat="1" ht="15" customHeight="1" x14ac:dyDescent="0.25">
      <c r="A66" s="43"/>
      <c r="B66" s="34"/>
      <c r="C66" s="47"/>
      <c r="D66" s="47">
        <v>57</v>
      </c>
      <c r="E66" s="48"/>
      <c r="F66" s="47"/>
      <c r="G66" s="47"/>
      <c r="H66" s="47"/>
      <c r="I66" s="47"/>
      <c r="J66" s="47"/>
      <c r="K66" s="47"/>
      <c r="L66" s="47"/>
      <c r="M66" s="47"/>
      <c r="N66" s="47"/>
      <c r="O66" s="47"/>
      <c r="P66" s="47"/>
      <c r="Q66" s="47"/>
      <c r="R66" s="47"/>
      <c r="S66" s="47"/>
      <c r="T66" s="47"/>
      <c r="U66" s="49" t="str">
        <f ca="1">IF(COUNTIF(OFFSET($E66,0,1):OFFSET(U66,0,-1),"=*")&gt;0,IF($C66="К","-"," - "),IF(COUNTIF(OFFSET($E66,0,1):OFFSET(U66,0,-1),"&lt;4")&gt;0,IF(C66="К","-"," - "),(IFERROR(AVERAGE(OFFSET($E66,0,1):OFFSET(U66,0,-1)),"Очікую"))))</f>
        <v>Очікую</v>
      </c>
      <c r="V66" s="49" t="str">
        <f t="shared" ca="1" si="0"/>
        <v>Очікую</v>
      </c>
      <c r="W66" s="36"/>
      <c r="X66" s="42"/>
    </row>
    <row r="67" spans="1:24" s="12" customFormat="1" ht="15" customHeight="1" x14ac:dyDescent="0.25">
      <c r="A67" s="43"/>
      <c r="B67" s="34"/>
      <c r="C67" s="47"/>
      <c r="D67" s="47">
        <v>58</v>
      </c>
      <c r="E67" s="48"/>
      <c r="F67" s="47"/>
      <c r="G67" s="47"/>
      <c r="H67" s="47"/>
      <c r="I67" s="47"/>
      <c r="J67" s="47"/>
      <c r="K67" s="47"/>
      <c r="L67" s="47"/>
      <c r="M67" s="47"/>
      <c r="N67" s="47"/>
      <c r="O67" s="47"/>
      <c r="P67" s="47"/>
      <c r="Q67" s="47"/>
      <c r="R67" s="47"/>
      <c r="S67" s="47"/>
      <c r="T67" s="47"/>
      <c r="U67" s="49" t="str">
        <f ca="1">IF(COUNTIF(OFFSET($E67,0,1):OFFSET(U67,0,-1),"=*")&gt;0,IF($C67="К","-"," - "),IF(COUNTIF(OFFSET($E67,0,1):OFFSET(U67,0,-1),"&lt;4")&gt;0,IF(C67="К","-"," - "),(IFERROR(AVERAGE(OFFSET($E67,0,1):OFFSET(U67,0,-1)),"Очікую"))))</f>
        <v>Очікую</v>
      </c>
      <c r="V67" s="49" t="str">
        <f t="shared" ca="1" si="0"/>
        <v>Очікую</v>
      </c>
      <c r="W67" s="36"/>
      <c r="X67" s="42"/>
    </row>
    <row r="68" spans="1:24" s="12" customFormat="1" ht="15" customHeight="1" x14ac:dyDescent="0.25">
      <c r="A68" s="43"/>
      <c r="B68" s="34"/>
      <c r="C68" s="47"/>
      <c r="D68" s="47">
        <v>59</v>
      </c>
      <c r="E68" s="48"/>
      <c r="F68" s="47"/>
      <c r="G68" s="47"/>
      <c r="H68" s="47"/>
      <c r="I68" s="47"/>
      <c r="J68" s="47"/>
      <c r="K68" s="47"/>
      <c r="L68" s="47"/>
      <c r="M68" s="47"/>
      <c r="N68" s="47"/>
      <c r="O68" s="47"/>
      <c r="P68" s="47"/>
      <c r="Q68" s="47"/>
      <c r="R68" s="47"/>
      <c r="S68" s="47"/>
      <c r="T68" s="47"/>
      <c r="U68" s="49" t="str">
        <f ca="1">IF(COUNTIF(OFFSET($E68,0,1):OFFSET(U68,0,-1),"=*")&gt;0,IF($C68="К","-"," - "),IF(COUNTIF(OFFSET($E68,0,1):OFFSET(U68,0,-1),"&lt;4")&gt;0,IF(C68="К","-"," - "),(IFERROR(AVERAGE(OFFSET($E68,0,1):OFFSET(U68,0,-1)),"Очікую"))))</f>
        <v>Очікую</v>
      </c>
      <c r="V68" s="49" t="str">
        <f t="shared" ca="1" si="0"/>
        <v>Очікую</v>
      </c>
      <c r="W68" s="36"/>
      <c r="X68" s="42"/>
    </row>
    <row r="69" spans="1:24" s="12" customFormat="1" ht="15" customHeight="1" x14ac:dyDescent="0.25">
      <c r="A69" s="43"/>
      <c r="B69" s="34"/>
      <c r="C69" s="47"/>
      <c r="D69" s="47">
        <v>60</v>
      </c>
      <c r="E69" s="48"/>
      <c r="F69" s="47"/>
      <c r="G69" s="47"/>
      <c r="H69" s="47"/>
      <c r="I69" s="47"/>
      <c r="J69" s="47"/>
      <c r="K69" s="47"/>
      <c r="L69" s="47"/>
      <c r="M69" s="47"/>
      <c r="N69" s="47"/>
      <c r="O69" s="47"/>
      <c r="P69" s="47"/>
      <c r="Q69" s="47"/>
      <c r="R69" s="47"/>
      <c r="S69" s="47"/>
      <c r="T69" s="47"/>
      <c r="U69" s="49" t="str">
        <f ca="1">IF(COUNTIF(OFFSET($E69,0,1):OFFSET(U69,0,-1),"=*")&gt;0,IF($C69="К","-"," - "),IF(COUNTIF(OFFSET($E69,0,1):OFFSET(U69,0,-1),"&lt;4")&gt;0,IF(C69="К","-"," - "),(IFERROR(AVERAGE(OFFSET($E69,0,1):OFFSET(U69,0,-1)),"Очікую"))))</f>
        <v>Очікую</v>
      </c>
      <c r="V69" s="49" t="str">
        <f t="shared" ca="1" si="0"/>
        <v>Очікую</v>
      </c>
      <c r="W69" s="36"/>
      <c r="X69" s="42"/>
    </row>
    <row r="70" spans="1:24" s="12" customFormat="1" ht="15" customHeight="1" x14ac:dyDescent="0.25">
      <c r="A70" s="43"/>
      <c r="B70" s="34"/>
      <c r="C70" s="47"/>
      <c r="D70" s="47">
        <v>61</v>
      </c>
      <c r="E70" s="48"/>
      <c r="F70" s="47"/>
      <c r="G70" s="47"/>
      <c r="H70" s="47"/>
      <c r="I70" s="47"/>
      <c r="J70" s="47"/>
      <c r="K70" s="47"/>
      <c r="L70" s="47"/>
      <c r="M70" s="47"/>
      <c r="N70" s="47"/>
      <c r="O70" s="47"/>
      <c r="P70" s="47"/>
      <c r="Q70" s="47"/>
      <c r="R70" s="47"/>
      <c r="S70" s="47"/>
      <c r="T70" s="47"/>
      <c r="U70" s="49" t="str">
        <f ca="1">IF(COUNTIF(OFFSET($E70,0,1):OFFSET(U70,0,-1),"=*")&gt;0,IF($C70="К","-"," - "),IF(COUNTIF(OFFSET($E70,0,1):OFFSET(U70,0,-1),"&lt;4")&gt;0,IF(C70="К","-"," - "),(IFERROR(AVERAGE(OFFSET($E70,0,1):OFFSET(U70,0,-1)),"Очікую"))))</f>
        <v>Очікую</v>
      </c>
      <c r="V70" s="49" t="str">
        <f t="shared" ca="1" si="0"/>
        <v>Очікую</v>
      </c>
      <c r="W70" s="36"/>
      <c r="X70" s="42"/>
    </row>
    <row r="71" spans="1:24" s="12" customFormat="1" ht="15" customHeight="1" x14ac:dyDescent="0.25">
      <c r="A71" s="43"/>
      <c r="B71" s="34"/>
      <c r="C71" s="47"/>
      <c r="D71" s="47">
        <v>62</v>
      </c>
      <c r="E71" s="48"/>
      <c r="F71" s="47"/>
      <c r="G71" s="47"/>
      <c r="H71" s="47"/>
      <c r="I71" s="47"/>
      <c r="J71" s="47"/>
      <c r="K71" s="47"/>
      <c r="L71" s="47"/>
      <c r="M71" s="47"/>
      <c r="N71" s="47"/>
      <c r="O71" s="47"/>
      <c r="P71" s="47"/>
      <c r="Q71" s="47"/>
      <c r="R71" s="47"/>
      <c r="S71" s="47"/>
      <c r="T71" s="47"/>
      <c r="U71" s="49" t="str">
        <f ca="1">IF(COUNTIF(OFFSET($E71,0,1):OFFSET(U71,0,-1),"=*")&gt;0,IF($C71="К","-"," - "),IF(COUNTIF(OFFSET($E71,0,1):OFFSET(U71,0,-1),"&lt;4")&gt;0,IF(C71="К","-"," - "),(IFERROR(AVERAGE(OFFSET($E71,0,1):OFFSET(U71,0,-1)),"Очікую"))))</f>
        <v>Очікую</v>
      </c>
      <c r="V71" s="49" t="str">
        <f t="shared" ca="1" si="0"/>
        <v>Очікую</v>
      </c>
      <c r="W71" s="36"/>
      <c r="X71" s="42"/>
    </row>
    <row r="72" spans="1:24" s="12" customFormat="1" ht="15" customHeight="1" x14ac:dyDescent="0.25">
      <c r="A72" s="43"/>
      <c r="B72" s="34"/>
      <c r="C72" s="47"/>
      <c r="D72" s="47">
        <v>63</v>
      </c>
      <c r="E72" s="48"/>
      <c r="F72" s="47"/>
      <c r="G72" s="47"/>
      <c r="H72" s="47"/>
      <c r="I72" s="47"/>
      <c r="J72" s="47"/>
      <c r="K72" s="47"/>
      <c r="L72" s="47"/>
      <c r="M72" s="47"/>
      <c r="N72" s="47"/>
      <c r="O72" s="47"/>
      <c r="P72" s="47"/>
      <c r="Q72" s="47"/>
      <c r="R72" s="47"/>
      <c r="S72" s="47"/>
      <c r="T72" s="47"/>
      <c r="U72" s="49" t="str">
        <f ca="1">IF(COUNTIF(OFFSET($E72,0,1):OFFSET(U72,0,-1),"=*")&gt;0,IF($C72="К","-"," - "),IF(COUNTIF(OFFSET($E72,0,1):OFFSET(U72,0,-1),"&lt;4")&gt;0,IF(C72="К","-"," - "),(IFERROR(AVERAGE(OFFSET($E72,0,1):OFFSET(U72,0,-1)),"Очікую"))))</f>
        <v>Очікую</v>
      </c>
      <c r="V72" s="49" t="str">
        <f t="shared" ca="1" si="0"/>
        <v>Очікую</v>
      </c>
      <c r="W72" s="36"/>
      <c r="X72" s="42"/>
    </row>
    <row r="73" spans="1:24" s="12" customFormat="1" ht="15" customHeight="1" x14ac:dyDescent="0.25">
      <c r="A73" s="43"/>
      <c r="B73" s="34"/>
      <c r="C73" s="47"/>
      <c r="D73" s="47">
        <v>64</v>
      </c>
      <c r="E73" s="48"/>
      <c r="F73" s="47"/>
      <c r="G73" s="47"/>
      <c r="H73" s="47"/>
      <c r="I73" s="47"/>
      <c r="J73" s="47"/>
      <c r="K73" s="47"/>
      <c r="L73" s="47"/>
      <c r="M73" s="47"/>
      <c r="N73" s="47"/>
      <c r="O73" s="47"/>
      <c r="P73" s="47"/>
      <c r="Q73" s="47"/>
      <c r="R73" s="47"/>
      <c r="S73" s="47"/>
      <c r="T73" s="47"/>
      <c r="U73" s="49" t="str">
        <f ca="1">IF(COUNTIF(OFFSET($E73,0,1):OFFSET(U73,0,-1),"=*")&gt;0,IF($C73="К","-"," - "),IF(COUNTIF(OFFSET($E73,0,1):OFFSET(U73,0,-1),"&lt;4")&gt;0,IF(C73="К","-"," - "),(IFERROR(AVERAGE(OFFSET($E73,0,1):OFFSET(U73,0,-1)),"Очікую"))))</f>
        <v>Очікую</v>
      </c>
      <c r="V73" s="49" t="str">
        <f t="shared" ca="1" si="0"/>
        <v>Очікую</v>
      </c>
      <c r="W73" s="36"/>
      <c r="X73" s="42"/>
    </row>
    <row r="74" spans="1:24" s="12" customFormat="1" ht="15" customHeight="1" x14ac:dyDescent="0.25">
      <c r="A74" s="43"/>
      <c r="B74" s="34"/>
      <c r="C74" s="47"/>
      <c r="D74" s="47">
        <v>65</v>
      </c>
      <c r="E74" s="48"/>
      <c r="F74" s="47"/>
      <c r="G74" s="47"/>
      <c r="H74" s="47"/>
      <c r="I74" s="47"/>
      <c r="J74" s="47"/>
      <c r="K74" s="47"/>
      <c r="L74" s="47"/>
      <c r="M74" s="47"/>
      <c r="N74" s="47"/>
      <c r="O74" s="47"/>
      <c r="P74" s="47"/>
      <c r="Q74" s="47"/>
      <c r="R74" s="47"/>
      <c r="S74" s="47"/>
      <c r="T74" s="47"/>
      <c r="U74" s="49" t="str">
        <f ca="1">IF(COUNTIF(OFFSET($E74,0,1):OFFSET(U74,0,-1),"=*")&gt;0,IF($C74="К","-"," - "),IF(COUNTIF(OFFSET($E74,0,1):OFFSET(U74,0,-1),"&lt;4")&gt;0,IF(C74="К","-"," - "),(IFERROR(AVERAGE(OFFSET($E74,0,1):OFFSET(U74,0,-1)),"Очікую"))))</f>
        <v>Очікую</v>
      </c>
      <c r="V74" s="49" t="str">
        <f t="shared" ca="1" si="0"/>
        <v>Очікую</v>
      </c>
      <c r="W74" s="36"/>
      <c r="X74" s="42"/>
    </row>
    <row r="75" spans="1:24" s="12" customFormat="1" ht="15" customHeight="1" x14ac:dyDescent="0.25">
      <c r="A75" s="43"/>
      <c r="B75" s="34"/>
      <c r="C75" s="47"/>
      <c r="D75" s="47">
        <v>66</v>
      </c>
      <c r="E75" s="48"/>
      <c r="F75" s="47"/>
      <c r="G75" s="47"/>
      <c r="H75" s="47"/>
      <c r="I75" s="47"/>
      <c r="J75" s="47"/>
      <c r="K75" s="47"/>
      <c r="L75" s="47"/>
      <c r="M75" s="47"/>
      <c r="N75" s="47"/>
      <c r="O75" s="47"/>
      <c r="P75" s="47"/>
      <c r="Q75" s="47"/>
      <c r="R75" s="47"/>
      <c r="S75" s="47"/>
      <c r="T75" s="47"/>
      <c r="U75" s="49" t="str">
        <f ca="1">IF(COUNTIF(OFFSET($E75,0,1):OFFSET(U75,0,-1),"=*")&gt;0,IF($C75="К","-"," - "),IF(COUNTIF(OFFSET($E75,0,1):OFFSET(U75,0,-1),"&lt;4")&gt;0,IF(C75="К","-"," - "),(IFERROR(AVERAGE(OFFSET($E75,0,1):OFFSET(U75,0,-1)),"Очікую"))))</f>
        <v>Очікую</v>
      </c>
      <c r="V75" s="49" t="str">
        <f t="shared" ref="V75:V109" ca="1" si="1">IFERROR(U75/12*90,"Очікую")</f>
        <v>Очікую</v>
      </c>
      <c r="W75" s="36"/>
      <c r="X75" s="42"/>
    </row>
    <row r="76" spans="1:24" s="12" customFormat="1" ht="15" customHeight="1" x14ac:dyDescent="0.25">
      <c r="A76" s="43"/>
      <c r="B76" s="34"/>
      <c r="C76" s="47"/>
      <c r="D76" s="47">
        <v>67</v>
      </c>
      <c r="E76" s="48"/>
      <c r="F76" s="47"/>
      <c r="G76" s="47"/>
      <c r="H76" s="47"/>
      <c r="I76" s="47"/>
      <c r="J76" s="47"/>
      <c r="K76" s="47"/>
      <c r="L76" s="47"/>
      <c r="M76" s="47"/>
      <c r="N76" s="47"/>
      <c r="O76" s="47"/>
      <c r="P76" s="47"/>
      <c r="Q76" s="47"/>
      <c r="R76" s="47"/>
      <c r="S76" s="47"/>
      <c r="T76" s="47"/>
      <c r="U76" s="49" t="str">
        <f ca="1">IF(COUNTIF(OFFSET($E76,0,1):OFFSET(U76,0,-1),"=*")&gt;0,IF($C76="К","-"," - "),IF(COUNTIF(OFFSET($E76,0,1):OFFSET(U76,0,-1),"&lt;4")&gt;0,IF(C76="К","-"," - "),(IFERROR(AVERAGE(OFFSET($E76,0,1):OFFSET(U76,0,-1)),"Очікую"))))</f>
        <v>Очікую</v>
      </c>
      <c r="V76" s="49" t="str">
        <f t="shared" ca="1" si="1"/>
        <v>Очікую</v>
      </c>
      <c r="W76" s="36"/>
      <c r="X76" s="42"/>
    </row>
    <row r="77" spans="1:24" s="12" customFormat="1" ht="15" customHeight="1" x14ac:dyDescent="0.25">
      <c r="A77" s="43"/>
      <c r="B77" s="34"/>
      <c r="C77" s="47"/>
      <c r="D77" s="47">
        <v>68</v>
      </c>
      <c r="E77" s="48"/>
      <c r="F77" s="47"/>
      <c r="G77" s="47"/>
      <c r="H77" s="47"/>
      <c r="I77" s="47"/>
      <c r="J77" s="47"/>
      <c r="K77" s="47"/>
      <c r="L77" s="47"/>
      <c r="M77" s="47"/>
      <c r="N77" s="47"/>
      <c r="O77" s="47"/>
      <c r="P77" s="47"/>
      <c r="Q77" s="47"/>
      <c r="R77" s="47"/>
      <c r="S77" s="47"/>
      <c r="T77" s="47"/>
      <c r="U77" s="49" t="str">
        <f ca="1">IF(COUNTIF(OFFSET($E77,0,1):OFFSET(U77,0,-1),"=*")&gt;0,IF($C77="К","-"," - "),IF(COUNTIF(OFFSET($E77,0,1):OFFSET(U77,0,-1),"&lt;4")&gt;0,IF(C77="К","-"," - "),(IFERROR(AVERAGE(OFFSET($E77,0,1):OFFSET(U77,0,-1)),"Очікую"))))</f>
        <v>Очікую</v>
      </c>
      <c r="V77" s="49" t="str">
        <f t="shared" ca="1" si="1"/>
        <v>Очікую</v>
      </c>
      <c r="W77" s="36"/>
      <c r="X77" s="42"/>
    </row>
    <row r="78" spans="1:24" s="12" customFormat="1" ht="15" customHeight="1" x14ac:dyDescent="0.25">
      <c r="A78" s="43"/>
      <c r="B78" s="34"/>
      <c r="C78" s="47"/>
      <c r="D78" s="47">
        <v>69</v>
      </c>
      <c r="E78" s="48"/>
      <c r="F78" s="47"/>
      <c r="G78" s="47"/>
      <c r="H78" s="47"/>
      <c r="I78" s="47"/>
      <c r="J78" s="47"/>
      <c r="K78" s="47"/>
      <c r="L78" s="47"/>
      <c r="M78" s="47"/>
      <c r="N78" s="47"/>
      <c r="O78" s="47"/>
      <c r="P78" s="47"/>
      <c r="Q78" s="47"/>
      <c r="R78" s="47"/>
      <c r="S78" s="47"/>
      <c r="T78" s="47"/>
      <c r="U78" s="49" t="str">
        <f ca="1">IF(COUNTIF(OFFSET($E78,0,1):OFFSET(U78,0,-1),"=*")&gt;0,IF($C78="К","-"," - "),IF(COUNTIF(OFFSET($E78,0,1):OFFSET(U78,0,-1),"&lt;4")&gt;0,IF(C78="К","-"," - "),(IFERROR(AVERAGE(OFFSET($E78,0,1):OFFSET(U78,0,-1)),"Очікую"))))</f>
        <v>Очікую</v>
      </c>
      <c r="V78" s="49" t="str">
        <f t="shared" ca="1" si="1"/>
        <v>Очікую</v>
      </c>
      <c r="W78" s="36"/>
      <c r="X78" s="42"/>
    </row>
    <row r="79" spans="1:24" s="12" customFormat="1" ht="15" customHeight="1" x14ac:dyDescent="0.25">
      <c r="A79" s="43"/>
      <c r="B79" s="34"/>
      <c r="C79" s="47"/>
      <c r="D79" s="47">
        <v>70</v>
      </c>
      <c r="E79" s="48"/>
      <c r="F79" s="47"/>
      <c r="G79" s="47"/>
      <c r="H79" s="47"/>
      <c r="I79" s="47"/>
      <c r="J79" s="47"/>
      <c r="K79" s="47"/>
      <c r="L79" s="47"/>
      <c r="M79" s="47"/>
      <c r="N79" s="47"/>
      <c r="O79" s="47"/>
      <c r="P79" s="47"/>
      <c r="Q79" s="47"/>
      <c r="R79" s="47"/>
      <c r="S79" s="47"/>
      <c r="T79" s="47"/>
      <c r="U79" s="49" t="str">
        <f ca="1">IF(COUNTIF(OFFSET($E79,0,1):OFFSET(U79,0,-1),"=*")&gt;0,IF($C79="К","-"," - "),IF(COUNTIF(OFFSET($E79,0,1):OFFSET(U79,0,-1),"&lt;4")&gt;0,IF(C79="К","-"," - "),(IFERROR(AVERAGE(OFFSET($E79,0,1):OFFSET(U79,0,-1)),"Очікую"))))</f>
        <v>Очікую</v>
      </c>
      <c r="V79" s="49" t="str">
        <f t="shared" ca="1" si="1"/>
        <v>Очікую</v>
      </c>
      <c r="W79" s="36"/>
      <c r="X79" s="42"/>
    </row>
    <row r="80" spans="1:24" s="12" customFormat="1" ht="15" customHeight="1" x14ac:dyDescent="0.25">
      <c r="A80" s="43"/>
      <c r="B80" s="34"/>
      <c r="C80" s="47"/>
      <c r="D80" s="47">
        <v>71</v>
      </c>
      <c r="E80" s="48"/>
      <c r="F80" s="47"/>
      <c r="G80" s="47"/>
      <c r="H80" s="47"/>
      <c r="I80" s="47"/>
      <c r="J80" s="47"/>
      <c r="K80" s="47"/>
      <c r="L80" s="47"/>
      <c r="M80" s="47"/>
      <c r="N80" s="47"/>
      <c r="O80" s="47"/>
      <c r="P80" s="47"/>
      <c r="Q80" s="47"/>
      <c r="R80" s="47"/>
      <c r="S80" s="47"/>
      <c r="T80" s="47"/>
      <c r="U80" s="49" t="str">
        <f ca="1">IF(COUNTIF(OFFSET($E80,0,1):OFFSET(U80,0,-1),"=*")&gt;0,IF($C80="К","-"," - "),IF(COUNTIF(OFFSET($E80,0,1):OFFSET(U80,0,-1),"&lt;4")&gt;0,IF(C80="К","-"," - "),(IFERROR(AVERAGE(OFFSET($E80,0,1):OFFSET(U80,0,-1)),"Очікую"))))</f>
        <v>Очікую</v>
      </c>
      <c r="V80" s="49" t="str">
        <f t="shared" ca="1" si="1"/>
        <v>Очікую</v>
      </c>
      <c r="W80" s="36"/>
      <c r="X80" s="42"/>
    </row>
    <row r="81" spans="1:24" s="12" customFormat="1" ht="15" customHeight="1" x14ac:dyDescent="0.25">
      <c r="A81" s="43"/>
      <c r="B81" s="34"/>
      <c r="C81" s="47"/>
      <c r="D81" s="47">
        <v>72</v>
      </c>
      <c r="E81" s="48"/>
      <c r="F81" s="47"/>
      <c r="G81" s="47"/>
      <c r="H81" s="47"/>
      <c r="I81" s="47"/>
      <c r="J81" s="47"/>
      <c r="K81" s="47"/>
      <c r="L81" s="47"/>
      <c r="M81" s="47"/>
      <c r="N81" s="47"/>
      <c r="O81" s="47"/>
      <c r="P81" s="47"/>
      <c r="Q81" s="47"/>
      <c r="R81" s="47"/>
      <c r="S81" s="47"/>
      <c r="T81" s="47"/>
      <c r="U81" s="49" t="str">
        <f ca="1">IF(COUNTIF(OFFSET($E81,0,1):OFFSET(U81,0,-1),"=*")&gt;0,IF($C81="К","-"," - "),IF(COUNTIF(OFFSET($E81,0,1):OFFSET(U81,0,-1),"&lt;4")&gt;0,IF(C81="К","-"," - "),(IFERROR(AVERAGE(OFFSET($E81,0,1):OFFSET(U81,0,-1)),"Очікую"))))</f>
        <v>Очікую</v>
      </c>
      <c r="V81" s="49" t="str">
        <f t="shared" ca="1" si="1"/>
        <v>Очікую</v>
      </c>
      <c r="W81" s="36"/>
      <c r="X81" s="42"/>
    </row>
    <row r="82" spans="1:24" s="12" customFormat="1" ht="15" customHeight="1" x14ac:dyDescent="0.25">
      <c r="A82" s="43"/>
      <c r="B82" s="34"/>
      <c r="C82" s="47"/>
      <c r="D82" s="47">
        <v>73</v>
      </c>
      <c r="E82" s="48"/>
      <c r="F82" s="47"/>
      <c r="G82" s="47"/>
      <c r="H82" s="47"/>
      <c r="I82" s="47"/>
      <c r="J82" s="47"/>
      <c r="K82" s="47"/>
      <c r="L82" s="47"/>
      <c r="M82" s="47"/>
      <c r="N82" s="47"/>
      <c r="O82" s="47"/>
      <c r="P82" s="47"/>
      <c r="Q82" s="47"/>
      <c r="R82" s="47"/>
      <c r="S82" s="47"/>
      <c r="T82" s="47"/>
      <c r="U82" s="49" t="str">
        <f ca="1">IF(COUNTIF(OFFSET($E82,0,1):OFFSET(U82,0,-1),"=*")&gt;0,IF($C82="К","-"," - "),IF(COUNTIF(OFFSET($E82,0,1):OFFSET(U82,0,-1),"&lt;4")&gt;0,IF(C82="К","-"," - "),(IFERROR(AVERAGE(OFFSET($E82,0,1):OFFSET(U82,0,-1)),"Очікую"))))</f>
        <v>Очікую</v>
      </c>
      <c r="V82" s="49" t="str">
        <f t="shared" ca="1" si="1"/>
        <v>Очікую</v>
      </c>
      <c r="W82" s="36"/>
      <c r="X82" s="42"/>
    </row>
    <row r="83" spans="1:24" s="12" customFormat="1" ht="15" customHeight="1" x14ac:dyDescent="0.25">
      <c r="A83" s="43"/>
      <c r="B83" s="34"/>
      <c r="C83" s="47"/>
      <c r="D83" s="47">
        <v>74</v>
      </c>
      <c r="E83" s="48"/>
      <c r="F83" s="47"/>
      <c r="G83" s="47"/>
      <c r="H83" s="47"/>
      <c r="I83" s="47"/>
      <c r="J83" s="47"/>
      <c r="K83" s="47"/>
      <c r="L83" s="47"/>
      <c r="M83" s="47"/>
      <c r="N83" s="47"/>
      <c r="O83" s="47"/>
      <c r="P83" s="47"/>
      <c r="Q83" s="47"/>
      <c r="R83" s="47"/>
      <c r="S83" s="47"/>
      <c r="T83" s="47"/>
      <c r="U83" s="49" t="str">
        <f ca="1">IF(COUNTIF(OFFSET($E83,0,1):OFFSET(U83,0,-1),"=*")&gt;0,IF($C83="К","-"," - "),IF(COUNTIF(OFFSET($E83,0,1):OFFSET(U83,0,-1),"&lt;4")&gt;0,IF(C83="К","-"," - "),(IFERROR(AVERAGE(OFFSET($E83,0,1):OFFSET(U83,0,-1)),"Очікую"))))</f>
        <v>Очікую</v>
      </c>
      <c r="V83" s="49" t="str">
        <f t="shared" ca="1" si="1"/>
        <v>Очікую</v>
      </c>
      <c r="W83" s="36"/>
      <c r="X83" s="42"/>
    </row>
    <row r="84" spans="1:24" s="12" customFormat="1" ht="15" customHeight="1" x14ac:dyDescent="0.25">
      <c r="A84" s="43"/>
      <c r="B84" s="34"/>
      <c r="C84" s="47"/>
      <c r="D84" s="47">
        <v>75</v>
      </c>
      <c r="E84" s="48"/>
      <c r="F84" s="47"/>
      <c r="G84" s="47"/>
      <c r="H84" s="47"/>
      <c r="I84" s="47"/>
      <c r="J84" s="47"/>
      <c r="K84" s="47"/>
      <c r="L84" s="47"/>
      <c r="M84" s="47"/>
      <c r="N84" s="47"/>
      <c r="O84" s="47"/>
      <c r="P84" s="47"/>
      <c r="Q84" s="47"/>
      <c r="R84" s="47"/>
      <c r="S84" s="47"/>
      <c r="T84" s="47"/>
      <c r="U84" s="49" t="str">
        <f ca="1">IF(COUNTIF(OFFSET($E84,0,1):OFFSET(U84,0,-1),"=*")&gt;0,IF($C84="К","-"," - "),IF(COUNTIF(OFFSET($E84,0,1):OFFSET(U84,0,-1),"&lt;4")&gt;0,IF(C84="К","-"," - "),(IFERROR(AVERAGE(OFFSET($E84,0,1):OFFSET(U84,0,-1)),"Очікую"))))</f>
        <v>Очікую</v>
      </c>
      <c r="V84" s="49" t="str">
        <f t="shared" ca="1" si="1"/>
        <v>Очікую</v>
      </c>
      <c r="W84" s="36"/>
      <c r="X84" s="42"/>
    </row>
    <row r="85" spans="1:24" s="12" customFormat="1" ht="15" customHeight="1" x14ac:dyDescent="0.25">
      <c r="A85" s="43"/>
      <c r="B85" s="34"/>
      <c r="C85" s="47"/>
      <c r="D85" s="47">
        <v>76</v>
      </c>
      <c r="E85" s="48"/>
      <c r="F85" s="47"/>
      <c r="G85" s="47"/>
      <c r="H85" s="47"/>
      <c r="I85" s="47"/>
      <c r="J85" s="47"/>
      <c r="K85" s="47"/>
      <c r="L85" s="47"/>
      <c r="M85" s="47"/>
      <c r="N85" s="47"/>
      <c r="O85" s="47"/>
      <c r="P85" s="47"/>
      <c r="Q85" s="47"/>
      <c r="R85" s="47"/>
      <c r="S85" s="47"/>
      <c r="T85" s="47"/>
      <c r="U85" s="49" t="str">
        <f ca="1">IF(COUNTIF(OFFSET($E85,0,1):OFFSET(U85,0,-1),"=*")&gt;0,IF($C85="К","-"," - "),IF(COUNTIF(OFFSET($E85,0,1):OFFSET(U85,0,-1),"&lt;4")&gt;0,IF(C85="К","-"," - "),(IFERROR(AVERAGE(OFFSET($E85,0,1):OFFSET(U85,0,-1)),"Очікую"))))</f>
        <v>Очікую</v>
      </c>
      <c r="V85" s="49" t="str">
        <f t="shared" ca="1" si="1"/>
        <v>Очікую</v>
      </c>
      <c r="W85" s="36"/>
      <c r="X85" s="42"/>
    </row>
    <row r="86" spans="1:24" s="12" customFormat="1" ht="15" customHeight="1" x14ac:dyDescent="0.25">
      <c r="A86" s="43"/>
      <c r="B86" s="34"/>
      <c r="C86" s="47"/>
      <c r="D86" s="47">
        <v>77</v>
      </c>
      <c r="E86" s="48"/>
      <c r="F86" s="47"/>
      <c r="G86" s="47"/>
      <c r="H86" s="47"/>
      <c r="I86" s="47"/>
      <c r="J86" s="47"/>
      <c r="K86" s="47"/>
      <c r="L86" s="47"/>
      <c r="M86" s="47"/>
      <c r="N86" s="47"/>
      <c r="O86" s="47"/>
      <c r="P86" s="47"/>
      <c r="Q86" s="47"/>
      <c r="R86" s="47"/>
      <c r="S86" s="47"/>
      <c r="T86" s="47"/>
      <c r="U86" s="49" t="str">
        <f ca="1">IF(COUNTIF(OFFSET($E86,0,1):OFFSET(U86,0,-1),"=*")&gt;0,IF($C86="К","-"," - "),IF(COUNTIF(OFFSET($E86,0,1):OFFSET(U86,0,-1),"&lt;4")&gt;0,IF(C86="К","-"," - "),(IFERROR(AVERAGE(OFFSET($E86,0,1):OFFSET(U86,0,-1)),"Очікую"))))</f>
        <v>Очікую</v>
      </c>
      <c r="V86" s="49" t="str">
        <f t="shared" ca="1" si="1"/>
        <v>Очікую</v>
      </c>
      <c r="W86" s="36"/>
      <c r="X86" s="42"/>
    </row>
    <row r="87" spans="1:24" s="12" customFormat="1" ht="15" customHeight="1" x14ac:dyDescent="0.25">
      <c r="A87" s="43"/>
      <c r="B87" s="34"/>
      <c r="C87" s="47"/>
      <c r="D87" s="47">
        <v>78</v>
      </c>
      <c r="E87" s="48"/>
      <c r="F87" s="47"/>
      <c r="G87" s="47"/>
      <c r="H87" s="47"/>
      <c r="I87" s="47"/>
      <c r="J87" s="47"/>
      <c r="K87" s="47"/>
      <c r="L87" s="47"/>
      <c r="M87" s="47"/>
      <c r="N87" s="47"/>
      <c r="O87" s="47"/>
      <c r="P87" s="47"/>
      <c r="Q87" s="47"/>
      <c r="R87" s="47"/>
      <c r="S87" s="47"/>
      <c r="T87" s="47"/>
      <c r="U87" s="49" t="str">
        <f ca="1">IF(COUNTIF(OFFSET($E87,0,1):OFFSET(U87,0,-1),"=*")&gt;0,IF($C87="К","-"," - "),IF(COUNTIF(OFFSET($E87,0,1):OFFSET(U87,0,-1),"&lt;4")&gt;0,IF(C87="К","-"," - "),(IFERROR(AVERAGE(OFFSET($E87,0,1):OFFSET(U87,0,-1)),"Очікую"))))</f>
        <v>Очікую</v>
      </c>
      <c r="V87" s="49" t="str">
        <f t="shared" ca="1" si="1"/>
        <v>Очікую</v>
      </c>
      <c r="W87" s="36"/>
      <c r="X87" s="42"/>
    </row>
    <row r="88" spans="1:24" s="12" customFormat="1" ht="15" customHeight="1" x14ac:dyDescent="0.25">
      <c r="A88" s="43"/>
      <c r="B88" s="34"/>
      <c r="C88" s="47"/>
      <c r="D88" s="47">
        <v>79</v>
      </c>
      <c r="E88" s="48"/>
      <c r="F88" s="47"/>
      <c r="G88" s="47"/>
      <c r="H88" s="47"/>
      <c r="I88" s="47"/>
      <c r="J88" s="47"/>
      <c r="K88" s="47"/>
      <c r="L88" s="47"/>
      <c r="M88" s="47"/>
      <c r="N88" s="47"/>
      <c r="O88" s="47"/>
      <c r="P88" s="47"/>
      <c r="Q88" s="47"/>
      <c r="R88" s="47"/>
      <c r="S88" s="47"/>
      <c r="T88" s="47"/>
      <c r="U88" s="49" t="str">
        <f ca="1">IF(COUNTIF(OFFSET($E88,0,1):OFFSET(U88,0,-1),"=*")&gt;0,IF($C88="К","-"," - "),IF(COUNTIF(OFFSET($E88,0,1):OFFSET(U88,0,-1),"&lt;4")&gt;0,IF(C88="К","-"," - "),(IFERROR(AVERAGE(OFFSET($E88,0,1):OFFSET(U88,0,-1)),"Очікую"))))</f>
        <v>Очікую</v>
      </c>
      <c r="V88" s="49" t="str">
        <f t="shared" ca="1" si="1"/>
        <v>Очікую</v>
      </c>
      <c r="W88" s="36"/>
      <c r="X88" s="42"/>
    </row>
    <row r="89" spans="1:24" s="12" customFormat="1" ht="15" customHeight="1" x14ac:dyDescent="0.25">
      <c r="A89" s="43"/>
      <c r="B89" s="34"/>
      <c r="C89" s="47"/>
      <c r="D89" s="47">
        <v>80</v>
      </c>
      <c r="E89" s="48"/>
      <c r="F89" s="47"/>
      <c r="G89" s="47"/>
      <c r="H89" s="47"/>
      <c r="I89" s="47"/>
      <c r="J89" s="47"/>
      <c r="K89" s="47"/>
      <c r="L89" s="47"/>
      <c r="M89" s="47"/>
      <c r="N89" s="47"/>
      <c r="O89" s="47"/>
      <c r="P89" s="47"/>
      <c r="Q89" s="47"/>
      <c r="R89" s="47"/>
      <c r="S89" s="47"/>
      <c r="T89" s="47"/>
      <c r="U89" s="49" t="str">
        <f ca="1">IF(COUNTIF(OFFSET($E89,0,1):OFFSET(U89,0,-1),"=*")&gt;0,IF($C89="К","-"," - "),IF(COUNTIF(OFFSET($E89,0,1):OFFSET(U89,0,-1),"&lt;4")&gt;0,IF(C89="К","-"," - "),(IFERROR(AVERAGE(OFFSET($E89,0,1):OFFSET(U89,0,-1)),"Очікую"))))</f>
        <v>Очікую</v>
      </c>
      <c r="V89" s="49" t="str">
        <f t="shared" ca="1" si="1"/>
        <v>Очікую</v>
      </c>
      <c r="W89" s="36"/>
      <c r="X89" s="42"/>
    </row>
    <row r="90" spans="1:24" s="12" customFormat="1" ht="15" customHeight="1" x14ac:dyDescent="0.25">
      <c r="A90" s="43"/>
      <c r="B90" s="34"/>
      <c r="C90" s="47"/>
      <c r="D90" s="47">
        <v>81</v>
      </c>
      <c r="E90" s="48"/>
      <c r="F90" s="47"/>
      <c r="G90" s="47"/>
      <c r="H90" s="47"/>
      <c r="I90" s="47"/>
      <c r="J90" s="47"/>
      <c r="K90" s="47"/>
      <c r="L90" s="47"/>
      <c r="M90" s="47"/>
      <c r="N90" s="47"/>
      <c r="O90" s="47"/>
      <c r="P90" s="47"/>
      <c r="Q90" s="47"/>
      <c r="R90" s="47"/>
      <c r="S90" s="47"/>
      <c r="T90" s="47"/>
      <c r="U90" s="49" t="str">
        <f ca="1">IF(COUNTIF(OFFSET($E90,0,1):OFFSET(U90,0,-1),"=*")&gt;0,IF($C90="К","-"," - "),IF(COUNTIF(OFFSET($E90,0,1):OFFSET(U90,0,-1),"&lt;4")&gt;0,IF(C90="К","-"," - "),(IFERROR(AVERAGE(OFFSET($E90,0,1):OFFSET(U90,0,-1)),"Очікую"))))</f>
        <v>Очікую</v>
      </c>
      <c r="V90" s="49" t="str">
        <f t="shared" ca="1" si="1"/>
        <v>Очікую</v>
      </c>
      <c r="W90" s="36"/>
      <c r="X90" s="42"/>
    </row>
    <row r="91" spans="1:24" s="12" customFormat="1" ht="15" customHeight="1" x14ac:dyDescent="0.25">
      <c r="A91" s="43"/>
      <c r="B91" s="34"/>
      <c r="C91" s="47"/>
      <c r="D91" s="47">
        <v>82</v>
      </c>
      <c r="E91" s="48"/>
      <c r="F91" s="47"/>
      <c r="G91" s="47"/>
      <c r="H91" s="47"/>
      <c r="I91" s="47"/>
      <c r="J91" s="47"/>
      <c r="K91" s="47"/>
      <c r="L91" s="47"/>
      <c r="M91" s="47"/>
      <c r="N91" s="47"/>
      <c r="O91" s="47"/>
      <c r="P91" s="47"/>
      <c r="Q91" s="47"/>
      <c r="R91" s="47"/>
      <c r="S91" s="47"/>
      <c r="T91" s="47"/>
      <c r="U91" s="49" t="str">
        <f ca="1">IF(COUNTIF(OFFSET($E91,0,1):OFFSET(U91,0,-1),"=*")&gt;0,IF($C91="К","-"," - "),IF(COUNTIF(OFFSET($E91,0,1):OFFSET(U91,0,-1),"&lt;4")&gt;0,IF(C91="К","-"," - "),(IFERROR(AVERAGE(OFFSET($E91,0,1):OFFSET(U91,0,-1)),"Очікую"))))</f>
        <v>Очікую</v>
      </c>
      <c r="V91" s="49" t="str">
        <f t="shared" ca="1" si="1"/>
        <v>Очікую</v>
      </c>
      <c r="W91" s="36"/>
      <c r="X91" s="42"/>
    </row>
    <row r="92" spans="1:24" s="12" customFormat="1" ht="15" customHeight="1" x14ac:dyDescent="0.25">
      <c r="A92" s="43"/>
      <c r="B92" s="34"/>
      <c r="C92" s="47"/>
      <c r="D92" s="47">
        <v>83</v>
      </c>
      <c r="E92" s="48"/>
      <c r="F92" s="47"/>
      <c r="G92" s="47"/>
      <c r="H92" s="47"/>
      <c r="I92" s="47"/>
      <c r="J92" s="47"/>
      <c r="K92" s="47"/>
      <c r="L92" s="47"/>
      <c r="M92" s="47"/>
      <c r="N92" s="47"/>
      <c r="O92" s="47"/>
      <c r="P92" s="47"/>
      <c r="Q92" s="47"/>
      <c r="R92" s="47"/>
      <c r="S92" s="47"/>
      <c r="T92" s="47"/>
      <c r="U92" s="49" t="str">
        <f ca="1">IF(COUNTIF(OFFSET($E92,0,1):OFFSET(U92,0,-1),"=*")&gt;0,IF($C92="К","-"," - "),IF(COUNTIF(OFFSET($E92,0,1):OFFSET(U92,0,-1),"&lt;4")&gt;0,IF(C92="К","-"," - "),(IFERROR(AVERAGE(OFFSET($E92,0,1):OFFSET(U92,0,-1)),"Очікую"))))</f>
        <v>Очікую</v>
      </c>
      <c r="V92" s="49" t="str">
        <f t="shared" ca="1" si="1"/>
        <v>Очікую</v>
      </c>
      <c r="W92" s="36"/>
      <c r="X92" s="42"/>
    </row>
    <row r="93" spans="1:24" s="12" customFormat="1" ht="15" customHeight="1" x14ac:dyDescent="0.25">
      <c r="A93" s="43"/>
      <c r="B93" s="34"/>
      <c r="C93" s="47"/>
      <c r="D93" s="47">
        <v>84</v>
      </c>
      <c r="E93" s="48"/>
      <c r="F93" s="47"/>
      <c r="G93" s="47"/>
      <c r="H93" s="47"/>
      <c r="I93" s="47"/>
      <c r="J93" s="47"/>
      <c r="K93" s="47"/>
      <c r="L93" s="47"/>
      <c r="M93" s="47"/>
      <c r="N93" s="47"/>
      <c r="O93" s="47"/>
      <c r="P93" s="47"/>
      <c r="Q93" s="47"/>
      <c r="R93" s="47"/>
      <c r="S93" s="47"/>
      <c r="T93" s="47"/>
      <c r="U93" s="49" t="str">
        <f ca="1">IF(COUNTIF(OFFSET($E93,0,1):OFFSET(U93,0,-1),"=*")&gt;0,IF($C93="К","-"," - "),IF(COUNTIF(OFFSET($E93,0,1):OFFSET(U93,0,-1),"&lt;4")&gt;0,IF(C93="К","-"," - "),(IFERROR(AVERAGE(OFFSET($E93,0,1):OFFSET(U93,0,-1)),"Очікую"))))</f>
        <v>Очікую</v>
      </c>
      <c r="V93" s="49" t="str">
        <f t="shared" ca="1" si="1"/>
        <v>Очікую</v>
      </c>
      <c r="W93" s="36"/>
      <c r="X93" s="42"/>
    </row>
    <row r="94" spans="1:24" s="12" customFormat="1" ht="15" customHeight="1" x14ac:dyDescent="0.25">
      <c r="A94" s="43"/>
      <c r="B94" s="34"/>
      <c r="C94" s="47"/>
      <c r="D94" s="47">
        <v>85</v>
      </c>
      <c r="E94" s="48"/>
      <c r="F94" s="47"/>
      <c r="G94" s="47"/>
      <c r="H94" s="47"/>
      <c r="I94" s="47"/>
      <c r="J94" s="47"/>
      <c r="K94" s="47"/>
      <c r="L94" s="47"/>
      <c r="M94" s="47"/>
      <c r="N94" s="47"/>
      <c r="O94" s="47"/>
      <c r="P94" s="47"/>
      <c r="Q94" s="47"/>
      <c r="R94" s="47"/>
      <c r="S94" s="47"/>
      <c r="T94" s="47"/>
      <c r="U94" s="49" t="str">
        <f ca="1">IF(COUNTIF(OFFSET($E94,0,1):OFFSET(U94,0,-1),"=*")&gt;0,IF($C94="К","-"," - "),IF(COUNTIF(OFFSET($E94,0,1):OFFSET(U94,0,-1),"&lt;4")&gt;0,IF(C94="К","-"," - "),(IFERROR(AVERAGE(OFFSET($E94,0,1):OFFSET(U94,0,-1)),"Очікую"))))</f>
        <v>Очікую</v>
      </c>
      <c r="V94" s="49" t="str">
        <f t="shared" ca="1" si="1"/>
        <v>Очікую</v>
      </c>
      <c r="W94" s="36"/>
      <c r="X94" s="42"/>
    </row>
    <row r="95" spans="1:24" s="12" customFormat="1" ht="15" customHeight="1" x14ac:dyDescent="0.25">
      <c r="A95" s="43"/>
      <c r="B95" s="34"/>
      <c r="C95" s="47"/>
      <c r="D95" s="47">
        <v>86</v>
      </c>
      <c r="E95" s="48"/>
      <c r="F95" s="47"/>
      <c r="G95" s="47"/>
      <c r="H95" s="47"/>
      <c r="I95" s="47"/>
      <c r="J95" s="47"/>
      <c r="K95" s="47"/>
      <c r="L95" s="47"/>
      <c r="M95" s="47"/>
      <c r="N95" s="47"/>
      <c r="O95" s="47"/>
      <c r="P95" s="47"/>
      <c r="Q95" s="47"/>
      <c r="R95" s="47"/>
      <c r="S95" s="47"/>
      <c r="T95" s="47"/>
      <c r="U95" s="49" t="str">
        <f ca="1">IF(COUNTIF(OFFSET($E95,0,1):OFFSET(U95,0,-1),"=*")&gt;0,IF($C95="К","-"," - "),IF(COUNTIF(OFFSET($E95,0,1):OFFSET(U95,0,-1),"&lt;4")&gt;0,IF(C95="К","-"," - "),(IFERROR(AVERAGE(OFFSET($E95,0,1):OFFSET(U95,0,-1)),"Очікую"))))</f>
        <v>Очікую</v>
      </c>
      <c r="V95" s="49" t="str">
        <f t="shared" ca="1" si="1"/>
        <v>Очікую</v>
      </c>
      <c r="W95" s="36"/>
      <c r="X95" s="42"/>
    </row>
    <row r="96" spans="1:24" s="12" customFormat="1" ht="15" customHeight="1" x14ac:dyDescent="0.25">
      <c r="A96" s="43"/>
      <c r="B96" s="34"/>
      <c r="C96" s="47"/>
      <c r="D96" s="47">
        <v>87</v>
      </c>
      <c r="E96" s="48"/>
      <c r="F96" s="47"/>
      <c r="G96" s="47"/>
      <c r="H96" s="47"/>
      <c r="I96" s="47"/>
      <c r="J96" s="47"/>
      <c r="K96" s="47"/>
      <c r="L96" s="47"/>
      <c r="M96" s="47"/>
      <c r="N96" s="47"/>
      <c r="O96" s="47"/>
      <c r="P96" s="47"/>
      <c r="Q96" s="47"/>
      <c r="R96" s="47"/>
      <c r="S96" s="47"/>
      <c r="T96" s="47"/>
      <c r="U96" s="49" t="str">
        <f ca="1">IF(COUNTIF(OFFSET($E96,0,1):OFFSET(U96,0,-1),"=*")&gt;0,IF($C96="К","-"," - "),IF(COUNTIF(OFFSET($E96,0,1):OFFSET(U96,0,-1),"&lt;4")&gt;0,IF(C96="К","-"," - "),(IFERROR(AVERAGE(OFFSET($E96,0,1):OFFSET(U96,0,-1)),"Очікую"))))</f>
        <v>Очікую</v>
      </c>
      <c r="V96" s="49" t="str">
        <f t="shared" ca="1" si="1"/>
        <v>Очікую</v>
      </c>
      <c r="W96" s="36"/>
      <c r="X96" s="42"/>
    </row>
    <row r="97" spans="1:24" s="12" customFormat="1" ht="15" customHeight="1" x14ac:dyDescent="0.25">
      <c r="A97" s="43"/>
      <c r="B97" s="34"/>
      <c r="C97" s="47"/>
      <c r="D97" s="47">
        <v>88</v>
      </c>
      <c r="E97" s="48"/>
      <c r="F97" s="47"/>
      <c r="G97" s="47"/>
      <c r="H97" s="47"/>
      <c r="I97" s="47"/>
      <c r="J97" s="47"/>
      <c r="K97" s="47"/>
      <c r="L97" s="47"/>
      <c r="M97" s="47"/>
      <c r="N97" s="47"/>
      <c r="O97" s="47"/>
      <c r="P97" s="47"/>
      <c r="Q97" s="47"/>
      <c r="R97" s="47"/>
      <c r="S97" s="47"/>
      <c r="T97" s="47"/>
      <c r="U97" s="49" t="str">
        <f ca="1">IF(COUNTIF(OFFSET($E97,0,1):OFFSET(U97,0,-1),"=*")&gt;0,IF($C97="К","-"," - "),IF(COUNTIF(OFFSET($E97,0,1):OFFSET(U97,0,-1),"&lt;4")&gt;0,IF(C97="К","-"," - "),(IFERROR(AVERAGE(OFFSET($E97,0,1):OFFSET(U97,0,-1)),"Очікую"))))</f>
        <v>Очікую</v>
      </c>
      <c r="V97" s="49" t="str">
        <f t="shared" ca="1" si="1"/>
        <v>Очікую</v>
      </c>
      <c r="W97" s="36"/>
      <c r="X97" s="42"/>
    </row>
    <row r="98" spans="1:24" s="12" customFormat="1" ht="15" customHeight="1" x14ac:dyDescent="0.25">
      <c r="A98" s="43"/>
      <c r="B98" s="34"/>
      <c r="C98" s="47"/>
      <c r="D98" s="47">
        <v>89</v>
      </c>
      <c r="E98" s="48"/>
      <c r="F98" s="47"/>
      <c r="G98" s="47"/>
      <c r="H98" s="47"/>
      <c r="I98" s="47"/>
      <c r="J98" s="47"/>
      <c r="K98" s="47"/>
      <c r="L98" s="47"/>
      <c r="M98" s="47"/>
      <c r="N98" s="47"/>
      <c r="O98" s="47"/>
      <c r="P98" s="47"/>
      <c r="Q98" s="47"/>
      <c r="R98" s="47"/>
      <c r="S98" s="47"/>
      <c r="T98" s="47"/>
      <c r="U98" s="49" t="str">
        <f ca="1">IF(COUNTIF(OFFSET($E98,0,1):OFFSET(U98,0,-1),"=*")&gt;0,IF($C98="К","-"," - "),IF(COUNTIF(OFFSET($E98,0,1):OFFSET(U98,0,-1),"&lt;4")&gt;0,IF(C98="К","-"," - "),(IFERROR(AVERAGE(OFFSET($E98,0,1):OFFSET(U98,0,-1)),"Очікую"))))</f>
        <v>Очікую</v>
      </c>
      <c r="V98" s="49" t="str">
        <f t="shared" ca="1" si="1"/>
        <v>Очікую</v>
      </c>
      <c r="W98" s="36"/>
      <c r="X98" s="42"/>
    </row>
    <row r="99" spans="1:24" s="12" customFormat="1" ht="15" customHeight="1" x14ac:dyDescent="0.25">
      <c r="A99" s="43"/>
      <c r="B99" s="34"/>
      <c r="C99" s="47"/>
      <c r="D99" s="47">
        <v>90</v>
      </c>
      <c r="E99" s="48"/>
      <c r="F99" s="47"/>
      <c r="G99" s="47"/>
      <c r="H99" s="47"/>
      <c r="I99" s="47"/>
      <c r="J99" s="47"/>
      <c r="K99" s="47"/>
      <c r="L99" s="47"/>
      <c r="M99" s="47"/>
      <c r="N99" s="47"/>
      <c r="O99" s="47"/>
      <c r="P99" s="47"/>
      <c r="Q99" s="47"/>
      <c r="R99" s="47"/>
      <c r="S99" s="47"/>
      <c r="T99" s="47"/>
      <c r="U99" s="49" t="str">
        <f ca="1">IF(COUNTIF(OFFSET($E99,0,1):OFFSET(U99,0,-1),"=*")&gt;0,IF($C99="К","-"," - "),IF(COUNTIF(OFFSET($E99,0,1):OFFSET(U99,0,-1),"&lt;4")&gt;0,IF(C99="К","-"," - "),(IFERROR(AVERAGE(OFFSET($E99,0,1):OFFSET(U99,0,-1)),"Очікую"))))</f>
        <v>Очікую</v>
      </c>
      <c r="V99" s="49" t="str">
        <f t="shared" ca="1" si="1"/>
        <v>Очікую</v>
      </c>
      <c r="W99" s="36"/>
      <c r="X99" s="42"/>
    </row>
    <row r="100" spans="1:24" s="12" customFormat="1" ht="15" customHeight="1" x14ac:dyDescent="0.25">
      <c r="A100" s="43"/>
      <c r="B100" s="34"/>
      <c r="C100" s="47"/>
      <c r="D100" s="47">
        <v>91</v>
      </c>
      <c r="E100" s="48"/>
      <c r="F100" s="47"/>
      <c r="G100" s="47"/>
      <c r="H100" s="47"/>
      <c r="I100" s="47"/>
      <c r="J100" s="47"/>
      <c r="K100" s="47"/>
      <c r="L100" s="47"/>
      <c r="M100" s="47"/>
      <c r="N100" s="47"/>
      <c r="O100" s="47"/>
      <c r="P100" s="47"/>
      <c r="Q100" s="47"/>
      <c r="R100" s="47"/>
      <c r="S100" s="47"/>
      <c r="T100" s="47"/>
      <c r="U100" s="49" t="str">
        <f ca="1">IF(COUNTIF(OFFSET($E100,0,1):OFFSET(U100,0,-1),"=*")&gt;0,IF($C100="К","-"," - "),IF(COUNTIF(OFFSET($E100,0,1):OFFSET(U100,0,-1),"&lt;4")&gt;0,IF(C100="К","-"," - "),(IFERROR(AVERAGE(OFFSET($E100,0,1):OFFSET(U100,0,-1)),"Очікую"))))</f>
        <v>Очікую</v>
      </c>
      <c r="V100" s="49" t="str">
        <f t="shared" ca="1" si="1"/>
        <v>Очікую</v>
      </c>
      <c r="W100" s="36"/>
      <c r="X100" s="42"/>
    </row>
    <row r="101" spans="1:24" s="12" customFormat="1" ht="15" customHeight="1" x14ac:dyDescent="0.25">
      <c r="A101" s="43"/>
      <c r="B101" s="34"/>
      <c r="C101" s="47"/>
      <c r="D101" s="47">
        <v>92</v>
      </c>
      <c r="E101" s="48"/>
      <c r="F101" s="47"/>
      <c r="G101" s="47"/>
      <c r="H101" s="47"/>
      <c r="I101" s="47"/>
      <c r="J101" s="47"/>
      <c r="K101" s="47"/>
      <c r="L101" s="47"/>
      <c r="M101" s="47"/>
      <c r="N101" s="47"/>
      <c r="O101" s="47"/>
      <c r="P101" s="47"/>
      <c r="Q101" s="47"/>
      <c r="R101" s="47"/>
      <c r="S101" s="47"/>
      <c r="T101" s="47"/>
      <c r="U101" s="49" t="str">
        <f ca="1">IF(COUNTIF(OFFSET($E101,0,1):OFFSET(U101,0,-1),"=*")&gt;0,IF($C101="К","-"," - "),IF(COUNTIF(OFFSET($E101,0,1):OFFSET(U101,0,-1),"&lt;4")&gt;0,IF(C101="К","-"," - "),(IFERROR(AVERAGE(OFFSET($E101,0,1):OFFSET(U101,0,-1)),"Очікую"))))</f>
        <v>Очікую</v>
      </c>
      <c r="V101" s="49" t="str">
        <f t="shared" ca="1" si="1"/>
        <v>Очікую</v>
      </c>
      <c r="W101" s="36"/>
      <c r="X101" s="42"/>
    </row>
    <row r="102" spans="1:24" s="12" customFormat="1" ht="15" customHeight="1" x14ac:dyDescent="0.25">
      <c r="A102" s="43"/>
      <c r="B102" s="34"/>
      <c r="C102" s="47"/>
      <c r="D102" s="47">
        <v>93</v>
      </c>
      <c r="E102" s="48"/>
      <c r="F102" s="47"/>
      <c r="G102" s="47"/>
      <c r="H102" s="47"/>
      <c r="I102" s="47"/>
      <c r="J102" s="47"/>
      <c r="K102" s="47"/>
      <c r="L102" s="47"/>
      <c r="M102" s="47"/>
      <c r="N102" s="47"/>
      <c r="O102" s="47"/>
      <c r="P102" s="47"/>
      <c r="Q102" s="47"/>
      <c r="R102" s="47"/>
      <c r="S102" s="47"/>
      <c r="T102" s="47"/>
      <c r="U102" s="49" t="str">
        <f ca="1">IF(COUNTIF(OFFSET($E102,0,1):OFFSET(U102,0,-1),"=*")&gt;0,IF($C102="К","-"," - "),IF(COUNTIF(OFFSET($E102,0,1):OFFSET(U102,0,-1),"&lt;4")&gt;0,IF(C102="К","-"," - "),(IFERROR(AVERAGE(OFFSET($E102,0,1):OFFSET(U102,0,-1)),"Очікую"))))</f>
        <v>Очікую</v>
      </c>
      <c r="V102" s="49" t="str">
        <f t="shared" ca="1" si="1"/>
        <v>Очікую</v>
      </c>
      <c r="W102" s="36"/>
      <c r="X102" s="42"/>
    </row>
    <row r="103" spans="1:24" s="12" customFormat="1" ht="15" customHeight="1" x14ac:dyDescent="0.25">
      <c r="A103" s="43"/>
      <c r="B103" s="34"/>
      <c r="C103" s="47"/>
      <c r="D103" s="47">
        <v>94</v>
      </c>
      <c r="E103" s="48"/>
      <c r="F103" s="47"/>
      <c r="G103" s="47"/>
      <c r="H103" s="47"/>
      <c r="I103" s="47"/>
      <c r="J103" s="47"/>
      <c r="K103" s="47"/>
      <c r="L103" s="47"/>
      <c r="M103" s="47"/>
      <c r="N103" s="47"/>
      <c r="O103" s="47"/>
      <c r="P103" s="47"/>
      <c r="Q103" s="47"/>
      <c r="R103" s="47"/>
      <c r="S103" s="47"/>
      <c r="T103" s="47"/>
      <c r="U103" s="49" t="str">
        <f ca="1">IF(COUNTIF(OFFSET($E103,0,1):OFFSET(U103,0,-1),"=*")&gt;0,IF($C103="К","-"," - "),IF(COUNTIF(OFFSET($E103,0,1):OFFSET(U103,0,-1),"&lt;4")&gt;0,IF(C103="К","-"," - "),(IFERROR(AVERAGE(OFFSET($E103,0,1):OFFSET(U103,0,-1)),"Очікую"))))</f>
        <v>Очікую</v>
      </c>
      <c r="V103" s="49" t="str">
        <f t="shared" ca="1" si="1"/>
        <v>Очікую</v>
      </c>
      <c r="W103" s="36"/>
      <c r="X103" s="42"/>
    </row>
    <row r="104" spans="1:24" s="12" customFormat="1" ht="15" customHeight="1" x14ac:dyDescent="0.25">
      <c r="A104" s="43"/>
      <c r="B104" s="34"/>
      <c r="C104" s="47"/>
      <c r="D104" s="47">
        <v>95</v>
      </c>
      <c r="E104" s="48"/>
      <c r="F104" s="47"/>
      <c r="G104" s="47"/>
      <c r="H104" s="47"/>
      <c r="I104" s="47"/>
      <c r="J104" s="47"/>
      <c r="K104" s="47"/>
      <c r="L104" s="47"/>
      <c r="M104" s="47"/>
      <c r="N104" s="47"/>
      <c r="O104" s="47"/>
      <c r="P104" s="47"/>
      <c r="Q104" s="47"/>
      <c r="R104" s="47"/>
      <c r="S104" s="47"/>
      <c r="T104" s="47"/>
      <c r="U104" s="49" t="str">
        <f ca="1">IF(COUNTIF(OFFSET($E104,0,1):OFFSET(U104,0,-1),"=*")&gt;0,IF($C104="К","-"," - "),IF(COUNTIF(OFFSET($E104,0,1):OFFSET(U104,0,-1),"&lt;4")&gt;0,IF(C104="К","-"," - "),(IFERROR(AVERAGE(OFFSET($E104,0,1):OFFSET(U104,0,-1)),"Очікую"))))</f>
        <v>Очікую</v>
      </c>
      <c r="V104" s="49" t="str">
        <f t="shared" ca="1" si="1"/>
        <v>Очікую</v>
      </c>
      <c r="W104" s="36"/>
      <c r="X104" s="42"/>
    </row>
    <row r="105" spans="1:24" s="12" customFormat="1" ht="15" customHeight="1" x14ac:dyDescent="0.25">
      <c r="A105" s="43"/>
      <c r="B105" s="34"/>
      <c r="C105" s="47"/>
      <c r="D105" s="47">
        <v>96</v>
      </c>
      <c r="E105" s="48"/>
      <c r="F105" s="47"/>
      <c r="G105" s="47"/>
      <c r="H105" s="47"/>
      <c r="I105" s="47"/>
      <c r="J105" s="47"/>
      <c r="K105" s="47"/>
      <c r="L105" s="47"/>
      <c r="M105" s="47"/>
      <c r="N105" s="47"/>
      <c r="O105" s="47"/>
      <c r="P105" s="47"/>
      <c r="Q105" s="47"/>
      <c r="R105" s="47"/>
      <c r="S105" s="47"/>
      <c r="T105" s="47"/>
      <c r="U105" s="49" t="str">
        <f ca="1">IF(COUNTIF(OFFSET($E105,0,1):OFFSET(U105,0,-1),"=*")&gt;0,IF($C105="К","-"," - "),IF(COUNTIF(OFFSET($E105,0,1):OFFSET(U105,0,-1),"&lt;4")&gt;0,IF(C105="К","-"," - "),(IFERROR(AVERAGE(OFFSET($E105,0,1):OFFSET(U105,0,-1)),"Очікую"))))</f>
        <v>Очікую</v>
      </c>
      <c r="V105" s="49" t="str">
        <f t="shared" ca="1" si="1"/>
        <v>Очікую</v>
      </c>
      <c r="W105" s="36"/>
      <c r="X105" s="42"/>
    </row>
    <row r="106" spans="1:24" s="12" customFormat="1" ht="15" customHeight="1" x14ac:dyDescent="0.25">
      <c r="A106" s="43"/>
      <c r="B106" s="34"/>
      <c r="C106" s="47"/>
      <c r="D106" s="47">
        <v>97</v>
      </c>
      <c r="E106" s="48"/>
      <c r="F106" s="47"/>
      <c r="G106" s="47"/>
      <c r="H106" s="47"/>
      <c r="I106" s="47"/>
      <c r="J106" s="47"/>
      <c r="K106" s="47"/>
      <c r="L106" s="47"/>
      <c r="M106" s="47"/>
      <c r="N106" s="47"/>
      <c r="O106" s="47"/>
      <c r="P106" s="47"/>
      <c r="Q106" s="47"/>
      <c r="R106" s="47"/>
      <c r="S106" s="47"/>
      <c r="T106" s="47"/>
      <c r="U106" s="49" t="str">
        <f ca="1">IF(COUNTIF(OFFSET($E106,0,1):OFFSET(U106,0,-1),"=*")&gt;0,IF($C106="К","-"," - "),IF(COUNTIF(OFFSET($E106,0,1):OFFSET(U106,0,-1),"&lt;4")&gt;0,IF(C106="К","-"," - "),(IFERROR(AVERAGE(OFFSET($E106,0,1):OFFSET(U106,0,-1)),"Очікую"))))</f>
        <v>Очікую</v>
      </c>
      <c r="V106" s="49" t="str">
        <f t="shared" ca="1" si="1"/>
        <v>Очікую</v>
      </c>
      <c r="W106" s="36"/>
      <c r="X106" s="42"/>
    </row>
    <row r="107" spans="1:24" s="12" customFormat="1" ht="15" customHeight="1" x14ac:dyDescent="0.25">
      <c r="A107" s="43"/>
      <c r="B107" s="34"/>
      <c r="C107" s="47"/>
      <c r="D107" s="47">
        <v>98</v>
      </c>
      <c r="E107" s="48"/>
      <c r="F107" s="47"/>
      <c r="G107" s="47"/>
      <c r="H107" s="47"/>
      <c r="I107" s="47"/>
      <c r="J107" s="47"/>
      <c r="K107" s="47"/>
      <c r="L107" s="47"/>
      <c r="M107" s="47"/>
      <c r="N107" s="47"/>
      <c r="O107" s="47"/>
      <c r="P107" s="47"/>
      <c r="Q107" s="47"/>
      <c r="R107" s="47"/>
      <c r="S107" s="47"/>
      <c r="T107" s="47"/>
      <c r="U107" s="49" t="str">
        <f ca="1">IF(COUNTIF(OFFSET($E107,0,1):OFFSET(U107,0,-1),"=*")&gt;0,IF($C107="К","-"," - "),IF(COUNTIF(OFFSET($E107,0,1):OFFSET(U107,0,-1),"&lt;4")&gt;0,IF(C107="К","-"," - "),(IFERROR(AVERAGE(OFFSET($E107,0,1):OFFSET(U107,0,-1)),"Очікую"))))</f>
        <v>Очікую</v>
      </c>
      <c r="V107" s="49" t="str">
        <f t="shared" ca="1" si="1"/>
        <v>Очікую</v>
      </c>
      <c r="W107" s="36"/>
      <c r="X107" s="42"/>
    </row>
    <row r="108" spans="1:24" s="12" customFormat="1" ht="15" customHeight="1" x14ac:dyDescent="0.25">
      <c r="A108" s="43"/>
      <c r="B108" s="34"/>
      <c r="C108" s="47"/>
      <c r="D108" s="47">
        <v>99</v>
      </c>
      <c r="E108" s="48"/>
      <c r="F108" s="47"/>
      <c r="G108" s="47"/>
      <c r="H108" s="47"/>
      <c r="I108" s="47"/>
      <c r="J108" s="47"/>
      <c r="K108" s="47"/>
      <c r="L108" s="47"/>
      <c r="M108" s="47"/>
      <c r="N108" s="47"/>
      <c r="O108" s="47"/>
      <c r="P108" s="47"/>
      <c r="Q108" s="47"/>
      <c r="R108" s="47"/>
      <c r="S108" s="47"/>
      <c r="T108" s="47"/>
      <c r="U108" s="49" t="str">
        <f ca="1">IF(COUNTIF(OFFSET($E108,0,1):OFFSET(U108,0,-1),"=*")&gt;0,IF($C108="К","-"," - "),IF(COUNTIF(OFFSET($E108,0,1):OFFSET(U108,0,-1),"&lt;4")&gt;0,IF(C108="К","-"," - "),(IFERROR(AVERAGE(OFFSET($E108,0,1):OFFSET(U108,0,-1)),"Очікую"))))</f>
        <v>Очікую</v>
      </c>
      <c r="V108" s="49" t="str">
        <f t="shared" ca="1" si="1"/>
        <v>Очікую</v>
      </c>
      <c r="W108" s="36"/>
      <c r="X108" s="42"/>
    </row>
    <row r="109" spans="1:24" s="12" customFormat="1" ht="15" customHeight="1" x14ac:dyDescent="0.25">
      <c r="A109" s="43"/>
      <c r="B109" s="34"/>
      <c r="C109" s="47"/>
      <c r="D109" s="47">
        <v>100</v>
      </c>
      <c r="E109" s="48"/>
      <c r="F109" s="47"/>
      <c r="G109" s="47"/>
      <c r="H109" s="47"/>
      <c r="I109" s="47"/>
      <c r="J109" s="47"/>
      <c r="K109" s="47"/>
      <c r="L109" s="47"/>
      <c r="M109" s="47"/>
      <c r="N109" s="47"/>
      <c r="O109" s="47"/>
      <c r="P109" s="47"/>
      <c r="Q109" s="47"/>
      <c r="R109" s="47"/>
      <c r="S109" s="47"/>
      <c r="T109" s="47"/>
      <c r="U109" s="49" t="str">
        <f ca="1">IF(COUNTIF(OFFSET($E109,0,1):OFFSET(U109,0,-1),"=*")&gt;0,IF($C109="К","-"," - "),IF(COUNTIF(OFFSET($E109,0,1):OFFSET(U109,0,-1),"&lt;4")&gt;0,IF(C109="К","-"," - "),(IFERROR(AVERAGE(OFFSET($E109,0,1):OFFSET(U109,0,-1)),"Очікую"))))</f>
        <v>Очікую</v>
      </c>
      <c r="V109" s="49" t="str">
        <f t="shared" ca="1" si="1"/>
        <v>Очікую</v>
      </c>
      <c r="W109" s="36"/>
      <c r="X109" s="42"/>
    </row>
    <row r="110" spans="1:24" ht="15" customHeight="1" x14ac:dyDescent="0.25">
      <c r="A110" s="43"/>
      <c r="B110" s="34"/>
      <c r="C110" s="27"/>
      <c r="D110" s="27"/>
      <c r="E110" s="28" t="s">
        <v>9</v>
      </c>
      <c r="F110" s="5" t="str">
        <f ca="1">З7!F115</f>
        <v>Очікую</v>
      </c>
      <c r="G110" s="27"/>
      <c r="H110" s="29"/>
      <c r="I110" s="27"/>
      <c r="J110" s="27"/>
      <c r="K110" s="27"/>
      <c r="L110" s="27"/>
      <c r="M110" s="27"/>
      <c r="N110" s="27"/>
      <c r="O110" s="27"/>
      <c r="P110" s="30"/>
      <c r="Q110" s="29"/>
      <c r="R110" s="27"/>
      <c r="S110" s="27"/>
      <c r="T110" s="27"/>
      <c r="U110" s="27"/>
      <c r="V110" s="27"/>
      <c r="W110" s="35"/>
      <c r="X110" s="42"/>
    </row>
    <row r="111" spans="1:24" ht="15" customHeight="1" x14ac:dyDescent="0.25">
      <c r="A111" s="43"/>
      <c r="B111" s="34"/>
      <c r="C111" s="27"/>
      <c r="D111" s="27"/>
      <c r="E111" s="28" t="s">
        <v>10</v>
      </c>
      <c r="F111" s="5" t="str">
        <f ca="1">З7!F116</f>
        <v>Очікую</v>
      </c>
      <c r="G111" s="27"/>
      <c r="H111" s="78" t="s">
        <v>11</v>
      </c>
      <c r="I111" s="78"/>
      <c r="J111" s="78"/>
      <c r="K111" s="78"/>
      <c r="L111" s="78"/>
      <c r="M111" s="7"/>
      <c r="N111" s="7"/>
      <c r="O111" s="7"/>
      <c r="P111" s="79" t="s">
        <v>81</v>
      </c>
      <c r="Q111" s="79"/>
      <c r="R111" s="79"/>
      <c r="S111" s="79"/>
      <c r="T111" s="79"/>
      <c r="U111" s="79"/>
      <c r="V111" s="27"/>
      <c r="W111" s="35"/>
      <c r="X111" s="42"/>
    </row>
    <row r="112" spans="1:24" ht="15" customHeight="1" x14ac:dyDescent="0.25">
      <c r="A112" s="43"/>
      <c r="B112" s="34"/>
      <c r="C112" s="27"/>
      <c r="D112" s="27"/>
      <c r="E112" s="28" t="s">
        <v>12</v>
      </c>
      <c r="F112" s="5">
        <f>З7!F117</f>
        <v>0</v>
      </c>
      <c r="G112" s="27"/>
      <c r="H112" s="11"/>
      <c r="I112" s="7"/>
      <c r="J112" s="7"/>
      <c r="K112" s="7"/>
      <c r="L112" s="7"/>
      <c r="M112" s="7"/>
      <c r="N112" s="7"/>
      <c r="O112" s="7"/>
      <c r="P112" s="11"/>
      <c r="Q112" s="11"/>
      <c r="R112" s="7"/>
      <c r="S112" s="7"/>
      <c r="T112" s="7"/>
      <c r="U112" s="7"/>
      <c r="V112" s="27"/>
      <c r="W112" s="35"/>
      <c r="X112" s="42"/>
    </row>
    <row r="113" spans="1:24" ht="15" customHeight="1" x14ac:dyDescent="0.25">
      <c r="A113" s="43"/>
      <c r="B113" s="34"/>
      <c r="C113" s="27"/>
      <c r="D113" s="27"/>
      <c r="E113" s="28" t="s">
        <v>13</v>
      </c>
      <c r="F113" s="5" t="str">
        <f ca="1">З7!F118</f>
        <v>Очікую</v>
      </c>
      <c r="G113" s="27"/>
      <c r="H113" s="79" t="s">
        <v>14</v>
      </c>
      <c r="I113" s="79"/>
      <c r="J113" s="79"/>
      <c r="K113" s="79"/>
      <c r="L113" s="79"/>
      <c r="M113" s="7"/>
      <c r="N113" s="7"/>
      <c r="O113" s="7"/>
      <c r="P113" s="79" t="s">
        <v>15</v>
      </c>
      <c r="Q113" s="79"/>
      <c r="R113" s="79"/>
      <c r="S113" s="79"/>
      <c r="T113" s="79"/>
      <c r="U113" s="79"/>
      <c r="V113" s="27"/>
      <c r="W113" s="35"/>
      <c r="X113" s="42"/>
    </row>
    <row r="114" spans="1:24" ht="12" customHeight="1" thickBot="1" x14ac:dyDescent="0.3">
      <c r="A114" s="43"/>
      <c r="B114" s="37"/>
      <c r="C114" s="38"/>
      <c r="D114" s="38"/>
      <c r="E114" s="38"/>
      <c r="F114" s="38"/>
      <c r="G114" s="38"/>
      <c r="H114" s="38"/>
      <c r="I114" s="38"/>
      <c r="J114" s="38"/>
      <c r="K114" s="38"/>
      <c r="L114" s="38"/>
      <c r="M114" s="38"/>
      <c r="N114" s="38"/>
      <c r="O114" s="38"/>
      <c r="P114" s="38"/>
      <c r="Q114" s="38"/>
      <c r="R114" s="38"/>
      <c r="S114" s="38"/>
      <c r="T114" s="38"/>
      <c r="U114" s="38"/>
      <c r="V114" s="38"/>
      <c r="W114" s="39"/>
      <c r="X114" s="42"/>
    </row>
    <row r="115" spans="1:24" ht="12" customHeight="1" x14ac:dyDescent="0.25">
      <c r="A115" s="41"/>
      <c r="B115" s="17"/>
      <c r="C115" s="17"/>
      <c r="D115" s="17"/>
      <c r="E115" s="17"/>
      <c r="F115" s="17"/>
      <c r="G115" s="17"/>
      <c r="H115" s="17"/>
      <c r="I115" s="17"/>
      <c r="J115" s="17"/>
      <c r="K115" s="17"/>
      <c r="L115" s="17"/>
      <c r="M115" s="17"/>
      <c r="N115" s="17"/>
      <c r="O115" s="17"/>
      <c r="P115" s="17"/>
      <c r="Q115" s="17"/>
      <c r="R115" s="17"/>
      <c r="S115" s="17"/>
      <c r="T115" s="17"/>
      <c r="U115" s="17"/>
      <c r="V115" s="17"/>
      <c r="W115" s="17"/>
      <c r="X115" s="42"/>
    </row>
    <row r="116" spans="1:24" ht="0" hidden="1" customHeight="1" x14ac:dyDescent="0.25">
      <c r="A116" s="44"/>
      <c r="X116" s="44"/>
    </row>
    <row r="117" spans="1:24" ht="0" hidden="1" customHeight="1" x14ac:dyDescent="0.25">
      <c r="A117" s="44"/>
      <c r="X117" s="44"/>
    </row>
    <row r="118" spans="1:24" ht="0" hidden="1" customHeight="1" x14ac:dyDescent="0.25">
      <c r="A118" s="44"/>
      <c r="X118" s="44"/>
    </row>
    <row r="119" spans="1:24" ht="0" hidden="1" customHeight="1" x14ac:dyDescent="0.25">
      <c r="A119" s="44"/>
      <c r="X119" s="44"/>
    </row>
    <row r="120" spans="1:24" ht="0" hidden="1"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row>
  </sheetData>
  <sheetProtection insertRows="0" deleteRows="0"/>
  <mergeCells count="13">
    <mergeCell ref="H111:L111"/>
    <mergeCell ref="P111:U111"/>
    <mergeCell ref="H113:L113"/>
    <mergeCell ref="P113:U113"/>
    <mergeCell ref="C8:C9"/>
    <mergeCell ref="D8:D9"/>
    <mergeCell ref="E8:E9"/>
    <mergeCell ref="F8:V8"/>
    <mergeCell ref="C3:V3"/>
    <mergeCell ref="C4:V4"/>
    <mergeCell ref="C5:V5"/>
    <mergeCell ref="C6:V6"/>
    <mergeCell ref="C7:V7"/>
  </mergeCells>
  <printOptions horizontalCentered="1"/>
  <pageMargins left="0.19685039370078741" right="0.19685039370078741" top="0.19685039370078741" bottom="0.19685039370078741" header="0" footer="0"/>
  <pageSetup paperSize="9" scale="32"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26B0A"/>
    <pageSetUpPr fitToPage="1"/>
  </sheetPr>
  <dimension ref="A1:BI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2" width="11.28515625" style="1" customWidth="1"/>
    <col min="23" max="24" width="2.7109375" style="1" customWidth="1"/>
    <col min="25" max="30" width="14.42578125" style="1" hidden="1" customWidth="1"/>
    <col min="31" max="31" width="14.85546875" style="1" hidden="1" customWidth="1"/>
    <col min="32" max="45" width="3.7109375" style="1" hidden="1" customWidth="1"/>
    <col min="46" max="61" width="5.7109375" style="1" hidden="1" customWidth="1"/>
    <col min="62" max="16384" width="14.42578125" style="1" hidden="1"/>
  </cols>
  <sheetData>
    <row r="1" spans="1:24"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c r="X1" s="41"/>
    </row>
    <row r="2" spans="1:24" ht="12" customHeight="1" x14ac:dyDescent="0.25">
      <c r="A2" s="43"/>
      <c r="B2" s="31"/>
      <c r="C2" s="32"/>
      <c r="D2" s="32"/>
      <c r="E2" s="32"/>
      <c r="F2" s="32"/>
      <c r="G2" s="32"/>
      <c r="H2" s="32"/>
      <c r="I2" s="32"/>
      <c r="J2" s="32"/>
      <c r="K2" s="32"/>
      <c r="L2" s="32"/>
      <c r="M2" s="32"/>
      <c r="N2" s="32"/>
      <c r="O2" s="32"/>
      <c r="P2" s="32"/>
      <c r="Q2" s="32"/>
      <c r="R2" s="32"/>
      <c r="S2" s="32"/>
      <c r="T2" s="32"/>
      <c r="U2" s="32"/>
      <c r="V2" s="32"/>
      <c r="W2" s="33"/>
      <c r="X2" s="42"/>
    </row>
    <row r="3" spans="1:24" s="2" customFormat="1" ht="54.95" customHeight="1" x14ac:dyDescent="0.3">
      <c r="A3" s="43"/>
      <c r="B3" s="34"/>
      <c r="C3" s="74" t="s">
        <v>19</v>
      </c>
      <c r="D3" s="74"/>
      <c r="E3" s="74"/>
      <c r="F3" s="74"/>
      <c r="G3" s="74"/>
      <c r="H3" s="74"/>
      <c r="I3" s="74"/>
      <c r="J3" s="74"/>
      <c r="K3" s="74"/>
      <c r="L3" s="74"/>
      <c r="M3" s="74"/>
      <c r="N3" s="74"/>
      <c r="O3" s="74"/>
      <c r="P3" s="74"/>
      <c r="Q3" s="74"/>
      <c r="R3" s="74"/>
      <c r="S3" s="74"/>
      <c r="T3" s="74"/>
      <c r="U3" s="74"/>
      <c r="V3" s="74"/>
      <c r="W3" s="35"/>
      <c r="X3" s="42"/>
    </row>
    <row r="4" spans="1:24" s="3" customFormat="1" ht="15" customHeight="1" x14ac:dyDescent="0.25">
      <c r="A4" s="43"/>
      <c r="B4" s="34"/>
      <c r="C4" s="75" t="s">
        <v>38</v>
      </c>
      <c r="D4" s="75"/>
      <c r="E4" s="75"/>
      <c r="F4" s="75"/>
      <c r="G4" s="75"/>
      <c r="H4" s="75"/>
      <c r="I4" s="75"/>
      <c r="J4" s="75"/>
      <c r="K4" s="75"/>
      <c r="L4" s="75"/>
      <c r="M4" s="75"/>
      <c r="N4" s="75"/>
      <c r="O4" s="75"/>
      <c r="P4" s="75"/>
      <c r="Q4" s="75"/>
      <c r="R4" s="75"/>
      <c r="S4" s="75"/>
      <c r="T4" s="75"/>
      <c r="U4" s="75"/>
      <c r="V4" s="75"/>
      <c r="W4" s="35"/>
      <c r="X4" s="42"/>
    </row>
    <row r="5" spans="1:24" s="2" customFormat="1" ht="15" customHeight="1" x14ac:dyDescent="0.25">
      <c r="A5" s="43"/>
      <c r="B5" s="34"/>
      <c r="C5" s="76" t="s">
        <v>35</v>
      </c>
      <c r="D5" s="76"/>
      <c r="E5" s="76"/>
      <c r="F5" s="76"/>
      <c r="G5" s="76"/>
      <c r="H5" s="76"/>
      <c r="I5" s="76"/>
      <c r="J5" s="76"/>
      <c r="K5" s="76"/>
      <c r="L5" s="76"/>
      <c r="M5" s="76"/>
      <c r="N5" s="76"/>
      <c r="O5" s="76"/>
      <c r="P5" s="76"/>
      <c r="Q5" s="76"/>
      <c r="R5" s="76"/>
      <c r="S5" s="76"/>
      <c r="T5" s="76"/>
      <c r="U5" s="76"/>
      <c r="V5" s="76"/>
      <c r="W5" s="35"/>
      <c r="X5" s="42"/>
    </row>
    <row r="6" spans="1:24" s="2" customFormat="1" ht="15" customHeight="1" x14ac:dyDescent="0.25">
      <c r="A6" s="43"/>
      <c r="B6" s="34"/>
      <c r="C6" s="76" t="s">
        <v>37</v>
      </c>
      <c r="D6" s="76"/>
      <c r="E6" s="76"/>
      <c r="F6" s="76"/>
      <c r="G6" s="76"/>
      <c r="H6" s="76"/>
      <c r="I6" s="76"/>
      <c r="J6" s="76"/>
      <c r="K6" s="76"/>
      <c r="L6" s="76"/>
      <c r="M6" s="76"/>
      <c r="N6" s="76"/>
      <c r="O6" s="76"/>
      <c r="P6" s="76"/>
      <c r="Q6" s="76"/>
      <c r="R6" s="76"/>
      <c r="S6" s="76"/>
      <c r="T6" s="76"/>
      <c r="U6" s="76"/>
      <c r="V6" s="76"/>
      <c r="W6" s="35"/>
      <c r="X6" s="42"/>
    </row>
    <row r="7" spans="1:24" s="2" customFormat="1" ht="15" customHeight="1" x14ac:dyDescent="0.25">
      <c r="A7" s="43"/>
      <c r="B7" s="34"/>
      <c r="C7" s="77" t="s">
        <v>36</v>
      </c>
      <c r="D7" s="77"/>
      <c r="E7" s="77"/>
      <c r="F7" s="77"/>
      <c r="G7" s="77"/>
      <c r="H7" s="77"/>
      <c r="I7" s="77"/>
      <c r="J7" s="77"/>
      <c r="K7" s="77"/>
      <c r="L7" s="77"/>
      <c r="M7" s="77"/>
      <c r="N7" s="77"/>
      <c r="O7" s="77"/>
      <c r="P7" s="77"/>
      <c r="Q7" s="77"/>
      <c r="R7" s="77"/>
      <c r="S7" s="77"/>
      <c r="T7" s="77"/>
      <c r="U7" s="77"/>
      <c r="V7" s="77"/>
      <c r="W7" s="35"/>
      <c r="X7" s="42"/>
    </row>
    <row r="8" spans="1:24" ht="15" customHeight="1" x14ac:dyDescent="0.25">
      <c r="A8" s="43"/>
      <c r="B8" s="34"/>
      <c r="C8" s="80" t="s">
        <v>0</v>
      </c>
      <c r="D8" s="82" t="s">
        <v>1</v>
      </c>
      <c r="E8" s="82" t="s">
        <v>2</v>
      </c>
      <c r="F8" s="81" t="s">
        <v>17</v>
      </c>
      <c r="G8" s="81"/>
      <c r="H8" s="81"/>
      <c r="I8" s="81"/>
      <c r="J8" s="81"/>
      <c r="K8" s="81"/>
      <c r="L8" s="81"/>
      <c r="M8" s="81"/>
      <c r="N8" s="81"/>
      <c r="O8" s="81"/>
      <c r="P8" s="81"/>
      <c r="Q8" s="81"/>
      <c r="R8" s="81"/>
      <c r="S8" s="81"/>
      <c r="T8" s="81"/>
      <c r="U8" s="81"/>
      <c r="V8" s="81"/>
      <c r="W8" s="35"/>
      <c r="X8" s="42"/>
    </row>
    <row r="9" spans="1:24" ht="125.1" customHeight="1" x14ac:dyDescent="0.25">
      <c r="A9" s="43"/>
      <c r="B9" s="34"/>
      <c r="C9" s="81"/>
      <c r="D9" s="81"/>
      <c r="E9" s="81"/>
      <c r="F9" s="25" t="s">
        <v>20</v>
      </c>
      <c r="G9" s="25" t="s">
        <v>21</v>
      </c>
      <c r="H9" s="25" t="s">
        <v>22</v>
      </c>
      <c r="I9" s="25" t="s">
        <v>23</v>
      </c>
      <c r="J9" s="25" t="s">
        <v>24</v>
      </c>
      <c r="K9" s="25" t="s">
        <v>25</v>
      </c>
      <c r="L9" s="25" t="s">
        <v>26</v>
      </c>
      <c r="M9" s="25" t="s">
        <v>27</v>
      </c>
      <c r="N9" s="25" t="s">
        <v>28</v>
      </c>
      <c r="O9" s="25" t="s">
        <v>29</v>
      </c>
      <c r="P9" s="25" t="s">
        <v>30</v>
      </c>
      <c r="Q9" s="25" t="s">
        <v>31</v>
      </c>
      <c r="R9" s="25" t="s">
        <v>32</v>
      </c>
      <c r="S9" s="25" t="s">
        <v>33</v>
      </c>
      <c r="T9" s="25" t="s">
        <v>34</v>
      </c>
      <c r="U9" s="26" t="s">
        <v>3</v>
      </c>
      <c r="V9" s="26" t="s">
        <v>39</v>
      </c>
      <c r="W9" s="35"/>
      <c r="X9" s="42"/>
    </row>
    <row r="10" spans="1:24" s="12" customFormat="1" ht="15" customHeight="1" x14ac:dyDescent="0.25">
      <c r="A10" s="43"/>
      <c r="B10" s="34"/>
      <c r="C10" s="47"/>
      <c r="D10" s="47">
        <v>1</v>
      </c>
      <c r="E10" s="48"/>
      <c r="F10" s="47"/>
      <c r="G10" s="47"/>
      <c r="H10" s="47"/>
      <c r="I10" s="47"/>
      <c r="J10" s="47"/>
      <c r="K10" s="47"/>
      <c r="L10" s="47"/>
      <c r="M10" s="47"/>
      <c r="N10" s="47"/>
      <c r="O10" s="47"/>
      <c r="P10" s="47"/>
      <c r="Q10" s="47"/>
      <c r="R10" s="47"/>
      <c r="S10" s="47"/>
      <c r="T10" s="47"/>
      <c r="U10" s="49" t="str">
        <f ca="1">IF(COUNTIF(OFFSET($E10,0,1):OFFSET(U10,0,-1),"=*")&gt;0,IF($C10="К","-"," - "),IF(COUNTIF(OFFSET($E10,0,1):OFFSET(U10,0,-1),"&lt;4")&gt;0,IF(C10="К","-"," - "),(IFERROR(AVERAGE(OFFSET($E10,0,1):OFFSET(U10,0,-1)),"Очікую"))))</f>
        <v>Очікую</v>
      </c>
      <c r="V10" s="49" t="str">
        <f ca="1">IFERROR(U10/12*90,"Очікую")</f>
        <v>Очікую</v>
      </c>
      <c r="W10" s="36"/>
      <c r="X10" s="42"/>
    </row>
    <row r="11" spans="1:24" s="12" customFormat="1" ht="15" customHeight="1" x14ac:dyDescent="0.25">
      <c r="A11" s="43"/>
      <c r="B11" s="34"/>
      <c r="C11" s="47"/>
      <c r="D11" s="47">
        <v>2</v>
      </c>
      <c r="E11" s="48"/>
      <c r="F11" s="47"/>
      <c r="G11" s="47"/>
      <c r="H11" s="47"/>
      <c r="I11" s="47"/>
      <c r="J11" s="47"/>
      <c r="K11" s="47"/>
      <c r="L11" s="47"/>
      <c r="M11" s="47"/>
      <c r="N11" s="47"/>
      <c r="O11" s="47"/>
      <c r="P11" s="47"/>
      <c r="Q11" s="47"/>
      <c r="R11" s="47"/>
      <c r="S11" s="47"/>
      <c r="T11" s="47"/>
      <c r="U11" s="49" t="str">
        <f ca="1">IF(COUNTIF(OFFSET($E11,0,1):OFFSET(U11,0,-1),"=*")&gt;0,IF($C11="К","-"," - "),IF(COUNTIF(OFFSET($E11,0,1):OFFSET(U11,0,-1),"&lt;4")&gt;0,IF(C11="К","-"," - "),(IFERROR(AVERAGE(OFFSET($E11,0,1):OFFSET(U11,0,-1)),"Очікую"))))</f>
        <v>Очікую</v>
      </c>
      <c r="V11" s="49" t="str">
        <f t="shared" ref="V11:V74" ca="1" si="0">IFERROR(U11/12*90,"Очікую")</f>
        <v>Очікую</v>
      </c>
      <c r="W11" s="36"/>
      <c r="X11" s="42"/>
    </row>
    <row r="12" spans="1:24" s="12" customFormat="1" ht="15" customHeight="1" x14ac:dyDescent="0.25">
      <c r="A12" s="43"/>
      <c r="B12" s="34"/>
      <c r="C12" s="47"/>
      <c r="D12" s="47">
        <v>3</v>
      </c>
      <c r="E12" s="48"/>
      <c r="F12" s="47"/>
      <c r="G12" s="47"/>
      <c r="H12" s="47"/>
      <c r="I12" s="47"/>
      <c r="J12" s="47"/>
      <c r="K12" s="47"/>
      <c r="L12" s="47"/>
      <c r="M12" s="47"/>
      <c r="N12" s="47"/>
      <c r="O12" s="47"/>
      <c r="P12" s="47"/>
      <c r="Q12" s="47"/>
      <c r="R12" s="47"/>
      <c r="S12" s="47"/>
      <c r="T12" s="47"/>
      <c r="U12" s="49" t="str">
        <f ca="1">IF(COUNTIF(OFFSET($E12,0,1):OFFSET(U12,0,-1),"=*")&gt;0,IF($C12="К","-"," - "),IF(COUNTIF(OFFSET($E12,0,1):OFFSET(U12,0,-1),"&lt;4")&gt;0,IF(C12="К","-"," - "),(IFERROR(AVERAGE(OFFSET($E12,0,1):OFFSET(U12,0,-1)),"Очікую"))))</f>
        <v>Очікую</v>
      </c>
      <c r="V12" s="49" t="str">
        <f t="shared" ca="1" si="0"/>
        <v>Очікую</v>
      </c>
      <c r="W12" s="36"/>
      <c r="X12" s="42"/>
    </row>
    <row r="13" spans="1:24" s="12" customFormat="1" ht="15" customHeight="1" x14ac:dyDescent="0.25">
      <c r="A13" s="43"/>
      <c r="B13" s="34"/>
      <c r="C13" s="47"/>
      <c r="D13" s="47">
        <v>4</v>
      </c>
      <c r="E13" s="48"/>
      <c r="F13" s="47"/>
      <c r="G13" s="47"/>
      <c r="H13" s="47"/>
      <c r="I13" s="47"/>
      <c r="J13" s="47"/>
      <c r="K13" s="47"/>
      <c r="L13" s="47"/>
      <c r="M13" s="47"/>
      <c r="N13" s="47"/>
      <c r="O13" s="47"/>
      <c r="P13" s="47"/>
      <c r="Q13" s="47"/>
      <c r="R13" s="47"/>
      <c r="S13" s="47"/>
      <c r="T13" s="47"/>
      <c r="U13" s="49" t="str">
        <f ca="1">IF(COUNTIF(OFFSET($E13,0,1):OFFSET(U13,0,-1),"=*")&gt;0,IF($C13="К","-"," - "),IF(COUNTIF(OFFSET($E13,0,1):OFFSET(U13,0,-1),"&lt;4")&gt;0,IF(C13="К","-"," - "),(IFERROR(AVERAGE(OFFSET($E13,0,1):OFFSET(U13,0,-1)),"Очікую"))))</f>
        <v>Очікую</v>
      </c>
      <c r="V13" s="49" t="str">
        <f t="shared" ca="1" si="0"/>
        <v>Очікую</v>
      </c>
      <c r="W13" s="36"/>
      <c r="X13" s="42"/>
    </row>
    <row r="14" spans="1:24" s="12" customFormat="1" ht="15" customHeight="1" x14ac:dyDescent="0.25">
      <c r="A14" s="43"/>
      <c r="B14" s="34"/>
      <c r="C14" s="47"/>
      <c r="D14" s="47">
        <v>5</v>
      </c>
      <c r="E14" s="48"/>
      <c r="F14" s="47"/>
      <c r="G14" s="47"/>
      <c r="H14" s="47"/>
      <c r="I14" s="47"/>
      <c r="J14" s="47"/>
      <c r="K14" s="47"/>
      <c r="L14" s="47"/>
      <c r="M14" s="47"/>
      <c r="N14" s="47"/>
      <c r="O14" s="47"/>
      <c r="P14" s="47"/>
      <c r="Q14" s="47"/>
      <c r="R14" s="47"/>
      <c r="S14" s="47"/>
      <c r="T14" s="47"/>
      <c r="U14" s="49" t="str">
        <f ca="1">IF(COUNTIF(OFFSET($E14,0,1):OFFSET(U14,0,-1),"=*")&gt;0,IF($C14="К","-"," - "),IF(COUNTIF(OFFSET($E14,0,1):OFFSET(U14,0,-1),"&lt;4")&gt;0,IF(C14="К","-"," - "),(IFERROR(AVERAGE(OFFSET($E14,0,1):OFFSET(U14,0,-1)),"Очікую"))))</f>
        <v>Очікую</v>
      </c>
      <c r="V14" s="49" t="str">
        <f t="shared" ca="1" si="0"/>
        <v>Очікую</v>
      </c>
      <c r="W14" s="36"/>
      <c r="X14" s="42"/>
    </row>
    <row r="15" spans="1:24" s="12" customFormat="1" ht="15" customHeight="1" x14ac:dyDescent="0.25">
      <c r="A15" s="43"/>
      <c r="B15" s="34"/>
      <c r="C15" s="47"/>
      <c r="D15" s="47">
        <v>6</v>
      </c>
      <c r="E15" s="48"/>
      <c r="F15" s="47"/>
      <c r="G15" s="47"/>
      <c r="H15" s="47"/>
      <c r="I15" s="47"/>
      <c r="J15" s="47"/>
      <c r="K15" s="47"/>
      <c r="L15" s="47"/>
      <c r="M15" s="47"/>
      <c r="N15" s="47"/>
      <c r="O15" s="47"/>
      <c r="P15" s="47"/>
      <c r="Q15" s="47"/>
      <c r="R15" s="47"/>
      <c r="S15" s="47"/>
      <c r="T15" s="47"/>
      <c r="U15" s="49" t="str">
        <f ca="1">IF(COUNTIF(OFFSET($E15,0,1):OFFSET(U15,0,-1),"=*")&gt;0,IF($C15="К","-"," - "),IF(COUNTIF(OFFSET($E15,0,1):OFFSET(U15,0,-1),"&lt;4")&gt;0,IF(C15="К","-"," - "),(IFERROR(AVERAGE(OFFSET($E15,0,1):OFFSET(U15,0,-1)),"Очікую"))))</f>
        <v>Очікую</v>
      </c>
      <c r="V15" s="49" t="str">
        <f t="shared" ca="1" si="0"/>
        <v>Очікую</v>
      </c>
      <c r="W15" s="36"/>
      <c r="X15" s="42"/>
    </row>
    <row r="16" spans="1:24" s="12" customFormat="1" ht="15" customHeight="1" x14ac:dyDescent="0.25">
      <c r="A16" s="43"/>
      <c r="B16" s="34"/>
      <c r="C16" s="47"/>
      <c r="D16" s="47">
        <v>7</v>
      </c>
      <c r="E16" s="48"/>
      <c r="F16" s="47"/>
      <c r="G16" s="47"/>
      <c r="H16" s="47"/>
      <c r="I16" s="47"/>
      <c r="J16" s="47"/>
      <c r="K16" s="47"/>
      <c r="L16" s="47"/>
      <c r="M16" s="47"/>
      <c r="N16" s="47"/>
      <c r="O16" s="47"/>
      <c r="P16" s="47"/>
      <c r="Q16" s="47"/>
      <c r="R16" s="47"/>
      <c r="S16" s="47"/>
      <c r="T16" s="47"/>
      <c r="U16" s="49" t="str">
        <f ca="1">IF(COUNTIF(OFFSET($E16,0,1):OFFSET(U16,0,-1),"=*")&gt;0,IF($C16="К","-"," - "),IF(COUNTIF(OFFSET($E16,0,1):OFFSET(U16,0,-1),"&lt;4")&gt;0,IF(C16="К","-"," - "),(IFERROR(AVERAGE(OFFSET($E16,0,1):OFFSET(U16,0,-1)),"Очікую"))))</f>
        <v>Очікую</v>
      </c>
      <c r="V16" s="49" t="str">
        <f t="shared" ca="1" si="0"/>
        <v>Очікую</v>
      </c>
      <c r="W16" s="36"/>
      <c r="X16" s="42"/>
    </row>
    <row r="17" spans="1:24" s="12" customFormat="1" ht="15" customHeight="1" x14ac:dyDescent="0.25">
      <c r="A17" s="43"/>
      <c r="B17" s="34"/>
      <c r="C17" s="47"/>
      <c r="D17" s="47">
        <v>8</v>
      </c>
      <c r="E17" s="48"/>
      <c r="F17" s="47"/>
      <c r="G17" s="47"/>
      <c r="H17" s="47"/>
      <c r="I17" s="47"/>
      <c r="J17" s="47"/>
      <c r="K17" s="47"/>
      <c r="L17" s="47"/>
      <c r="M17" s="47"/>
      <c r="N17" s="47"/>
      <c r="O17" s="47"/>
      <c r="P17" s="47"/>
      <c r="Q17" s="47"/>
      <c r="R17" s="47"/>
      <c r="S17" s="47"/>
      <c r="T17" s="47"/>
      <c r="U17" s="49" t="str">
        <f ca="1">IF(COUNTIF(OFFSET($E17,0,1):OFFSET(U17,0,-1),"=*")&gt;0,IF($C17="К","-"," - "),IF(COUNTIF(OFFSET($E17,0,1):OFFSET(U17,0,-1),"&lt;4")&gt;0,IF(C17="К","-"," - "),(IFERROR(AVERAGE(OFFSET($E17,0,1):OFFSET(U17,0,-1)),"Очікую"))))</f>
        <v>Очікую</v>
      </c>
      <c r="V17" s="49" t="str">
        <f t="shared" ca="1" si="0"/>
        <v>Очікую</v>
      </c>
      <c r="W17" s="36"/>
      <c r="X17" s="42"/>
    </row>
    <row r="18" spans="1:24" s="12" customFormat="1" ht="15" customHeight="1" x14ac:dyDescent="0.25">
      <c r="A18" s="43"/>
      <c r="B18" s="34"/>
      <c r="C18" s="47"/>
      <c r="D18" s="47">
        <v>9</v>
      </c>
      <c r="E18" s="48"/>
      <c r="F18" s="47"/>
      <c r="G18" s="47"/>
      <c r="H18" s="47"/>
      <c r="I18" s="47"/>
      <c r="J18" s="47"/>
      <c r="K18" s="47"/>
      <c r="L18" s="47"/>
      <c r="M18" s="47"/>
      <c r="N18" s="47"/>
      <c r="O18" s="47"/>
      <c r="P18" s="47"/>
      <c r="Q18" s="47"/>
      <c r="R18" s="47"/>
      <c r="S18" s="47"/>
      <c r="T18" s="47"/>
      <c r="U18" s="49" t="str">
        <f ca="1">IF(COUNTIF(OFFSET($E18,0,1):OFFSET(U18,0,-1),"=*")&gt;0,IF($C18="К","-"," - "),IF(COUNTIF(OFFSET($E18,0,1):OFFSET(U18,0,-1),"&lt;4")&gt;0,IF(C18="К","-"," - "),(IFERROR(AVERAGE(OFFSET($E18,0,1):OFFSET(U18,0,-1)),"Очікую"))))</f>
        <v>Очікую</v>
      </c>
      <c r="V18" s="49" t="str">
        <f t="shared" ca="1" si="0"/>
        <v>Очікую</v>
      </c>
      <c r="W18" s="36"/>
      <c r="X18" s="42"/>
    </row>
    <row r="19" spans="1:24" s="12" customFormat="1" ht="15" customHeight="1" x14ac:dyDescent="0.25">
      <c r="A19" s="43"/>
      <c r="B19" s="34"/>
      <c r="C19" s="47"/>
      <c r="D19" s="47">
        <v>10</v>
      </c>
      <c r="E19" s="48"/>
      <c r="F19" s="47"/>
      <c r="G19" s="47"/>
      <c r="H19" s="47"/>
      <c r="I19" s="47"/>
      <c r="J19" s="47"/>
      <c r="K19" s="47"/>
      <c r="L19" s="47"/>
      <c r="M19" s="47"/>
      <c r="N19" s="47"/>
      <c r="O19" s="47"/>
      <c r="P19" s="47"/>
      <c r="Q19" s="47"/>
      <c r="R19" s="47"/>
      <c r="S19" s="47"/>
      <c r="T19" s="47"/>
      <c r="U19" s="49" t="str">
        <f ca="1">IF(COUNTIF(OFFSET($E19,0,1):OFFSET(U19,0,-1),"=*")&gt;0,IF($C19="К","-"," - "),IF(COUNTIF(OFFSET($E19,0,1):OFFSET(U19,0,-1),"&lt;4")&gt;0,IF(C19="К","-"," - "),(IFERROR(AVERAGE(OFFSET($E19,0,1):OFFSET(U19,0,-1)),"Очікую"))))</f>
        <v>Очікую</v>
      </c>
      <c r="V19" s="49" t="str">
        <f t="shared" ca="1" si="0"/>
        <v>Очікую</v>
      </c>
      <c r="W19" s="36"/>
      <c r="X19" s="42"/>
    </row>
    <row r="20" spans="1:24" s="12" customFormat="1" ht="15" customHeight="1" x14ac:dyDescent="0.25">
      <c r="A20" s="43"/>
      <c r="B20" s="34"/>
      <c r="C20" s="47"/>
      <c r="D20" s="47">
        <v>11</v>
      </c>
      <c r="E20" s="48"/>
      <c r="F20" s="47"/>
      <c r="G20" s="47"/>
      <c r="H20" s="47"/>
      <c r="I20" s="47"/>
      <c r="J20" s="47"/>
      <c r="K20" s="47"/>
      <c r="L20" s="47"/>
      <c r="M20" s="47"/>
      <c r="N20" s="47"/>
      <c r="O20" s="47"/>
      <c r="P20" s="47"/>
      <c r="Q20" s="47"/>
      <c r="R20" s="47"/>
      <c r="S20" s="47"/>
      <c r="T20" s="47"/>
      <c r="U20" s="49" t="str">
        <f ca="1">IF(COUNTIF(OFFSET($E20,0,1):OFFSET(U20,0,-1),"=*")&gt;0,IF($C20="К","-"," - "),IF(COUNTIF(OFFSET($E20,0,1):OFFSET(U20,0,-1),"&lt;4")&gt;0,IF(C20="К","-"," - "),(IFERROR(AVERAGE(OFFSET($E20,0,1):OFFSET(U20,0,-1)),"Очікую"))))</f>
        <v>Очікую</v>
      </c>
      <c r="V20" s="49" t="str">
        <f t="shared" ca="1" si="0"/>
        <v>Очікую</v>
      </c>
      <c r="W20" s="36"/>
      <c r="X20" s="42"/>
    </row>
    <row r="21" spans="1:24" s="12" customFormat="1" ht="15" customHeight="1" x14ac:dyDescent="0.25">
      <c r="A21" s="43"/>
      <c r="B21" s="34"/>
      <c r="C21" s="47"/>
      <c r="D21" s="47">
        <v>12</v>
      </c>
      <c r="E21" s="48"/>
      <c r="F21" s="47"/>
      <c r="G21" s="47"/>
      <c r="H21" s="47"/>
      <c r="I21" s="47"/>
      <c r="J21" s="47"/>
      <c r="K21" s="47"/>
      <c r="L21" s="47"/>
      <c r="M21" s="47"/>
      <c r="N21" s="47"/>
      <c r="O21" s="47"/>
      <c r="P21" s="47"/>
      <c r="Q21" s="47"/>
      <c r="R21" s="47"/>
      <c r="S21" s="47"/>
      <c r="T21" s="47"/>
      <c r="U21" s="49" t="str">
        <f ca="1">IF(COUNTIF(OFFSET($E21,0,1):OFFSET(U21,0,-1),"=*")&gt;0,IF($C21="К","-"," - "),IF(COUNTIF(OFFSET($E21,0,1):OFFSET(U21,0,-1),"&lt;4")&gt;0,IF(C21="К","-"," - "),(IFERROR(AVERAGE(OFFSET($E21,0,1):OFFSET(U21,0,-1)),"Очікую"))))</f>
        <v>Очікую</v>
      </c>
      <c r="V21" s="49" t="str">
        <f t="shared" ca="1" si="0"/>
        <v>Очікую</v>
      </c>
      <c r="W21" s="36"/>
      <c r="X21" s="42"/>
    </row>
    <row r="22" spans="1:24" s="12" customFormat="1" ht="15" customHeight="1" x14ac:dyDescent="0.25">
      <c r="A22" s="43"/>
      <c r="B22" s="34"/>
      <c r="C22" s="47"/>
      <c r="D22" s="47">
        <v>13</v>
      </c>
      <c r="E22" s="48"/>
      <c r="F22" s="47"/>
      <c r="G22" s="47"/>
      <c r="H22" s="47"/>
      <c r="I22" s="47"/>
      <c r="J22" s="47"/>
      <c r="K22" s="47"/>
      <c r="L22" s="47"/>
      <c r="M22" s="47"/>
      <c r="N22" s="47"/>
      <c r="O22" s="47"/>
      <c r="P22" s="47"/>
      <c r="Q22" s="47"/>
      <c r="R22" s="47"/>
      <c r="S22" s="47"/>
      <c r="T22" s="47"/>
      <c r="U22" s="49" t="str">
        <f ca="1">IF(COUNTIF(OFFSET($E22,0,1):OFFSET(U22,0,-1),"=*")&gt;0,IF($C22="К","-"," - "),IF(COUNTIF(OFFSET($E22,0,1):OFFSET(U22,0,-1),"&lt;4")&gt;0,IF(C22="К","-"," - "),(IFERROR(AVERAGE(OFFSET($E22,0,1):OFFSET(U22,0,-1)),"Очікую"))))</f>
        <v>Очікую</v>
      </c>
      <c r="V22" s="49" t="str">
        <f t="shared" ca="1" si="0"/>
        <v>Очікую</v>
      </c>
      <c r="W22" s="36"/>
      <c r="X22" s="42"/>
    </row>
    <row r="23" spans="1:24" s="12" customFormat="1" ht="15" customHeight="1" x14ac:dyDescent="0.25">
      <c r="A23" s="43"/>
      <c r="B23" s="34"/>
      <c r="C23" s="47"/>
      <c r="D23" s="47">
        <v>14</v>
      </c>
      <c r="E23" s="48"/>
      <c r="F23" s="47"/>
      <c r="G23" s="47"/>
      <c r="H23" s="47"/>
      <c r="I23" s="47"/>
      <c r="J23" s="47"/>
      <c r="K23" s="47"/>
      <c r="L23" s="47"/>
      <c r="M23" s="47"/>
      <c r="N23" s="47"/>
      <c r="O23" s="47"/>
      <c r="P23" s="47"/>
      <c r="Q23" s="47"/>
      <c r="R23" s="47"/>
      <c r="S23" s="47"/>
      <c r="T23" s="47"/>
      <c r="U23" s="49" t="str">
        <f ca="1">IF(COUNTIF(OFFSET($E23,0,1):OFFSET(U23,0,-1),"=*")&gt;0,IF($C23="К","-"," - "),IF(COUNTIF(OFFSET($E23,0,1):OFFSET(U23,0,-1),"&lt;4")&gt;0,IF(C23="К","-"," - "),(IFERROR(AVERAGE(OFFSET($E23,0,1):OFFSET(U23,0,-1)),"Очікую"))))</f>
        <v>Очікую</v>
      </c>
      <c r="V23" s="49" t="str">
        <f t="shared" ca="1" si="0"/>
        <v>Очікую</v>
      </c>
      <c r="W23" s="36"/>
      <c r="X23" s="42"/>
    </row>
    <row r="24" spans="1:24" s="12" customFormat="1" ht="15" customHeight="1" x14ac:dyDescent="0.25">
      <c r="A24" s="43"/>
      <c r="B24" s="34"/>
      <c r="C24" s="47"/>
      <c r="D24" s="47">
        <v>15</v>
      </c>
      <c r="E24" s="48"/>
      <c r="F24" s="47"/>
      <c r="G24" s="47"/>
      <c r="H24" s="47"/>
      <c r="I24" s="47"/>
      <c r="J24" s="47"/>
      <c r="K24" s="47"/>
      <c r="L24" s="47"/>
      <c r="M24" s="47"/>
      <c r="N24" s="47"/>
      <c r="O24" s="47"/>
      <c r="P24" s="47"/>
      <c r="Q24" s="47"/>
      <c r="R24" s="47"/>
      <c r="S24" s="47"/>
      <c r="T24" s="47"/>
      <c r="U24" s="49" t="str">
        <f ca="1">IF(COUNTIF(OFFSET($E24,0,1):OFFSET(U24,0,-1),"=*")&gt;0,IF($C24="К","-"," - "),IF(COUNTIF(OFFSET($E24,0,1):OFFSET(U24,0,-1),"&lt;4")&gt;0,IF(C24="К","-"," - "),(IFERROR(AVERAGE(OFFSET($E24,0,1):OFFSET(U24,0,-1)),"Очікую"))))</f>
        <v>Очікую</v>
      </c>
      <c r="V24" s="49" t="str">
        <f t="shared" ca="1" si="0"/>
        <v>Очікую</v>
      </c>
      <c r="W24" s="36"/>
      <c r="X24" s="42"/>
    </row>
    <row r="25" spans="1:24" s="12" customFormat="1" ht="15" customHeight="1" x14ac:dyDescent="0.25">
      <c r="A25" s="43"/>
      <c r="B25" s="34"/>
      <c r="C25" s="47"/>
      <c r="D25" s="47">
        <v>16</v>
      </c>
      <c r="E25" s="48"/>
      <c r="F25" s="47"/>
      <c r="G25" s="47"/>
      <c r="H25" s="47"/>
      <c r="I25" s="47"/>
      <c r="J25" s="47"/>
      <c r="K25" s="47"/>
      <c r="L25" s="47"/>
      <c r="M25" s="47"/>
      <c r="N25" s="47"/>
      <c r="O25" s="47"/>
      <c r="P25" s="47"/>
      <c r="Q25" s="47"/>
      <c r="R25" s="47"/>
      <c r="S25" s="47"/>
      <c r="T25" s="47"/>
      <c r="U25" s="49" t="str">
        <f ca="1">IF(COUNTIF(OFFSET($E25,0,1):OFFSET(U25,0,-1),"=*")&gt;0,IF($C25="К","-"," - "),IF(COUNTIF(OFFSET($E25,0,1):OFFSET(U25,0,-1),"&lt;4")&gt;0,IF(C25="К","-"," - "),(IFERROR(AVERAGE(OFFSET($E25,0,1):OFFSET(U25,0,-1)),"Очікую"))))</f>
        <v>Очікую</v>
      </c>
      <c r="V25" s="49" t="str">
        <f t="shared" ca="1" si="0"/>
        <v>Очікую</v>
      </c>
      <c r="W25" s="36"/>
      <c r="X25" s="42"/>
    </row>
    <row r="26" spans="1:24" s="12" customFormat="1" ht="15" customHeight="1" x14ac:dyDescent="0.25">
      <c r="A26" s="43"/>
      <c r="B26" s="34"/>
      <c r="C26" s="47"/>
      <c r="D26" s="47">
        <v>17</v>
      </c>
      <c r="E26" s="48"/>
      <c r="F26" s="47"/>
      <c r="G26" s="47"/>
      <c r="H26" s="47"/>
      <c r="I26" s="47"/>
      <c r="J26" s="47"/>
      <c r="K26" s="47"/>
      <c r="L26" s="47"/>
      <c r="M26" s="47"/>
      <c r="N26" s="47"/>
      <c r="O26" s="47"/>
      <c r="P26" s="47"/>
      <c r="Q26" s="47"/>
      <c r="R26" s="47"/>
      <c r="S26" s="47"/>
      <c r="T26" s="47"/>
      <c r="U26" s="49" t="str">
        <f ca="1">IF(COUNTIF(OFFSET($E26,0,1):OFFSET(U26,0,-1),"=*")&gt;0,IF($C26="К","-"," - "),IF(COUNTIF(OFFSET($E26,0,1):OFFSET(U26,0,-1),"&lt;4")&gt;0,IF(C26="К","-"," - "),(IFERROR(AVERAGE(OFFSET($E26,0,1):OFFSET(U26,0,-1)),"Очікую"))))</f>
        <v>Очікую</v>
      </c>
      <c r="V26" s="49" t="str">
        <f t="shared" ca="1" si="0"/>
        <v>Очікую</v>
      </c>
      <c r="W26" s="36"/>
      <c r="X26" s="42"/>
    </row>
    <row r="27" spans="1:24" s="12" customFormat="1" ht="15" customHeight="1" x14ac:dyDescent="0.25">
      <c r="A27" s="43"/>
      <c r="B27" s="34"/>
      <c r="C27" s="47"/>
      <c r="D27" s="47">
        <v>18</v>
      </c>
      <c r="E27" s="48"/>
      <c r="F27" s="47"/>
      <c r="G27" s="47"/>
      <c r="H27" s="47"/>
      <c r="I27" s="47"/>
      <c r="J27" s="47"/>
      <c r="K27" s="47"/>
      <c r="L27" s="47"/>
      <c r="M27" s="47"/>
      <c r="N27" s="47"/>
      <c r="O27" s="47"/>
      <c r="P27" s="47"/>
      <c r="Q27" s="47"/>
      <c r="R27" s="47"/>
      <c r="S27" s="47"/>
      <c r="T27" s="47"/>
      <c r="U27" s="49" t="str">
        <f ca="1">IF(COUNTIF(OFFSET($E27,0,1):OFFSET(U27,0,-1),"=*")&gt;0,IF($C27="К","-"," - "),IF(COUNTIF(OFFSET($E27,0,1):OFFSET(U27,0,-1),"&lt;4")&gt;0,IF(C27="К","-"," - "),(IFERROR(AVERAGE(OFFSET($E27,0,1):OFFSET(U27,0,-1)),"Очікую"))))</f>
        <v>Очікую</v>
      </c>
      <c r="V27" s="49" t="str">
        <f t="shared" ca="1" si="0"/>
        <v>Очікую</v>
      </c>
      <c r="W27" s="36"/>
      <c r="X27" s="42"/>
    </row>
    <row r="28" spans="1:24" s="12" customFormat="1" ht="15" customHeight="1" x14ac:dyDescent="0.25">
      <c r="A28" s="43"/>
      <c r="B28" s="34"/>
      <c r="C28" s="47"/>
      <c r="D28" s="47">
        <v>19</v>
      </c>
      <c r="E28" s="48"/>
      <c r="F28" s="47"/>
      <c r="G28" s="47"/>
      <c r="H28" s="47"/>
      <c r="I28" s="47"/>
      <c r="J28" s="47"/>
      <c r="K28" s="47"/>
      <c r="L28" s="47"/>
      <c r="M28" s="47"/>
      <c r="N28" s="47"/>
      <c r="O28" s="47"/>
      <c r="P28" s="47"/>
      <c r="Q28" s="47"/>
      <c r="R28" s="47"/>
      <c r="S28" s="47"/>
      <c r="T28" s="47"/>
      <c r="U28" s="49" t="str">
        <f ca="1">IF(COUNTIF(OFFSET($E28,0,1):OFFSET(U28,0,-1),"=*")&gt;0,IF($C28="К","-"," - "),IF(COUNTIF(OFFSET($E28,0,1):OFFSET(U28,0,-1),"&lt;4")&gt;0,IF(C28="К","-"," - "),(IFERROR(AVERAGE(OFFSET($E28,0,1):OFFSET(U28,0,-1)),"Очікую"))))</f>
        <v>Очікую</v>
      </c>
      <c r="V28" s="49" t="str">
        <f t="shared" ca="1" si="0"/>
        <v>Очікую</v>
      </c>
      <c r="W28" s="36"/>
      <c r="X28" s="42"/>
    </row>
    <row r="29" spans="1:24" s="12" customFormat="1" ht="15" customHeight="1" x14ac:dyDescent="0.25">
      <c r="A29" s="43"/>
      <c r="B29" s="34"/>
      <c r="C29" s="47"/>
      <c r="D29" s="47">
        <v>20</v>
      </c>
      <c r="E29" s="48"/>
      <c r="F29" s="47"/>
      <c r="G29" s="47"/>
      <c r="H29" s="47"/>
      <c r="I29" s="47"/>
      <c r="J29" s="47"/>
      <c r="K29" s="47"/>
      <c r="L29" s="47"/>
      <c r="M29" s="47"/>
      <c r="N29" s="47"/>
      <c r="O29" s="47"/>
      <c r="P29" s="47"/>
      <c r="Q29" s="47"/>
      <c r="R29" s="47"/>
      <c r="S29" s="47"/>
      <c r="T29" s="47"/>
      <c r="U29" s="49" t="str">
        <f ca="1">IF(COUNTIF(OFFSET($E29,0,1):OFFSET(U29,0,-1),"=*")&gt;0,IF($C29="К","-"," - "),IF(COUNTIF(OFFSET($E29,0,1):OFFSET(U29,0,-1),"&lt;4")&gt;0,IF(C29="К","-"," - "),(IFERROR(AVERAGE(OFFSET($E29,0,1):OFFSET(U29,0,-1)),"Очікую"))))</f>
        <v>Очікую</v>
      </c>
      <c r="V29" s="49" t="str">
        <f t="shared" ca="1" si="0"/>
        <v>Очікую</v>
      </c>
      <c r="W29" s="36"/>
      <c r="X29" s="42"/>
    </row>
    <row r="30" spans="1:24" s="12" customFormat="1" ht="15" customHeight="1" x14ac:dyDescent="0.25">
      <c r="A30" s="43"/>
      <c r="B30" s="34"/>
      <c r="C30" s="47"/>
      <c r="D30" s="47">
        <v>21</v>
      </c>
      <c r="E30" s="48"/>
      <c r="F30" s="47"/>
      <c r="G30" s="47"/>
      <c r="H30" s="47"/>
      <c r="I30" s="47"/>
      <c r="J30" s="47"/>
      <c r="K30" s="47"/>
      <c r="L30" s="47"/>
      <c r="M30" s="47"/>
      <c r="N30" s="47"/>
      <c r="O30" s="47"/>
      <c r="P30" s="47"/>
      <c r="Q30" s="47"/>
      <c r="R30" s="47"/>
      <c r="S30" s="47"/>
      <c r="T30" s="47"/>
      <c r="U30" s="49" t="str">
        <f ca="1">IF(COUNTIF(OFFSET($E30,0,1):OFFSET(U30,0,-1),"=*")&gt;0,IF($C30="К","-"," - "),IF(COUNTIF(OFFSET($E30,0,1):OFFSET(U30,0,-1),"&lt;4")&gt;0,IF(C30="К","-"," - "),(IFERROR(AVERAGE(OFFSET($E30,0,1):OFFSET(U30,0,-1)),"Очікую"))))</f>
        <v>Очікую</v>
      </c>
      <c r="V30" s="49" t="str">
        <f t="shared" ca="1" si="0"/>
        <v>Очікую</v>
      </c>
      <c r="W30" s="36"/>
      <c r="X30" s="42"/>
    </row>
    <row r="31" spans="1:24" s="12" customFormat="1" ht="15" customHeight="1" x14ac:dyDescent="0.25">
      <c r="A31" s="43"/>
      <c r="B31" s="34"/>
      <c r="C31" s="47"/>
      <c r="D31" s="47">
        <v>22</v>
      </c>
      <c r="E31" s="48"/>
      <c r="F31" s="47"/>
      <c r="G31" s="47"/>
      <c r="H31" s="47"/>
      <c r="I31" s="47"/>
      <c r="J31" s="47"/>
      <c r="K31" s="47"/>
      <c r="L31" s="47"/>
      <c r="M31" s="47"/>
      <c r="N31" s="47"/>
      <c r="O31" s="47"/>
      <c r="P31" s="47"/>
      <c r="Q31" s="47"/>
      <c r="R31" s="47"/>
      <c r="S31" s="47"/>
      <c r="T31" s="47"/>
      <c r="U31" s="49" t="str">
        <f ca="1">IF(COUNTIF(OFFSET($E31,0,1):OFFSET(U31,0,-1),"=*")&gt;0,IF($C31="К","-"," - "),IF(COUNTIF(OFFSET($E31,0,1):OFFSET(U31,0,-1),"&lt;4")&gt;0,IF(C31="К","-"," - "),(IFERROR(AVERAGE(OFFSET($E31,0,1):OFFSET(U31,0,-1)),"Очікую"))))</f>
        <v>Очікую</v>
      </c>
      <c r="V31" s="49" t="str">
        <f t="shared" ca="1" si="0"/>
        <v>Очікую</v>
      </c>
      <c r="W31" s="36"/>
      <c r="X31" s="42"/>
    </row>
    <row r="32" spans="1:24" s="12" customFormat="1" ht="15" customHeight="1" x14ac:dyDescent="0.25">
      <c r="A32" s="43"/>
      <c r="B32" s="34"/>
      <c r="C32" s="47"/>
      <c r="D32" s="47">
        <v>23</v>
      </c>
      <c r="E32" s="48"/>
      <c r="F32" s="47"/>
      <c r="G32" s="47"/>
      <c r="H32" s="47"/>
      <c r="I32" s="47"/>
      <c r="J32" s="47"/>
      <c r="K32" s="47"/>
      <c r="L32" s="47"/>
      <c r="M32" s="47"/>
      <c r="N32" s="47"/>
      <c r="O32" s="47"/>
      <c r="P32" s="47"/>
      <c r="Q32" s="47"/>
      <c r="R32" s="47"/>
      <c r="S32" s="47"/>
      <c r="T32" s="47"/>
      <c r="U32" s="49" t="str">
        <f ca="1">IF(COUNTIF(OFFSET($E32,0,1):OFFSET(U32,0,-1),"=*")&gt;0,IF($C32="К","-"," - "),IF(COUNTIF(OFFSET($E32,0,1):OFFSET(U32,0,-1),"&lt;4")&gt;0,IF(C32="К","-"," - "),(IFERROR(AVERAGE(OFFSET($E32,0,1):OFFSET(U32,0,-1)),"Очікую"))))</f>
        <v>Очікую</v>
      </c>
      <c r="V32" s="49" t="str">
        <f t="shared" ca="1" si="0"/>
        <v>Очікую</v>
      </c>
      <c r="W32" s="36"/>
      <c r="X32" s="42"/>
    </row>
    <row r="33" spans="1:24" s="12" customFormat="1" ht="15" customHeight="1" x14ac:dyDescent="0.25">
      <c r="A33" s="43"/>
      <c r="B33" s="34"/>
      <c r="C33" s="47"/>
      <c r="D33" s="47">
        <v>24</v>
      </c>
      <c r="E33" s="48"/>
      <c r="F33" s="47"/>
      <c r="G33" s="47"/>
      <c r="H33" s="47"/>
      <c r="I33" s="47"/>
      <c r="J33" s="47"/>
      <c r="K33" s="47"/>
      <c r="L33" s="47"/>
      <c r="M33" s="47"/>
      <c r="N33" s="47"/>
      <c r="O33" s="47"/>
      <c r="P33" s="47"/>
      <c r="Q33" s="47"/>
      <c r="R33" s="47"/>
      <c r="S33" s="47"/>
      <c r="T33" s="47"/>
      <c r="U33" s="49" t="str">
        <f ca="1">IF(COUNTIF(OFFSET($E33,0,1):OFFSET(U33,0,-1),"=*")&gt;0,IF($C33="К","-"," - "),IF(COUNTIF(OFFSET($E33,0,1):OFFSET(U33,0,-1),"&lt;4")&gt;0,IF(C33="К","-"," - "),(IFERROR(AVERAGE(OFFSET($E33,0,1):OFFSET(U33,0,-1)),"Очікую"))))</f>
        <v>Очікую</v>
      </c>
      <c r="V33" s="49" t="str">
        <f t="shared" ca="1" si="0"/>
        <v>Очікую</v>
      </c>
      <c r="W33" s="36"/>
      <c r="X33" s="42"/>
    </row>
    <row r="34" spans="1:24" s="12" customFormat="1" ht="15" customHeight="1" x14ac:dyDescent="0.25">
      <c r="A34" s="43"/>
      <c r="B34" s="34"/>
      <c r="C34" s="47"/>
      <c r="D34" s="47">
        <v>25</v>
      </c>
      <c r="E34" s="48"/>
      <c r="F34" s="47"/>
      <c r="G34" s="47"/>
      <c r="H34" s="47"/>
      <c r="I34" s="47"/>
      <c r="J34" s="47"/>
      <c r="K34" s="47"/>
      <c r="L34" s="47"/>
      <c r="M34" s="47"/>
      <c r="N34" s="47"/>
      <c r="O34" s="47"/>
      <c r="P34" s="47"/>
      <c r="Q34" s="47"/>
      <c r="R34" s="47"/>
      <c r="S34" s="47"/>
      <c r="T34" s="47"/>
      <c r="U34" s="49" t="str">
        <f ca="1">IF(COUNTIF(OFFSET($E34,0,1):OFFSET(U34,0,-1),"=*")&gt;0,IF($C34="К","-"," - "),IF(COUNTIF(OFFSET($E34,0,1):OFFSET(U34,0,-1),"&lt;4")&gt;0,IF(C34="К","-"," - "),(IFERROR(AVERAGE(OFFSET($E34,0,1):OFFSET(U34,0,-1)),"Очікую"))))</f>
        <v>Очікую</v>
      </c>
      <c r="V34" s="49" t="str">
        <f t="shared" ca="1" si="0"/>
        <v>Очікую</v>
      </c>
      <c r="W34" s="36"/>
      <c r="X34" s="42"/>
    </row>
    <row r="35" spans="1:24" s="12" customFormat="1" ht="15" customHeight="1" x14ac:dyDescent="0.25">
      <c r="A35" s="43"/>
      <c r="B35" s="34"/>
      <c r="C35" s="47"/>
      <c r="D35" s="47">
        <v>26</v>
      </c>
      <c r="E35" s="48"/>
      <c r="F35" s="47"/>
      <c r="G35" s="47"/>
      <c r="H35" s="47"/>
      <c r="I35" s="47"/>
      <c r="J35" s="47"/>
      <c r="K35" s="47"/>
      <c r="L35" s="47"/>
      <c r="M35" s="47"/>
      <c r="N35" s="47"/>
      <c r="O35" s="47"/>
      <c r="P35" s="47"/>
      <c r="Q35" s="47"/>
      <c r="R35" s="47"/>
      <c r="S35" s="47"/>
      <c r="T35" s="47"/>
      <c r="U35" s="49" t="str">
        <f ca="1">IF(COUNTIF(OFFSET($E35,0,1):OFFSET(U35,0,-1),"=*")&gt;0,IF($C35="К","-"," - "),IF(COUNTIF(OFFSET($E35,0,1):OFFSET(U35,0,-1),"&lt;4")&gt;0,IF(C35="К","-"," - "),(IFERROR(AVERAGE(OFFSET($E35,0,1):OFFSET(U35,0,-1)),"Очікую"))))</f>
        <v>Очікую</v>
      </c>
      <c r="V35" s="49" t="str">
        <f t="shared" ca="1" si="0"/>
        <v>Очікую</v>
      </c>
      <c r="W35" s="36"/>
      <c r="X35" s="42"/>
    </row>
    <row r="36" spans="1:24" s="12" customFormat="1" ht="15" customHeight="1" x14ac:dyDescent="0.25">
      <c r="A36" s="43"/>
      <c r="B36" s="34"/>
      <c r="C36" s="47"/>
      <c r="D36" s="47">
        <v>27</v>
      </c>
      <c r="E36" s="48"/>
      <c r="F36" s="47"/>
      <c r="G36" s="47"/>
      <c r="H36" s="47"/>
      <c r="I36" s="47"/>
      <c r="J36" s="47"/>
      <c r="K36" s="47"/>
      <c r="L36" s="47"/>
      <c r="M36" s="47"/>
      <c r="N36" s="47"/>
      <c r="O36" s="47"/>
      <c r="P36" s="47"/>
      <c r="Q36" s="47"/>
      <c r="R36" s="47"/>
      <c r="S36" s="47"/>
      <c r="T36" s="47"/>
      <c r="U36" s="49" t="str">
        <f ca="1">IF(COUNTIF(OFFSET($E36,0,1):OFFSET(U36,0,-1),"=*")&gt;0,IF($C36="К","-"," - "),IF(COUNTIF(OFFSET($E36,0,1):OFFSET(U36,0,-1),"&lt;4")&gt;0,IF(C36="К","-"," - "),(IFERROR(AVERAGE(OFFSET($E36,0,1):OFFSET(U36,0,-1)),"Очікую"))))</f>
        <v>Очікую</v>
      </c>
      <c r="V36" s="49" t="str">
        <f t="shared" ca="1" si="0"/>
        <v>Очікую</v>
      </c>
      <c r="W36" s="36"/>
      <c r="X36" s="42"/>
    </row>
    <row r="37" spans="1:24" s="12" customFormat="1" ht="15" customHeight="1" x14ac:dyDescent="0.25">
      <c r="A37" s="43"/>
      <c r="B37" s="34"/>
      <c r="C37" s="47"/>
      <c r="D37" s="47">
        <v>28</v>
      </c>
      <c r="E37" s="48"/>
      <c r="F37" s="47"/>
      <c r="G37" s="47"/>
      <c r="H37" s="47"/>
      <c r="I37" s="47"/>
      <c r="J37" s="47"/>
      <c r="K37" s="47"/>
      <c r="L37" s="47"/>
      <c r="M37" s="47"/>
      <c r="N37" s="47"/>
      <c r="O37" s="47"/>
      <c r="P37" s="47"/>
      <c r="Q37" s="47"/>
      <c r="R37" s="47"/>
      <c r="S37" s="47"/>
      <c r="T37" s="47"/>
      <c r="U37" s="49" t="str">
        <f ca="1">IF(COUNTIF(OFFSET($E37,0,1):OFFSET(U37,0,-1),"=*")&gt;0,IF($C37="К","-"," - "),IF(COUNTIF(OFFSET($E37,0,1):OFFSET(U37,0,-1),"&lt;4")&gt;0,IF(C37="К","-"," - "),(IFERROR(AVERAGE(OFFSET($E37,0,1):OFFSET(U37,0,-1)),"Очікую"))))</f>
        <v>Очікую</v>
      </c>
      <c r="V37" s="49" t="str">
        <f t="shared" ca="1" si="0"/>
        <v>Очікую</v>
      </c>
      <c r="W37" s="36"/>
      <c r="X37" s="42"/>
    </row>
    <row r="38" spans="1:24" s="12" customFormat="1" ht="15" customHeight="1" x14ac:dyDescent="0.25">
      <c r="A38" s="43"/>
      <c r="B38" s="34"/>
      <c r="C38" s="47"/>
      <c r="D38" s="47">
        <v>29</v>
      </c>
      <c r="E38" s="48"/>
      <c r="F38" s="47"/>
      <c r="G38" s="47"/>
      <c r="H38" s="47"/>
      <c r="I38" s="47"/>
      <c r="J38" s="47"/>
      <c r="K38" s="47"/>
      <c r="L38" s="47"/>
      <c r="M38" s="47"/>
      <c r="N38" s="47"/>
      <c r="O38" s="47"/>
      <c r="P38" s="47"/>
      <c r="Q38" s="47"/>
      <c r="R38" s="47"/>
      <c r="S38" s="47"/>
      <c r="T38" s="47"/>
      <c r="U38" s="49" t="str">
        <f ca="1">IF(COUNTIF(OFFSET($E38,0,1):OFFSET(U38,0,-1),"=*")&gt;0,IF($C38="К","-"," - "),IF(COUNTIF(OFFSET($E38,0,1):OFFSET(U38,0,-1),"&lt;4")&gt;0,IF(C38="К","-"," - "),(IFERROR(AVERAGE(OFFSET($E38,0,1):OFFSET(U38,0,-1)),"Очікую"))))</f>
        <v>Очікую</v>
      </c>
      <c r="V38" s="49" t="str">
        <f t="shared" ca="1" si="0"/>
        <v>Очікую</v>
      </c>
      <c r="W38" s="36"/>
      <c r="X38" s="42"/>
    </row>
    <row r="39" spans="1:24" s="12" customFormat="1" ht="15" customHeight="1" x14ac:dyDescent="0.25">
      <c r="A39" s="43"/>
      <c r="B39" s="34"/>
      <c r="C39" s="47"/>
      <c r="D39" s="47">
        <v>30</v>
      </c>
      <c r="E39" s="48"/>
      <c r="F39" s="47"/>
      <c r="G39" s="47"/>
      <c r="H39" s="47"/>
      <c r="I39" s="47"/>
      <c r="J39" s="47"/>
      <c r="K39" s="47"/>
      <c r="L39" s="47"/>
      <c r="M39" s="47"/>
      <c r="N39" s="47"/>
      <c r="O39" s="47"/>
      <c r="P39" s="47"/>
      <c r="Q39" s="47"/>
      <c r="R39" s="47"/>
      <c r="S39" s="47"/>
      <c r="T39" s="47"/>
      <c r="U39" s="49" t="str">
        <f ca="1">IF(COUNTIF(OFFSET($E39,0,1):OFFSET(U39,0,-1),"=*")&gt;0,IF($C39="К","-"," - "),IF(COUNTIF(OFFSET($E39,0,1):OFFSET(U39,0,-1),"&lt;4")&gt;0,IF(C39="К","-"," - "),(IFERROR(AVERAGE(OFFSET($E39,0,1):OFFSET(U39,0,-1)),"Очікую"))))</f>
        <v>Очікую</v>
      </c>
      <c r="V39" s="49" t="str">
        <f t="shared" ca="1" si="0"/>
        <v>Очікую</v>
      </c>
      <c r="W39" s="36"/>
      <c r="X39" s="42"/>
    </row>
    <row r="40" spans="1:24" s="12" customFormat="1" ht="15" customHeight="1" x14ac:dyDescent="0.25">
      <c r="A40" s="43"/>
      <c r="B40" s="34"/>
      <c r="C40" s="47"/>
      <c r="D40" s="47">
        <v>31</v>
      </c>
      <c r="E40" s="48"/>
      <c r="F40" s="47"/>
      <c r="G40" s="47"/>
      <c r="H40" s="47"/>
      <c r="I40" s="47"/>
      <c r="J40" s="47"/>
      <c r="K40" s="47"/>
      <c r="L40" s="47"/>
      <c r="M40" s="47"/>
      <c r="N40" s="47"/>
      <c r="O40" s="47"/>
      <c r="P40" s="47"/>
      <c r="Q40" s="47"/>
      <c r="R40" s="47"/>
      <c r="S40" s="47"/>
      <c r="T40" s="47"/>
      <c r="U40" s="49" t="str">
        <f ca="1">IF(COUNTIF(OFFSET($E40,0,1):OFFSET(U40,0,-1),"=*")&gt;0,IF($C40="К","-"," - "),IF(COUNTIF(OFFSET($E40,0,1):OFFSET(U40,0,-1),"&lt;4")&gt;0,IF(C40="К","-"," - "),(IFERROR(AVERAGE(OFFSET($E40,0,1):OFFSET(U40,0,-1)),"Очікую"))))</f>
        <v>Очікую</v>
      </c>
      <c r="V40" s="49" t="str">
        <f t="shared" ca="1" si="0"/>
        <v>Очікую</v>
      </c>
      <c r="W40" s="36"/>
      <c r="X40" s="42"/>
    </row>
    <row r="41" spans="1:24" s="12" customFormat="1" ht="15" customHeight="1" x14ac:dyDescent="0.25">
      <c r="A41" s="43"/>
      <c r="B41" s="34"/>
      <c r="C41" s="47"/>
      <c r="D41" s="47">
        <v>32</v>
      </c>
      <c r="E41" s="48"/>
      <c r="F41" s="47"/>
      <c r="G41" s="47"/>
      <c r="H41" s="47"/>
      <c r="I41" s="47"/>
      <c r="J41" s="47"/>
      <c r="K41" s="47"/>
      <c r="L41" s="47"/>
      <c r="M41" s="47"/>
      <c r="N41" s="47"/>
      <c r="O41" s="47"/>
      <c r="P41" s="47"/>
      <c r="Q41" s="47"/>
      <c r="R41" s="47"/>
      <c r="S41" s="47"/>
      <c r="T41" s="47"/>
      <c r="U41" s="49" t="str">
        <f ca="1">IF(COUNTIF(OFFSET($E41,0,1):OFFSET(U41,0,-1),"=*")&gt;0,IF($C41="К","-"," - "),IF(COUNTIF(OFFSET($E41,0,1):OFFSET(U41,0,-1),"&lt;4")&gt;0,IF(C41="К","-"," - "),(IFERROR(AVERAGE(OFFSET($E41,0,1):OFFSET(U41,0,-1)),"Очікую"))))</f>
        <v>Очікую</v>
      </c>
      <c r="V41" s="49" t="str">
        <f t="shared" ca="1" si="0"/>
        <v>Очікую</v>
      </c>
      <c r="W41" s="36"/>
      <c r="X41" s="42"/>
    </row>
    <row r="42" spans="1:24" s="12" customFormat="1" ht="15" customHeight="1" x14ac:dyDescent="0.25">
      <c r="A42" s="43"/>
      <c r="B42" s="34"/>
      <c r="C42" s="47"/>
      <c r="D42" s="47">
        <v>33</v>
      </c>
      <c r="E42" s="48"/>
      <c r="F42" s="47"/>
      <c r="G42" s="47"/>
      <c r="H42" s="47"/>
      <c r="I42" s="47"/>
      <c r="J42" s="47"/>
      <c r="K42" s="47"/>
      <c r="L42" s="47"/>
      <c r="M42" s="47"/>
      <c r="N42" s="47"/>
      <c r="O42" s="47"/>
      <c r="P42" s="47"/>
      <c r="Q42" s="47"/>
      <c r="R42" s="47"/>
      <c r="S42" s="47"/>
      <c r="T42" s="47"/>
      <c r="U42" s="49" t="str">
        <f ca="1">IF(COUNTIF(OFFSET($E42,0,1):OFFSET(U42,0,-1),"=*")&gt;0,IF($C42="К","-"," - "),IF(COUNTIF(OFFSET($E42,0,1):OFFSET(U42,0,-1),"&lt;4")&gt;0,IF(C42="К","-"," - "),(IFERROR(AVERAGE(OFFSET($E42,0,1):OFFSET(U42,0,-1)),"Очікую"))))</f>
        <v>Очікую</v>
      </c>
      <c r="V42" s="49" t="str">
        <f t="shared" ca="1" si="0"/>
        <v>Очікую</v>
      </c>
      <c r="W42" s="36"/>
      <c r="X42" s="42"/>
    </row>
    <row r="43" spans="1:24" s="12" customFormat="1" ht="15" customHeight="1" x14ac:dyDescent="0.25">
      <c r="A43" s="43"/>
      <c r="B43" s="34"/>
      <c r="C43" s="47"/>
      <c r="D43" s="47">
        <v>34</v>
      </c>
      <c r="E43" s="48"/>
      <c r="F43" s="47"/>
      <c r="G43" s="47"/>
      <c r="H43" s="47"/>
      <c r="I43" s="47"/>
      <c r="J43" s="47"/>
      <c r="K43" s="47"/>
      <c r="L43" s="47"/>
      <c r="M43" s="47"/>
      <c r="N43" s="47"/>
      <c r="O43" s="47"/>
      <c r="P43" s="47"/>
      <c r="Q43" s="47"/>
      <c r="R43" s="47"/>
      <c r="S43" s="47"/>
      <c r="T43" s="47"/>
      <c r="U43" s="49" t="str">
        <f ca="1">IF(COUNTIF(OFFSET($E43,0,1):OFFSET(U43,0,-1),"=*")&gt;0,IF($C43="К","-"," - "),IF(COUNTIF(OFFSET($E43,0,1):OFFSET(U43,0,-1),"&lt;4")&gt;0,IF(C43="К","-"," - "),(IFERROR(AVERAGE(OFFSET($E43,0,1):OFFSET(U43,0,-1)),"Очікую"))))</f>
        <v>Очікую</v>
      </c>
      <c r="V43" s="49" t="str">
        <f t="shared" ca="1" si="0"/>
        <v>Очікую</v>
      </c>
      <c r="W43" s="36"/>
      <c r="X43" s="42"/>
    </row>
    <row r="44" spans="1:24" s="12" customFormat="1" ht="15" customHeight="1" x14ac:dyDescent="0.25">
      <c r="A44" s="43"/>
      <c r="B44" s="34"/>
      <c r="C44" s="47"/>
      <c r="D44" s="47">
        <v>35</v>
      </c>
      <c r="E44" s="48"/>
      <c r="F44" s="47"/>
      <c r="G44" s="47"/>
      <c r="H44" s="47"/>
      <c r="I44" s="47"/>
      <c r="J44" s="47"/>
      <c r="K44" s="47"/>
      <c r="L44" s="47"/>
      <c r="M44" s="47"/>
      <c r="N44" s="47"/>
      <c r="O44" s="47"/>
      <c r="P44" s="47"/>
      <c r="Q44" s="47"/>
      <c r="R44" s="47"/>
      <c r="S44" s="47"/>
      <c r="T44" s="47"/>
      <c r="U44" s="49" t="str">
        <f ca="1">IF(COUNTIF(OFFSET($E44,0,1):OFFSET(U44,0,-1),"=*")&gt;0,IF($C44="К","-"," - "),IF(COUNTIF(OFFSET($E44,0,1):OFFSET(U44,0,-1),"&lt;4")&gt;0,IF(C44="К","-"," - "),(IFERROR(AVERAGE(OFFSET($E44,0,1):OFFSET(U44,0,-1)),"Очікую"))))</f>
        <v>Очікую</v>
      </c>
      <c r="V44" s="49" t="str">
        <f t="shared" ca="1" si="0"/>
        <v>Очікую</v>
      </c>
      <c r="W44" s="36"/>
      <c r="X44" s="42"/>
    </row>
    <row r="45" spans="1:24" s="12" customFormat="1" ht="15" customHeight="1" x14ac:dyDescent="0.25">
      <c r="A45" s="43"/>
      <c r="B45" s="34"/>
      <c r="C45" s="47"/>
      <c r="D45" s="47">
        <v>36</v>
      </c>
      <c r="E45" s="48"/>
      <c r="F45" s="47"/>
      <c r="G45" s="47"/>
      <c r="H45" s="47"/>
      <c r="I45" s="47"/>
      <c r="J45" s="47"/>
      <c r="K45" s="47"/>
      <c r="L45" s="47"/>
      <c r="M45" s="47"/>
      <c r="N45" s="47"/>
      <c r="O45" s="47"/>
      <c r="P45" s="47"/>
      <c r="Q45" s="47"/>
      <c r="R45" s="47"/>
      <c r="S45" s="47"/>
      <c r="T45" s="47"/>
      <c r="U45" s="49" t="str">
        <f ca="1">IF(COUNTIF(OFFSET($E45,0,1):OFFSET(U45,0,-1),"=*")&gt;0,IF($C45="К","-"," - "),IF(COUNTIF(OFFSET($E45,0,1):OFFSET(U45,0,-1),"&lt;4")&gt;0,IF(C45="К","-"," - "),(IFERROR(AVERAGE(OFFSET($E45,0,1):OFFSET(U45,0,-1)),"Очікую"))))</f>
        <v>Очікую</v>
      </c>
      <c r="V45" s="49" t="str">
        <f t="shared" ca="1" si="0"/>
        <v>Очікую</v>
      </c>
      <c r="W45" s="36"/>
      <c r="X45" s="42"/>
    </row>
    <row r="46" spans="1:24" s="12" customFormat="1" ht="15" customHeight="1" x14ac:dyDescent="0.25">
      <c r="A46" s="43"/>
      <c r="B46" s="34"/>
      <c r="C46" s="47"/>
      <c r="D46" s="47">
        <v>37</v>
      </c>
      <c r="E46" s="48"/>
      <c r="F46" s="47"/>
      <c r="G46" s="47"/>
      <c r="H46" s="47"/>
      <c r="I46" s="47"/>
      <c r="J46" s="47"/>
      <c r="K46" s="47"/>
      <c r="L46" s="47"/>
      <c r="M46" s="47"/>
      <c r="N46" s="47"/>
      <c r="O46" s="47"/>
      <c r="P46" s="47"/>
      <c r="Q46" s="47"/>
      <c r="R46" s="47"/>
      <c r="S46" s="47"/>
      <c r="T46" s="47"/>
      <c r="U46" s="49" t="str">
        <f ca="1">IF(COUNTIF(OFFSET($E46,0,1):OFFSET(U46,0,-1),"=*")&gt;0,IF($C46="К","-"," - "),IF(COUNTIF(OFFSET($E46,0,1):OFFSET(U46,0,-1),"&lt;4")&gt;0,IF(C46="К","-"," - "),(IFERROR(AVERAGE(OFFSET($E46,0,1):OFFSET(U46,0,-1)),"Очікую"))))</f>
        <v>Очікую</v>
      </c>
      <c r="V46" s="49" t="str">
        <f t="shared" ca="1" si="0"/>
        <v>Очікую</v>
      </c>
      <c r="W46" s="36"/>
      <c r="X46" s="42"/>
    </row>
    <row r="47" spans="1:24" s="12" customFormat="1" ht="15" customHeight="1" x14ac:dyDescent="0.25">
      <c r="A47" s="43"/>
      <c r="B47" s="34"/>
      <c r="C47" s="47"/>
      <c r="D47" s="47">
        <v>38</v>
      </c>
      <c r="E47" s="48"/>
      <c r="F47" s="47"/>
      <c r="G47" s="47"/>
      <c r="H47" s="47"/>
      <c r="I47" s="47"/>
      <c r="J47" s="47"/>
      <c r="K47" s="47"/>
      <c r="L47" s="47"/>
      <c r="M47" s="47"/>
      <c r="N47" s="47"/>
      <c r="O47" s="47"/>
      <c r="P47" s="47"/>
      <c r="Q47" s="47"/>
      <c r="R47" s="47"/>
      <c r="S47" s="47"/>
      <c r="T47" s="47"/>
      <c r="U47" s="49" t="str">
        <f ca="1">IF(COUNTIF(OFFSET($E47,0,1):OFFSET(U47,0,-1),"=*")&gt;0,IF($C47="К","-"," - "),IF(COUNTIF(OFFSET($E47,0,1):OFFSET(U47,0,-1),"&lt;4")&gt;0,IF(C47="К","-"," - "),(IFERROR(AVERAGE(OFFSET($E47,0,1):OFFSET(U47,0,-1)),"Очікую"))))</f>
        <v>Очікую</v>
      </c>
      <c r="V47" s="49" t="str">
        <f t="shared" ca="1" si="0"/>
        <v>Очікую</v>
      </c>
      <c r="W47" s="36"/>
      <c r="X47" s="42"/>
    </row>
    <row r="48" spans="1:24" s="12" customFormat="1" ht="15" customHeight="1" x14ac:dyDescent="0.25">
      <c r="A48" s="43"/>
      <c r="B48" s="34"/>
      <c r="C48" s="47"/>
      <c r="D48" s="47">
        <v>39</v>
      </c>
      <c r="E48" s="48"/>
      <c r="F48" s="47"/>
      <c r="G48" s="47"/>
      <c r="H48" s="47"/>
      <c r="I48" s="47"/>
      <c r="J48" s="47"/>
      <c r="K48" s="47"/>
      <c r="L48" s="47"/>
      <c r="M48" s="47"/>
      <c r="N48" s="47"/>
      <c r="O48" s="47"/>
      <c r="P48" s="47"/>
      <c r="Q48" s="47"/>
      <c r="R48" s="47"/>
      <c r="S48" s="47"/>
      <c r="T48" s="47"/>
      <c r="U48" s="49" t="str">
        <f ca="1">IF(COUNTIF(OFFSET($E48,0,1):OFFSET(U48,0,-1),"=*")&gt;0,IF($C48="К","-"," - "),IF(COUNTIF(OFFSET($E48,0,1):OFFSET(U48,0,-1),"&lt;4")&gt;0,IF(C48="К","-"," - "),(IFERROR(AVERAGE(OFFSET($E48,0,1):OFFSET(U48,0,-1)),"Очікую"))))</f>
        <v>Очікую</v>
      </c>
      <c r="V48" s="49" t="str">
        <f t="shared" ca="1" si="0"/>
        <v>Очікую</v>
      </c>
      <c r="W48" s="36"/>
      <c r="X48" s="42"/>
    </row>
    <row r="49" spans="1:24" s="12" customFormat="1" ht="15" customHeight="1" x14ac:dyDescent="0.25">
      <c r="A49" s="43"/>
      <c r="B49" s="34"/>
      <c r="C49" s="47"/>
      <c r="D49" s="47">
        <v>40</v>
      </c>
      <c r="E49" s="48"/>
      <c r="F49" s="47"/>
      <c r="G49" s="47"/>
      <c r="H49" s="47"/>
      <c r="I49" s="47"/>
      <c r="J49" s="47"/>
      <c r="K49" s="47"/>
      <c r="L49" s="47"/>
      <c r="M49" s="47"/>
      <c r="N49" s="47"/>
      <c r="O49" s="47"/>
      <c r="P49" s="47"/>
      <c r="Q49" s="47"/>
      <c r="R49" s="47"/>
      <c r="S49" s="47"/>
      <c r="T49" s="47"/>
      <c r="U49" s="49" t="str">
        <f ca="1">IF(COUNTIF(OFFSET($E49,0,1):OFFSET(U49,0,-1),"=*")&gt;0,IF($C49="К","-"," - "),IF(COUNTIF(OFFSET($E49,0,1):OFFSET(U49,0,-1),"&lt;4")&gt;0,IF(C49="К","-"," - "),(IFERROR(AVERAGE(OFFSET($E49,0,1):OFFSET(U49,0,-1)),"Очікую"))))</f>
        <v>Очікую</v>
      </c>
      <c r="V49" s="49" t="str">
        <f t="shared" ca="1" si="0"/>
        <v>Очікую</v>
      </c>
      <c r="W49" s="36"/>
      <c r="X49" s="42"/>
    </row>
    <row r="50" spans="1:24" s="12" customFormat="1" ht="15" customHeight="1" x14ac:dyDescent="0.25">
      <c r="A50" s="43"/>
      <c r="B50" s="34"/>
      <c r="C50" s="47"/>
      <c r="D50" s="47">
        <v>41</v>
      </c>
      <c r="E50" s="48"/>
      <c r="F50" s="47"/>
      <c r="G50" s="47"/>
      <c r="H50" s="47"/>
      <c r="I50" s="47"/>
      <c r="J50" s="47"/>
      <c r="K50" s="47"/>
      <c r="L50" s="47"/>
      <c r="M50" s="47"/>
      <c r="N50" s="47"/>
      <c r="O50" s="47"/>
      <c r="P50" s="47"/>
      <c r="Q50" s="47"/>
      <c r="R50" s="47"/>
      <c r="S50" s="47"/>
      <c r="T50" s="47"/>
      <c r="U50" s="49" t="str">
        <f ca="1">IF(COUNTIF(OFFSET($E50,0,1):OFFSET(U50,0,-1),"=*")&gt;0,IF($C50="К","-"," - "),IF(COUNTIF(OFFSET($E50,0,1):OFFSET(U50,0,-1),"&lt;4")&gt;0,IF(C50="К","-"," - "),(IFERROR(AVERAGE(OFFSET($E50,0,1):OFFSET(U50,0,-1)),"Очікую"))))</f>
        <v>Очікую</v>
      </c>
      <c r="V50" s="49" t="str">
        <f t="shared" ca="1" si="0"/>
        <v>Очікую</v>
      </c>
      <c r="W50" s="36"/>
      <c r="X50" s="42"/>
    </row>
    <row r="51" spans="1:24" s="12" customFormat="1" ht="15" customHeight="1" x14ac:dyDescent="0.25">
      <c r="A51" s="43"/>
      <c r="B51" s="34"/>
      <c r="C51" s="47"/>
      <c r="D51" s="47">
        <v>42</v>
      </c>
      <c r="E51" s="48"/>
      <c r="F51" s="47"/>
      <c r="G51" s="47"/>
      <c r="H51" s="47"/>
      <c r="I51" s="47"/>
      <c r="J51" s="47"/>
      <c r="K51" s="47"/>
      <c r="L51" s="47"/>
      <c r="M51" s="47"/>
      <c r="N51" s="47"/>
      <c r="O51" s="47"/>
      <c r="P51" s="47"/>
      <c r="Q51" s="47"/>
      <c r="R51" s="47"/>
      <c r="S51" s="47"/>
      <c r="T51" s="47"/>
      <c r="U51" s="49" t="str">
        <f ca="1">IF(COUNTIF(OFFSET($E51,0,1):OFFSET(U51,0,-1),"=*")&gt;0,IF($C51="К","-"," - "),IF(COUNTIF(OFFSET($E51,0,1):OFFSET(U51,0,-1),"&lt;4")&gt;0,IF(C51="К","-"," - "),(IFERROR(AVERAGE(OFFSET($E51,0,1):OFFSET(U51,0,-1)),"Очікую"))))</f>
        <v>Очікую</v>
      </c>
      <c r="V51" s="49" t="str">
        <f t="shared" ca="1" si="0"/>
        <v>Очікую</v>
      </c>
      <c r="W51" s="36"/>
      <c r="X51" s="42"/>
    </row>
    <row r="52" spans="1:24" s="12" customFormat="1" ht="15" customHeight="1" x14ac:dyDescent="0.25">
      <c r="A52" s="43"/>
      <c r="B52" s="34"/>
      <c r="C52" s="47"/>
      <c r="D52" s="47">
        <v>43</v>
      </c>
      <c r="E52" s="48"/>
      <c r="F52" s="47"/>
      <c r="G52" s="47"/>
      <c r="H52" s="47"/>
      <c r="I52" s="47"/>
      <c r="J52" s="47"/>
      <c r="K52" s="47"/>
      <c r="L52" s="47"/>
      <c r="M52" s="47"/>
      <c r="N52" s="47"/>
      <c r="O52" s="47"/>
      <c r="P52" s="47"/>
      <c r="Q52" s="47"/>
      <c r="R52" s="47"/>
      <c r="S52" s="47"/>
      <c r="T52" s="47"/>
      <c r="U52" s="49" t="str">
        <f ca="1">IF(COUNTIF(OFFSET($E52,0,1):OFFSET(U52,0,-1),"=*")&gt;0,IF($C52="К","-"," - "),IF(COUNTIF(OFFSET($E52,0,1):OFFSET(U52,0,-1),"&lt;4")&gt;0,IF(C52="К","-"," - "),(IFERROR(AVERAGE(OFFSET($E52,0,1):OFFSET(U52,0,-1)),"Очікую"))))</f>
        <v>Очікую</v>
      </c>
      <c r="V52" s="49" t="str">
        <f t="shared" ca="1" si="0"/>
        <v>Очікую</v>
      </c>
      <c r="W52" s="36"/>
      <c r="X52" s="42"/>
    </row>
    <row r="53" spans="1:24" s="12" customFormat="1" ht="15" customHeight="1" x14ac:dyDescent="0.25">
      <c r="A53" s="43"/>
      <c r="B53" s="34"/>
      <c r="C53" s="47"/>
      <c r="D53" s="47">
        <v>44</v>
      </c>
      <c r="E53" s="48"/>
      <c r="F53" s="47"/>
      <c r="G53" s="47"/>
      <c r="H53" s="47"/>
      <c r="I53" s="47"/>
      <c r="J53" s="47"/>
      <c r="K53" s="47"/>
      <c r="L53" s="47"/>
      <c r="M53" s="47"/>
      <c r="N53" s="47"/>
      <c r="O53" s="47"/>
      <c r="P53" s="47"/>
      <c r="Q53" s="47"/>
      <c r="R53" s="47"/>
      <c r="S53" s="47"/>
      <c r="T53" s="47"/>
      <c r="U53" s="49" t="str">
        <f ca="1">IF(COUNTIF(OFFSET($E53,0,1):OFFSET(U53,0,-1),"=*")&gt;0,IF($C53="К","-"," - "),IF(COUNTIF(OFFSET($E53,0,1):OFFSET(U53,0,-1),"&lt;4")&gt;0,IF(C53="К","-"," - "),(IFERROR(AVERAGE(OFFSET($E53,0,1):OFFSET(U53,0,-1)),"Очікую"))))</f>
        <v>Очікую</v>
      </c>
      <c r="V53" s="49" t="str">
        <f t="shared" ca="1" si="0"/>
        <v>Очікую</v>
      </c>
      <c r="W53" s="36"/>
      <c r="X53" s="42"/>
    </row>
    <row r="54" spans="1:24" s="12" customFormat="1" ht="15" customHeight="1" x14ac:dyDescent="0.25">
      <c r="A54" s="43"/>
      <c r="B54" s="34"/>
      <c r="C54" s="47"/>
      <c r="D54" s="47">
        <v>45</v>
      </c>
      <c r="E54" s="48"/>
      <c r="F54" s="47"/>
      <c r="G54" s="47"/>
      <c r="H54" s="47"/>
      <c r="I54" s="47"/>
      <c r="J54" s="47"/>
      <c r="K54" s="47"/>
      <c r="L54" s="47"/>
      <c r="M54" s="47"/>
      <c r="N54" s="47"/>
      <c r="O54" s="47"/>
      <c r="P54" s="47"/>
      <c r="Q54" s="47"/>
      <c r="R54" s="47"/>
      <c r="S54" s="47"/>
      <c r="T54" s="47"/>
      <c r="U54" s="49" t="str">
        <f ca="1">IF(COUNTIF(OFFSET($E54,0,1):OFFSET(U54,0,-1),"=*")&gt;0,IF($C54="К","-"," - "),IF(COUNTIF(OFFSET($E54,0,1):OFFSET(U54,0,-1),"&lt;4")&gt;0,IF(C54="К","-"," - "),(IFERROR(AVERAGE(OFFSET($E54,0,1):OFFSET(U54,0,-1)),"Очікую"))))</f>
        <v>Очікую</v>
      </c>
      <c r="V54" s="49" t="str">
        <f t="shared" ca="1" si="0"/>
        <v>Очікую</v>
      </c>
      <c r="W54" s="36"/>
      <c r="X54" s="42"/>
    </row>
    <row r="55" spans="1:24" s="12" customFormat="1" ht="15" customHeight="1" x14ac:dyDescent="0.25">
      <c r="A55" s="43"/>
      <c r="B55" s="34"/>
      <c r="C55" s="47"/>
      <c r="D55" s="47">
        <v>46</v>
      </c>
      <c r="E55" s="48"/>
      <c r="F55" s="47"/>
      <c r="G55" s="47"/>
      <c r="H55" s="47"/>
      <c r="I55" s="47"/>
      <c r="J55" s="47"/>
      <c r="K55" s="47"/>
      <c r="L55" s="47"/>
      <c r="M55" s="47"/>
      <c r="N55" s="47"/>
      <c r="O55" s="47"/>
      <c r="P55" s="47"/>
      <c r="Q55" s="47"/>
      <c r="R55" s="47"/>
      <c r="S55" s="47"/>
      <c r="T55" s="47"/>
      <c r="U55" s="49" t="str">
        <f ca="1">IF(COUNTIF(OFFSET($E55,0,1):OFFSET(U55,0,-1),"=*")&gt;0,IF($C55="К","-"," - "),IF(COUNTIF(OFFSET($E55,0,1):OFFSET(U55,0,-1),"&lt;4")&gt;0,IF(C55="К","-"," - "),(IFERROR(AVERAGE(OFFSET($E55,0,1):OFFSET(U55,0,-1)),"Очікую"))))</f>
        <v>Очікую</v>
      </c>
      <c r="V55" s="49" t="str">
        <f t="shared" ca="1" si="0"/>
        <v>Очікую</v>
      </c>
      <c r="W55" s="36"/>
      <c r="X55" s="42"/>
    </row>
    <row r="56" spans="1:24" s="12" customFormat="1" ht="15" customHeight="1" x14ac:dyDescent="0.25">
      <c r="A56" s="43"/>
      <c r="B56" s="34"/>
      <c r="C56" s="47"/>
      <c r="D56" s="47">
        <v>47</v>
      </c>
      <c r="E56" s="48"/>
      <c r="F56" s="47"/>
      <c r="G56" s="47"/>
      <c r="H56" s="47"/>
      <c r="I56" s="47"/>
      <c r="J56" s="47"/>
      <c r="K56" s="47"/>
      <c r="L56" s="47"/>
      <c r="M56" s="47"/>
      <c r="N56" s="47"/>
      <c r="O56" s="47"/>
      <c r="P56" s="47"/>
      <c r="Q56" s="47"/>
      <c r="R56" s="47"/>
      <c r="S56" s="47"/>
      <c r="T56" s="47"/>
      <c r="U56" s="49" t="str">
        <f ca="1">IF(COUNTIF(OFFSET($E56,0,1):OFFSET(U56,0,-1),"=*")&gt;0,IF($C56="К","-"," - "),IF(COUNTIF(OFFSET($E56,0,1):OFFSET(U56,0,-1),"&lt;4")&gt;0,IF(C56="К","-"," - "),(IFERROR(AVERAGE(OFFSET($E56,0,1):OFFSET(U56,0,-1)),"Очікую"))))</f>
        <v>Очікую</v>
      </c>
      <c r="V56" s="49" t="str">
        <f t="shared" ca="1" si="0"/>
        <v>Очікую</v>
      </c>
      <c r="W56" s="36"/>
      <c r="X56" s="42"/>
    </row>
    <row r="57" spans="1:24" s="12" customFormat="1" ht="15" customHeight="1" x14ac:dyDescent="0.25">
      <c r="A57" s="43"/>
      <c r="B57" s="34"/>
      <c r="C57" s="47"/>
      <c r="D57" s="47">
        <v>48</v>
      </c>
      <c r="E57" s="48"/>
      <c r="F57" s="47"/>
      <c r="G57" s="47"/>
      <c r="H57" s="47"/>
      <c r="I57" s="47"/>
      <c r="J57" s="47"/>
      <c r="K57" s="47"/>
      <c r="L57" s="47"/>
      <c r="M57" s="47"/>
      <c r="N57" s="47"/>
      <c r="O57" s="47"/>
      <c r="P57" s="47"/>
      <c r="Q57" s="47"/>
      <c r="R57" s="47"/>
      <c r="S57" s="47"/>
      <c r="T57" s="47"/>
      <c r="U57" s="49" t="str">
        <f ca="1">IF(COUNTIF(OFFSET($E57,0,1):OFFSET(U57,0,-1),"=*")&gt;0,IF($C57="К","-"," - "),IF(COUNTIF(OFFSET($E57,0,1):OFFSET(U57,0,-1),"&lt;4")&gt;0,IF(C57="К","-"," - "),(IFERROR(AVERAGE(OFFSET($E57,0,1):OFFSET(U57,0,-1)),"Очікую"))))</f>
        <v>Очікую</v>
      </c>
      <c r="V57" s="49" t="str">
        <f t="shared" ca="1" si="0"/>
        <v>Очікую</v>
      </c>
      <c r="W57" s="36"/>
      <c r="X57" s="42"/>
    </row>
    <row r="58" spans="1:24" s="12" customFormat="1" ht="15" customHeight="1" x14ac:dyDescent="0.25">
      <c r="A58" s="43"/>
      <c r="B58" s="34"/>
      <c r="C58" s="47"/>
      <c r="D58" s="47">
        <v>49</v>
      </c>
      <c r="E58" s="48"/>
      <c r="F58" s="47"/>
      <c r="G58" s="47"/>
      <c r="H58" s="47"/>
      <c r="I58" s="47"/>
      <c r="J58" s="47"/>
      <c r="K58" s="47"/>
      <c r="L58" s="47"/>
      <c r="M58" s="47"/>
      <c r="N58" s="47"/>
      <c r="O58" s="47"/>
      <c r="P58" s="47"/>
      <c r="Q58" s="47"/>
      <c r="R58" s="47"/>
      <c r="S58" s="47"/>
      <c r="T58" s="47"/>
      <c r="U58" s="49" t="str">
        <f ca="1">IF(COUNTIF(OFFSET($E58,0,1):OFFSET(U58,0,-1),"=*")&gt;0,IF($C58="К","-"," - "),IF(COUNTIF(OFFSET($E58,0,1):OFFSET(U58,0,-1),"&lt;4")&gt;0,IF(C58="К","-"," - "),(IFERROR(AVERAGE(OFFSET($E58,0,1):OFFSET(U58,0,-1)),"Очікую"))))</f>
        <v>Очікую</v>
      </c>
      <c r="V58" s="49" t="str">
        <f t="shared" ca="1" si="0"/>
        <v>Очікую</v>
      </c>
      <c r="W58" s="36"/>
      <c r="X58" s="42"/>
    </row>
    <row r="59" spans="1:24" s="12" customFormat="1" ht="15" customHeight="1" x14ac:dyDescent="0.25">
      <c r="A59" s="43"/>
      <c r="B59" s="34"/>
      <c r="C59" s="47"/>
      <c r="D59" s="47">
        <v>50</v>
      </c>
      <c r="E59" s="48"/>
      <c r="F59" s="47"/>
      <c r="G59" s="47"/>
      <c r="H59" s="47"/>
      <c r="I59" s="47"/>
      <c r="J59" s="47"/>
      <c r="K59" s="47"/>
      <c r="L59" s="47"/>
      <c r="M59" s="47"/>
      <c r="N59" s="47"/>
      <c r="O59" s="47"/>
      <c r="P59" s="47"/>
      <c r="Q59" s="47"/>
      <c r="R59" s="47"/>
      <c r="S59" s="47"/>
      <c r="T59" s="47"/>
      <c r="U59" s="49" t="str">
        <f ca="1">IF(COUNTIF(OFFSET($E59,0,1):OFFSET(U59,0,-1),"=*")&gt;0,IF($C59="К","-"," - "),IF(COUNTIF(OFFSET($E59,0,1):OFFSET(U59,0,-1),"&lt;4")&gt;0,IF(C59="К","-"," - "),(IFERROR(AVERAGE(OFFSET($E59,0,1):OFFSET(U59,0,-1)),"Очікую"))))</f>
        <v>Очікую</v>
      </c>
      <c r="V59" s="49" t="str">
        <f t="shared" ca="1" si="0"/>
        <v>Очікую</v>
      </c>
      <c r="W59" s="36"/>
      <c r="X59" s="42"/>
    </row>
    <row r="60" spans="1:24" s="12" customFormat="1" ht="15" customHeight="1" x14ac:dyDescent="0.25">
      <c r="A60" s="43"/>
      <c r="B60" s="34"/>
      <c r="C60" s="47"/>
      <c r="D60" s="47">
        <v>51</v>
      </c>
      <c r="E60" s="48"/>
      <c r="F60" s="47"/>
      <c r="G60" s="47"/>
      <c r="H60" s="47"/>
      <c r="I60" s="47"/>
      <c r="J60" s="47"/>
      <c r="K60" s="47"/>
      <c r="L60" s="47"/>
      <c r="M60" s="47"/>
      <c r="N60" s="47"/>
      <c r="O60" s="47"/>
      <c r="P60" s="47"/>
      <c r="Q60" s="47"/>
      <c r="R60" s="47"/>
      <c r="S60" s="47"/>
      <c r="T60" s="47"/>
      <c r="U60" s="49" t="str">
        <f ca="1">IF(COUNTIF(OFFSET($E60,0,1):OFFSET(U60,0,-1),"=*")&gt;0,IF($C60="К","-"," - "),IF(COUNTIF(OFFSET($E60,0,1):OFFSET(U60,0,-1),"&lt;4")&gt;0,IF(C60="К","-"," - "),(IFERROR(AVERAGE(OFFSET($E60,0,1):OFFSET(U60,0,-1)),"Очікую"))))</f>
        <v>Очікую</v>
      </c>
      <c r="V60" s="49" t="str">
        <f t="shared" ca="1" si="0"/>
        <v>Очікую</v>
      </c>
      <c r="W60" s="36"/>
      <c r="X60" s="42"/>
    </row>
    <row r="61" spans="1:24" s="12" customFormat="1" ht="15" customHeight="1" x14ac:dyDescent="0.25">
      <c r="A61" s="43"/>
      <c r="B61" s="34"/>
      <c r="C61" s="47"/>
      <c r="D61" s="47">
        <v>52</v>
      </c>
      <c r="E61" s="48"/>
      <c r="F61" s="47"/>
      <c r="G61" s="47"/>
      <c r="H61" s="47"/>
      <c r="I61" s="47"/>
      <c r="J61" s="47"/>
      <c r="K61" s="47"/>
      <c r="L61" s="47"/>
      <c r="M61" s="47"/>
      <c r="N61" s="47"/>
      <c r="O61" s="47"/>
      <c r="P61" s="47"/>
      <c r="Q61" s="47"/>
      <c r="R61" s="47"/>
      <c r="S61" s="47"/>
      <c r="T61" s="47"/>
      <c r="U61" s="49" t="str">
        <f ca="1">IF(COUNTIF(OFFSET($E61,0,1):OFFSET(U61,0,-1),"=*")&gt;0,IF($C61="К","-"," - "),IF(COUNTIF(OFFSET($E61,0,1):OFFSET(U61,0,-1),"&lt;4")&gt;0,IF(C61="К","-"," - "),(IFERROR(AVERAGE(OFFSET($E61,0,1):OFFSET(U61,0,-1)),"Очікую"))))</f>
        <v>Очікую</v>
      </c>
      <c r="V61" s="49" t="str">
        <f t="shared" ca="1" si="0"/>
        <v>Очікую</v>
      </c>
      <c r="W61" s="36"/>
      <c r="X61" s="42"/>
    </row>
    <row r="62" spans="1:24" s="12" customFormat="1" ht="15" customHeight="1" x14ac:dyDescent="0.25">
      <c r="A62" s="43"/>
      <c r="B62" s="34"/>
      <c r="C62" s="47"/>
      <c r="D62" s="47">
        <v>53</v>
      </c>
      <c r="E62" s="48"/>
      <c r="F62" s="47"/>
      <c r="G62" s="47"/>
      <c r="H62" s="47"/>
      <c r="I62" s="47"/>
      <c r="J62" s="47"/>
      <c r="K62" s="47"/>
      <c r="L62" s="47"/>
      <c r="M62" s="47"/>
      <c r="N62" s="47"/>
      <c r="O62" s="47"/>
      <c r="P62" s="47"/>
      <c r="Q62" s="47"/>
      <c r="R62" s="47"/>
      <c r="S62" s="47"/>
      <c r="T62" s="47"/>
      <c r="U62" s="49" t="str">
        <f ca="1">IF(COUNTIF(OFFSET($E62,0,1):OFFSET(U62,0,-1),"=*")&gt;0,IF($C62="К","-"," - "),IF(COUNTIF(OFFSET($E62,0,1):OFFSET(U62,0,-1),"&lt;4")&gt;0,IF(C62="К","-"," - "),(IFERROR(AVERAGE(OFFSET($E62,0,1):OFFSET(U62,0,-1)),"Очікую"))))</f>
        <v>Очікую</v>
      </c>
      <c r="V62" s="49" t="str">
        <f t="shared" ca="1" si="0"/>
        <v>Очікую</v>
      </c>
      <c r="W62" s="36"/>
      <c r="X62" s="42"/>
    </row>
    <row r="63" spans="1:24" s="12" customFormat="1" ht="15" customHeight="1" x14ac:dyDescent="0.25">
      <c r="A63" s="43"/>
      <c r="B63" s="34"/>
      <c r="C63" s="47"/>
      <c r="D63" s="47">
        <v>54</v>
      </c>
      <c r="E63" s="48"/>
      <c r="F63" s="47"/>
      <c r="G63" s="47"/>
      <c r="H63" s="47"/>
      <c r="I63" s="47"/>
      <c r="J63" s="47"/>
      <c r="K63" s="47"/>
      <c r="L63" s="47"/>
      <c r="M63" s="47"/>
      <c r="N63" s="47"/>
      <c r="O63" s="47"/>
      <c r="P63" s="47"/>
      <c r="Q63" s="47"/>
      <c r="R63" s="47"/>
      <c r="S63" s="47"/>
      <c r="T63" s="47"/>
      <c r="U63" s="49" t="str">
        <f ca="1">IF(COUNTIF(OFFSET($E63,0,1):OFFSET(U63,0,-1),"=*")&gt;0,IF($C63="К","-"," - "),IF(COUNTIF(OFFSET($E63,0,1):OFFSET(U63,0,-1),"&lt;4")&gt;0,IF(C63="К","-"," - "),(IFERROR(AVERAGE(OFFSET($E63,0,1):OFFSET(U63,0,-1)),"Очікую"))))</f>
        <v>Очікую</v>
      </c>
      <c r="V63" s="49" t="str">
        <f t="shared" ca="1" si="0"/>
        <v>Очікую</v>
      </c>
      <c r="W63" s="36"/>
      <c r="X63" s="42"/>
    </row>
    <row r="64" spans="1:24" s="12" customFormat="1" ht="15" customHeight="1" x14ac:dyDescent="0.25">
      <c r="A64" s="43"/>
      <c r="B64" s="34"/>
      <c r="C64" s="47"/>
      <c r="D64" s="47">
        <v>55</v>
      </c>
      <c r="E64" s="48"/>
      <c r="F64" s="47"/>
      <c r="G64" s="47"/>
      <c r="H64" s="47"/>
      <c r="I64" s="47"/>
      <c r="J64" s="47"/>
      <c r="K64" s="47"/>
      <c r="L64" s="47"/>
      <c r="M64" s="47"/>
      <c r="N64" s="47"/>
      <c r="O64" s="47"/>
      <c r="P64" s="47"/>
      <c r="Q64" s="47"/>
      <c r="R64" s="47"/>
      <c r="S64" s="47"/>
      <c r="T64" s="47"/>
      <c r="U64" s="49" t="str">
        <f ca="1">IF(COUNTIF(OFFSET($E64,0,1):OFFSET(U64,0,-1),"=*")&gt;0,IF($C64="К","-"," - "),IF(COUNTIF(OFFSET($E64,0,1):OFFSET(U64,0,-1),"&lt;4")&gt;0,IF(C64="К","-"," - "),(IFERROR(AVERAGE(OFFSET($E64,0,1):OFFSET(U64,0,-1)),"Очікую"))))</f>
        <v>Очікую</v>
      </c>
      <c r="V64" s="49" t="str">
        <f t="shared" ca="1" si="0"/>
        <v>Очікую</v>
      </c>
      <c r="W64" s="36"/>
      <c r="X64" s="42"/>
    </row>
    <row r="65" spans="1:24" s="12" customFormat="1" ht="15" customHeight="1" x14ac:dyDescent="0.25">
      <c r="A65" s="43"/>
      <c r="B65" s="34"/>
      <c r="C65" s="47"/>
      <c r="D65" s="47">
        <v>56</v>
      </c>
      <c r="E65" s="48"/>
      <c r="F65" s="47"/>
      <c r="G65" s="47"/>
      <c r="H65" s="47"/>
      <c r="I65" s="47"/>
      <c r="J65" s="47"/>
      <c r="K65" s="47"/>
      <c r="L65" s="47"/>
      <c r="M65" s="47"/>
      <c r="N65" s="47"/>
      <c r="O65" s="47"/>
      <c r="P65" s="47"/>
      <c r="Q65" s="47"/>
      <c r="R65" s="47"/>
      <c r="S65" s="47"/>
      <c r="T65" s="47"/>
      <c r="U65" s="49" t="str">
        <f ca="1">IF(COUNTIF(OFFSET($E65,0,1):OFFSET(U65,0,-1),"=*")&gt;0,IF($C65="К","-"," - "),IF(COUNTIF(OFFSET($E65,0,1):OFFSET(U65,0,-1),"&lt;4")&gt;0,IF(C65="К","-"," - "),(IFERROR(AVERAGE(OFFSET($E65,0,1):OFFSET(U65,0,-1)),"Очікую"))))</f>
        <v>Очікую</v>
      </c>
      <c r="V65" s="49" t="str">
        <f t="shared" ca="1" si="0"/>
        <v>Очікую</v>
      </c>
      <c r="W65" s="36"/>
      <c r="X65" s="42"/>
    </row>
    <row r="66" spans="1:24" s="12" customFormat="1" ht="15" customHeight="1" x14ac:dyDescent="0.25">
      <c r="A66" s="43"/>
      <c r="B66" s="34"/>
      <c r="C66" s="47"/>
      <c r="D66" s="47">
        <v>57</v>
      </c>
      <c r="E66" s="48"/>
      <c r="F66" s="47"/>
      <c r="G66" s="47"/>
      <c r="H66" s="47"/>
      <c r="I66" s="47"/>
      <c r="J66" s="47"/>
      <c r="K66" s="47"/>
      <c r="L66" s="47"/>
      <c r="M66" s="47"/>
      <c r="N66" s="47"/>
      <c r="O66" s="47"/>
      <c r="P66" s="47"/>
      <c r="Q66" s="47"/>
      <c r="R66" s="47"/>
      <c r="S66" s="47"/>
      <c r="T66" s="47"/>
      <c r="U66" s="49" t="str">
        <f ca="1">IF(COUNTIF(OFFSET($E66,0,1):OFFSET(U66,0,-1),"=*")&gt;0,IF($C66="К","-"," - "),IF(COUNTIF(OFFSET($E66,0,1):OFFSET(U66,0,-1),"&lt;4")&gt;0,IF(C66="К","-"," - "),(IFERROR(AVERAGE(OFFSET($E66,0,1):OFFSET(U66,0,-1)),"Очікую"))))</f>
        <v>Очікую</v>
      </c>
      <c r="V66" s="49" t="str">
        <f t="shared" ca="1" si="0"/>
        <v>Очікую</v>
      </c>
      <c r="W66" s="36"/>
      <c r="X66" s="42"/>
    </row>
    <row r="67" spans="1:24" s="12" customFormat="1" ht="15" customHeight="1" x14ac:dyDescent="0.25">
      <c r="A67" s="43"/>
      <c r="B67" s="34"/>
      <c r="C67" s="47"/>
      <c r="D67" s="47">
        <v>58</v>
      </c>
      <c r="E67" s="48"/>
      <c r="F67" s="47"/>
      <c r="G67" s="47"/>
      <c r="H67" s="47"/>
      <c r="I67" s="47"/>
      <c r="J67" s="47"/>
      <c r="K67" s="47"/>
      <c r="L67" s="47"/>
      <c r="M67" s="47"/>
      <c r="N67" s="47"/>
      <c r="O67" s="47"/>
      <c r="P67" s="47"/>
      <c r="Q67" s="47"/>
      <c r="R67" s="47"/>
      <c r="S67" s="47"/>
      <c r="T67" s="47"/>
      <c r="U67" s="49" t="str">
        <f ca="1">IF(COUNTIF(OFFSET($E67,0,1):OFFSET(U67,0,-1),"=*")&gt;0,IF($C67="К","-"," - "),IF(COUNTIF(OFFSET($E67,0,1):OFFSET(U67,0,-1),"&lt;4")&gt;0,IF(C67="К","-"," - "),(IFERROR(AVERAGE(OFFSET($E67,0,1):OFFSET(U67,0,-1)),"Очікую"))))</f>
        <v>Очікую</v>
      </c>
      <c r="V67" s="49" t="str">
        <f t="shared" ca="1" si="0"/>
        <v>Очікую</v>
      </c>
      <c r="W67" s="36"/>
      <c r="X67" s="42"/>
    </row>
    <row r="68" spans="1:24" s="12" customFormat="1" ht="15" customHeight="1" x14ac:dyDescent="0.25">
      <c r="A68" s="43"/>
      <c r="B68" s="34"/>
      <c r="C68" s="47"/>
      <c r="D68" s="47">
        <v>59</v>
      </c>
      <c r="E68" s="48"/>
      <c r="F68" s="47"/>
      <c r="G68" s="47"/>
      <c r="H68" s="47"/>
      <c r="I68" s="47"/>
      <c r="J68" s="47"/>
      <c r="K68" s="47"/>
      <c r="L68" s="47"/>
      <c r="M68" s="47"/>
      <c r="N68" s="47"/>
      <c r="O68" s="47"/>
      <c r="P68" s="47"/>
      <c r="Q68" s="47"/>
      <c r="R68" s="47"/>
      <c r="S68" s="47"/>
      <c r="T68" s="47"/>
      <c r="U68" s="49" t="str">
        <f ca="1">IF(COUNTIF(OFFSET($E68,0,1):OFFSET(U68,0,-1),"=*")&gt;0,IF($C68="К","-"," - "),IF(COUNTIF(OFFSET($E68,0,1):OFFSET(U68,0,-1),"&lt;4")&gt;0,IF(C68="К","-"," - "),(IFERROR(AVERAGE(OFFSET($E68,0,1):OFFSET(U68,0,-1)),"Очікую"))))</f>
        <v>Очікую</v>
      </c>
      <c r="V68" s="49" t="str">
        <f t="shared" ca="1" si="0"/>
        <v>Очікую</v>
      </c>
      <c r="W68" s="36"/>
      <c r="X68" s="42"/>
    </row>
    <row r="69" spans="1:24" s="12" customFormat="1" ht="15" customHeight="1" x14ac:dyDescent="0.25">
      <c r="A69" s="43"/>
      <c r="B69" s="34"/>
      <c r="C69" s="47"/>
      <c r="D69" s="47">
        <v>60</v>
      </c>
      <c r="E69" s="48"/>
      <c r="F69" s="47"/>
      <c r="G69" s="47"/>
      <c r="H69" s="47"/>
      <c r="I69" s="47"/>
      <c r="J69" s="47"/>
      <c r="K69" s="47"/>
      <c r="L69" s="47"/>
      <c r="M69" s="47"/>
      <c r="N69" s="47"/>
      <c r="O69" s="47"/>
      <c r="P69" s="47"/>
      <c r="Q69" s="47"/>
      <c r="R69" s="47"/>
      <c r="S69" s="47"/>
      <c r="T69" s="47"/>
      <c r="U69" s="49" t="str">
        <f ca="1">IF(COUNTIF(OFFSET($E69,0,1):OFFSET(U69,0,-1),"=*")&gt;0,IF($C69="К","-"," - "),IF(COUNTIF(OFFSET($E69,0,1):OFFSET(U69,0,-1),"&lt;4")&gt;0,IF(C69="К","-"," - "),(IFERROR(AVERAGE(OFFSET($E69,0,1):OFFSET(U69,0,-1)),"Очікую"))))</f>
        <v>Очікую</v>
      </c>
      <c r="V69" s="49" t="str">
        <f t="shared" ca="1" si="0"/>
        <v>Очікую</v>
      </c>
      <c r="W69" s="36"/>
      <c r="X69" s="42"/>
    </row>
    <row r="70" spans="1:24" s="12" customFormat="1" ht="15" customHeight="1" x14ac:dyDescent="0.25">
      <c r="A70" s="43"/>
      <c r="B70" s="34"/>
      <c r="C70" s="47"/>
      <c r="D70" s="47">
        <v>61</v>
      </c>
      <c r="E70" s="48"/>
      <c r="F70" s="47"/>
      <c r="G70" s="47"/>
      <c r="H70" s="47"/>
      <c r="I70" s="47"/>
      <c r="J70" s="47"/>
      <c r="K70" s="47"/>
      <c r="L70" s="47"/>
      <c r="M70" s="47"/>
      <c r="N70" s="47"/>
      <c r="O70" s="47"/>
      <c r="P70" s="47"/>
      <c r="Q70" s="47"/>
      <c r="R70" s="47"/>
      <c r="S70" s="47"/>
      <c r="T70" s="47"/>
      <c r="U70" s="49" t="str">
        <f ca="1">IF(COUNTIF(OFFSET($E70,0,1):OFFSET(U70,0,-1),"=*")&gt;0,IF($C70="К","-"," - "),IF(COUNTIF(OFFSET($E70,0,1):OFFSET(U70,0,-1),"&lt;4")&gt;0,IF(C70="К","-"," - "),(IFERROR(AVERAGE(OFFSET($E70,0,1):OFFSET(U70,0,-1)),"Очікую"))))</f>
        <v>Очікую</v>
      </c>
      <c r="V70" s="49" t="str">
        <f t="shared" ca="1" si="0"/>
        <v>Очікую</v>
      </c>
      <c r="W70" s="36"/>
      <c r="X70" s="42"/>
    </row>
    <row r="71" spans="1:24" s="12" customFormat="1" ht="15" customHeight="1" x14ac:dyDescent="0.25">
      <c r="A71" s="43"/>
      <c r="B71" s="34"/>
      <c r="C71" s="47"/>
      <c r="D71" s="47">
        <v>62</v>
      </c>
      <c r="E71" s="48"/>
      <c r="F71" s="47"/>
      <c r="G71" s="47"/>
      <c r="H71" s="47"/>
      <c r="I71" s="47"/>
      <c r="J71" s="47"/>
      <c r="K71" s="47"/>
      <c r="L71" s="47"/>
      <c r="M71" s="47"/>
      <c r="N71" s="47"/>
      <c r="O71" s="47"/>
      <c r="P71" s="47"/>
      <c r="Q71" s="47"/>
      <c r="R71" s="47"/>
      <c r="S71" s="47"/>
      <c r="T71" s="47"/>
      <c r="U71" s="49" t="str">
        <f ca="1">IF(COUNTIF(OFFSET($E71,0,1):OFFSET(U71,0,-1),"=*")&gt;0,IF($C71="К","-"," - "),IF(COUNTIF(OFFSET($E71,0,1):OFFSET(U71,0,-1),"&lt;4")&gt;0,IF(C71="К","-"," - "),(IFERROR(AVERAGE(OFFSET($E71,0,1):OFFSET(U71,0,-1)),"Очікую"))))</f>
        <v>Очікую</v>
      </c>
      <c r="V71" s="49" t="str">
        <f t="shared" ca="1" si="0"/>
        <v>Очікую</v>
      </c>
      <c r="W71" s="36"/>
      <c r="X71" s="42"/>
    </row>
    <row r="72" spans="1:24" s="12" customFormat="1" ht="15" customHeight="1" x14ac:dyDescent="0.25">
      <c r="A72" s="43"/>
      <c r="B72" s="34"/>
      <c r="C72" s="47"/>
      <c r="D72" s="47">
        <v>63</v>
      </c>
      <c r="E72" s="48"/>
      <c r="F72" s="47"/>
      <c r="G72" s="47"/>
      <c r="H72" s="47"/>
      <c r="I72" s="47"/>
      <c r="J72" s="47"/>
      <c r="K72" s="47"/>
      <c r="L72" s="47"/>
      <c r="M72" s="47"/>
      <c r="N72" s="47"/>
      <c r="O72" s="47"/>
      <c r="P72" s="47"/>
      <c r="Q72" s="47"/>
      <c r="R72" s="47"/>
      <c r="S72" s="47"/>
      <c r="T72" s="47"/>
      <c r="U72" s="49" t="str">
        <f ca="1">IF(COUNTIF(OFFSET($E72,0,1):OFFSET(U72,0,-1),"=*")&gt;0,IF($C72="К","-"," - "),IF(COUNTIF(OFFSET($E72,0,1):OFFSET(U72,0,-1),"&lt;4")&gt;0,IF(C72="К","-"," - "),(IFERROR(AVERAGE(OFFSET($E72,0,1):OFFSET(U72,0,-1)),"Очікую"))))</f>
        <v>Очікую</v>
      </c>
      <c r="V72" s="49" t="str">
        <f t="shared" ca="1" si="0"/>
        <v>Очікую</v>
      </c>
      <c r="W72" s="36"/>
      <c r="X72" s="42"/>
    </row>
    <row r="73" spans="1:24" s="12" customFormat="1" ht="15" customHeight="1" x14ac:dyDescent="0.25">
      <c r="A73" s="43"/>
      <c r="B73" s="34"/>
      <c r="C73" s="47"/>
      <c r="D73" s="47">
        <v>64</v>
      </c>
      <c r="E73" s="48"/>
      <c r="F73" s="47"/>
      <c r="G73" s="47"/>
      <c r="H73" s="47"/>
      <c r="I73" s="47"/>
      <c r="J73" s="47"/>
      <c r="K73" s="47"/>
      <c r="L73" s="47"/>
      <c r="M73" s="47"/>
      <c r="N73" s="47"/>
      <c r="O73" s="47"/>
      <c r="P73" s="47"/>
      <c r="Q73" s="47"/>
      <c r="R73" s="47"/>
      <c r="S73" s="47"/>
      <c r="T73" s="47"/>
      <c r="U73" s="49" t="str">
        <f ca="1">IF(COUNTIF(OFFSET($E73,0,1):OFFSET(U73,0,-1),"=*")&gt;0,IF($C73="К","-"," - "),IF(COUNTIF(OFFSET($E73,0,1):OFFSET(U73,0,-1),"&lt;4")&gt;0,IF(C73="К","-"," - "),(IFERROR(AVERAGE(OFFSET($E73,0,1):OFFSET(U73,0,-1)),"Очікую"))))</f>
        <v>Очікую</v>
      </c>
      <c r="V73" s="49" t="str">
        <f t="shared" ca="1" si="0"/>
        <v>Очікую</v>
      </c>
      <c r="W73" s="36"/>
      <c r="X73" s="42"/>
    </row>
    <row r="74" spans="1:24" s="12" customFormat="1" ht="15" customHeight="1" x14ac:dyDescent="0.25">
      <c r="A74" s="43"/>
      <c r="B74" s="34"/>
      <c r="C74" s="47"/>
      <c r="D74" s="47">
        <v>65</v>
      </c>
      <c r="E74" s="48"/>
      <c r="F74" s="47"/>
      <c r="G74" s="47"/>
      <c r="H74" s="47"/>
      <c r="I74" s="47"/>
      <c r="J74" s="47"/>
      <c r="K74" s="47"/>
      <c r="L74" s="47"/>
      <c r="M74" s="47"/>
      <c r="N74" s="47"/>
      <c r="O74" s="47"/>
      <c r="P74" s="47"/>
      <c r="Q74" s="47"/>
      <c r="R74" s="47"/>
      <c r="S74" s="47"/>
      <c r="T74" s="47"/>
      <c r="U74" s="49" t="str">
        <f ca="1">IF(COUNTIF(OFFSET($E74,0,1):OFFSET(U74,0,-1),"=*")&gt;0,IF($C74="К","-"," - "),IF(COUNTIF(OFFSET($E74,0,1):OFFSET(U74,0,-1),"&lt;4")&gt;0,IF(C74="К","-"," - "),(IFERROR(AVERAGE(OFFSET($E74,0,1):OFFSET(U74,0,-1)),"Очікую"))))</f>
        <v>Очікую</v>
      </c>
      <c r="V74" s="49" t="str">
        <f t="shared" ca="1" si="0"/>
        <v>Очікую</v>
      </c>
      <c r="W74" s="36"/>
      <c r="X74" s="42"/>
    </row>
    <row r="75" spans="1:24" s="12" customFormat="1" ht="15" customHeight="1" x14ac:dyDescent="0.25">
      <c r="A75" s="43"/>
      <c r="B75" s="34"/>
      <c r="C75" s="47"/>
      <c r="D75" s="47">
        <v>66</v>
      </c>
      <c r="E75" s="48"/>
      <c r="F75" s="47"/>
      <c r="G75" s="47"/>
      <c r="H75" s="47"/>
      <c r="I75" s="47"/>
      <c r="J75" s="47"/>
      <c r="K75" s="47"/>
      <c r="L75" s="47"/>
      <c r="M75" s="47"/>
      <c r="N75" s="47"/>
      <c r="O75" s="47"/>
      <c r="P75" s="47"/>
      <c r="Q75" s="47"/>
      <c r="R75" s="47"/>
      <c r="S75" s="47"/>
      <c r="T75" s="47"/>
      <c r="U75" s="49" t="str">
        <f ca="1">IF(COUNTIF(OFFSET($E75,0,1):OFFSET(U75,0,-1),"=*")&gt;0,IF($C75="К","-"," - "),IF(COUNTIF(OFFSET($E75,0,1):OFFSET(U75,0,-1),"&lt;4")&gt;0,IF(C75="К","-"," - "),(IFERROR(AVERAGE(OFFSET($E75,0,1):OFFSET(U75,0,-1)),"Очікую"))))</f>
        <v>Очікую</v>
      </c>
      <c r="V75" s="49" t="str">
        <f t="shared" ref="V75:V109" ca="1" si="1">IFERROR(U75/12*90,"Очікую")</f>
        <v>Очікую</v>
      </c>
      <c r="W75" s="36"/>
      <c r="X75" s="42"/>
    </row>
    <row r="76" spans="1:24" s="12" customFormat="1" ht="15" customHeight="1" x14ac:dyDescent="0.25">
      <c r="A76" s="43"/>
      <c r="B76" s="34"/>
      <c r="C76" s="47"/>
      <c r="D76" s="47">
        <v>67</v>
      </c>
      <c r="E76" s="48"/>
      <c r="F76" s="47"/>
      <c r="G76" s="47"/>
      <c r="H76" s="47"/>
      <c r="I76" s="47"/>
      <c r="J76" s="47"/>
      <c r="K76" s="47"/>
      <c r="L76" s="47"/>
      <c r="M76" s="47"/>
      <c r="N76" s="47"/>
      <c r="O76" s="47"/>
      <c r="P76" s="47"/>
      <c r="Q76" s="47"/>
      <c r="R76" s="47"/>
      <c r="S76" s="47"/>
      <c r="T76" s="47"/>
      <c r="U76" s="49" t="str">
        <f ca="1">IF(COUNTIF(OFFSET($E76,0,1):OFFSET(U76,0,-1),"=*")&gt;0,IF($C76="К","-"," - "),IF(COUNTIF(OFFSET($E76,0,1):OFFSET(U76,0,-1),"&lt;4")&gt;0,IF(C76="К","-"," - "),(IFERROR(AVERAGE(OFFSET($E76,0,1):OFFSET(U76,0,-1)),"Очікую"))))</f>
        <v>Очікую</v>
      </c>
      <c r="V76" s="49" t="str">
        <f t="shared" ca="1" si="1"/>
        <v>Очікую</v>
      </c>
      <c r="W76" s="36"/>
      <c r="X76" s="42"/>
    </row>
    <row r="77" spans="1:24" s="12" customFormat="1" ht="15" customHeight="1" x14ac:dyDescent="0.25">
      <c r="A77" s="43"/>
      <c r="B77" s="34"/>
      <c r="C77" s="47"/>
      <c r="D77" s="47">
        <v>68</v>
      </c>
      <c r="E77" s="48"/>
      <c r="F77" s="47"/>
      <c r="G77" s="47"/>
      <c r="H77" s="47"/>
      <c r="I77" s="47"/>
      <c r="J77" s="47"/>
      <c r="K77" s="47"/>
      <c r="L77" s="47"/>
      <c r="M77" s="47"/>
      <c r="N77" s="47"/>
      <c r="O77" s="47"/>
      <c r="P77" s="47"/>
      <c r="Q77" s="47"/>
      <c r="R77" s="47"/>
      <c r="S77" s="47"/>
      <c r="T77" s="47"/>
      <c r="U77" s="49" t="str">
        <f ca="1">IF(COUNTIF(OFFSET($E77,0,1):OFFSET(U77,0,-1),"=*")&gt;0,IF($C77="К","-"," - "),IF(COUNTIF(OFFSET($E77,0,1):OFFSET(U77,0,-1),"&lt;4")&gt;0,IF(C77="К","-"," - "),(IFERROR(AVERAGE(OFFSET($E77,0,1):OFFSET(U77,0,-1)),"Очікую"))))</f>
        <v>Очікую</v>
      </c>
      <c r="V77" s="49" t="str">
        <f t="shared" ca="1" si="1"/>
        <v>Очікую</v>
      </c>
      <c r="W77" s="36"/>
      <c r="X77" s="42"/>
    </row>
    <row r="78" spans="1:24" s="12" customFormat="1" ht="15" customHeight="1" x14ac:dyDescent="0.25">
      <c r="A78" s="43"/>
      <c r="B78" s="34"/>
      <c r="C78" s="47"/>
      <c r="D78" s="47">
        <v>69</v>
      </c>
      <c r="E78" s="48"/>
      <c r="F78" s="47"/>
      <c r="G78" s="47"/>
      <c r="H78" s="47"/>
      <c r="I78" s="47"/>
      <c r="J78" s="47"/>
      <c r="K78" s="47"/>
      <c r="L78" s="47"/>
      <c r="M78" s="47"/>
      <c r="N78" s="47"/>
      <c r="O78" s="47"/>
      <c r="P78" s="47"/>
      <c r="Q78" s="47"/>
      <c r="R78" s="47"/>
      <c r="S78" s="47"/>
      <c r="T78" s="47"/>
      <c r="U78" s="49" t="str">
        <f ca="1">IF(COUNTIF(OFFSET($E78,0,1):OFFSET(U78,0,-1),"=*")&gt;0,IF($C78="К","-"," - "),IF(COUNTIF(OFFSET($E78,0,1):OFFSET(U78,0,-1),"&lt;4")&gt;0,IF(C78="К","-"," - "),(IFERROR(AVERAGE(OFFSET($E78,0,1):OFFSET(U78,0,-1)),"Очікую"))))</f>
        <v>Очікую</v>
      </c>
      <c r="V78" s="49" t="str">
        <f t="shared" ca="1" si="1"/>
        <v>Очікую</v>
      </c>
      <c r="W78" s="36"/>
      <c r="X78" s="42"/>
    </row>
    <row r="79" spans="1:24" s="12" customFormat="1" ht="15" customHeight="1" x14ac:dyDescent="0.25">
      <c r="A79" s="43"/>
      <c r="B79" s="34"/>
      <c r="C79" s="47"/>
      <c r="D79" s="47">
        <v>70</v>
      </c>
      <c r="E79" s="48"/>
      <c r="F79" s="47"/>
      <c r="G79" s="47"/>
      <c r="H79" s="47"/>
      <c r="I79" s="47"/>
      <c r="J79" s="47"/>
      <c r="K79" s="47"/>
      <c r="L79" s="47"/>
      <c r="M79" s="47"/>
      <c r="N79" s="47"/>
      <c r="O79" s="47"/>
      <c r="P79" s="47"/>
      <c r="Q79" s="47"/>
      <c r="R79" s="47"/>
      <c r="S79" s="47"/>
      <c r="T79" s="47"/>
      <c r="U79" s="49" t="str">
        <f ca="1">IF(COUNTIF(OFFSET($E79,0,1):OFFSET(U79,0,-1),"=*")&gt;0,IF($C79="К","-"," - "),IF(COUNTIF(OFFSET($E79,0,1):OFFSET(U79,0,-1),"&lt;4")&gt;0,IF(C79="К","-"," - "),(IFERROR(AVERAGE(OFFSET($E79,0,1):OFFSET(U79,0,-1)),"Очікую"))))</f>
        <v>Очікую</v>
      </c>
      <c r="V79" s="49" t="str">
        <f t="shared" ca="1" si="1"/>
        <v>Очікую</v>
      </c>
      <c r="W79" s="36"/>
      <c r="X79" s="42"/>
    </row>
    <row r="80" spans="1:24" s="12" customFormat="1" ht="15" customHeight="1" x14ac:dyDescent="0.25">
      <c r="A80" s="43"/>
      <c r="B80" s="34"/>
      <c r="C80" s="47"/>
      <c r="D80" s="47">
        <v>71</v>
      </c>
      <c r="E80" s="48"/>
      <c r="F80" s="47"/>
      <c r="G80" s="47"/>
      <c r="H80" s="47"/>
      <c r="I80" s="47"/>
      <c r="J80" s="47"/>
      <c r="K80" s="47"/>
      <c r="L80" s="47"/>
      <c r="M80" s="47"/>
      <c r="N80" s="47"/>
      <c r="O80" s="47"/>
      <c r="P80" s="47"/>
      <c r="Q80" s="47"/>
      <c r="R80" s="47"/>
      <c r="S80" s="47"/>
      <c r="T80" s="47"/>
      <c r="U80" s="49" t="str">
        <f ca="1">IF(COUNTIF(OFFSET($E80,0,1):OFFSET(U80,0,-1),"=*")&gt;0,IF($C80="К","-"," - "),IF(COUNTIF(OFFSET($E80,0,1):OFFSET(U80,0,-1),"&lt;4")&gt;0,IF(C80="К","-"," - "),(IFERROR(AVERAGE(OFFSET($E80,0,1):OFFSET(U80,0,-1)),"Очікую"))))</f>
        <v>Очікую</v>
      </c>
      <c r="V80" s="49" t="str">
        <f t="shared" ca="1" si="1"/>
        <v>Очікую</v>
      </c>
      <c r="W80" s="36"/>
      <c r="X80" s="42"/>
    </row>
    <row r="81" spans="1:24" s="12" customFormat="1" ht="15" customHeight="1" x14ac:dyDescent="0.25">
      <c r="A81" s="43"/>
      <c r="B81" s="34"/>
      <c r="C81" s="47"/>
      <c r="D81" s="47">
        <v>72</v>
      </c>
      <c r="E81" s="48"/>
      <c r="F81" s="47"/>
      <c r="G81" s="47"/>
      <c r="H81" s="47"/>
      <c r="I81" s="47"/>
      <c r="J81" s="47"/>
      <c r="K81" s="47"/>
      <c r="L81" s="47"/>
      <c r="M81" s="47"/>
      <c r="N81" s="47"/>
      <c r="O81" s="47"/>
      <c r="P81" s="47"/>
      <c r="Q81" s="47"/>
      <c r="R81" s="47"/>
      <c r="S81" s="47"/>
      <c r="T81" s="47"/>
      <c r="U81" s="49" t="str">
        <f ca="1">IF(COUNTIF(OFFSET($E81,0,1):OFFSET(U81,0,-1),"=*")&gt;0,IF($C81="К","-"," - "),IF(COUNTIF(OFFSET($E81,0,1):OFFSET(U81,0,-1),"&lt;4")&gt;0,IF(C81="К","-"," - "),(IFERROR(AVERAGE(OFFSET($E81,0,1):OFFSET(U81,0,-1)),"Очікую"))))</f>
        <v>Очікую</v>
      </c>
      <c r="V81" s="49" t="str">
        <f t="shared" ca="1" si="1"/>
        <v>Очікую</v>
      </c>
      <c r="W81" s="36"/>
      <c r="X81" s="42"/>
    </row>
    <row r="82" spans="1:24" s="12" customFormat="1" ht="15" customHeight="1" x14ac:dyDescent="0.25">
      <c r="A82" s="43"/>
      <c r="B82" s="34"/>
      <c r="C82" s="47"/>
      <c r="D82" s="47">
        <v>73</v>
      </c>
      <c r="E82" s="48"/>
      <c r="F82" s="47"/>
      <c r="G82" s="47"/>
      <c r="H82" s="47"/>
      <c r="I82" s="47"/>
      <c r="J82" s="47"/>
      <c r="K82" s="47"/>
      <c r="L82" s="47"/>
      <c r="M82" s="47"/>
      <c r="N82" s="47"/>
      <c r="O82" s="47"/>
      <c r="P82" s="47"/>
      <c r="Q82" s="47"/>
      <c r="R82" s="47"/>
      <c r="S82" s="47"/>
      <c r="T82" s="47"/>
      <c r="U82" s="49" t="str">
        <f ca="1">IF(COUNTIF(OFFSET($E82,0,1):OFFSET(U82,0,-1),"=*")&gt;0,IF($C82="К","-"," - "),IF(COUNTIF(OFFSET($E82,0,1):OFFSET(U82,0,-1),"&lt;4")&gt;0,IF(C82="К","-"," - "),(IFERROR(AVERAGE(OFFSET($E82,0,1):OFFSET(U82,0,-1)),"Очікую"))))</f>
        <v>Очікую</v>
      </c>
      <c r="V82" s="49" t="str">
        <f t="shared" ca="1" si="1"/>
        <v>Очікую</v>
      </c>
      <c r="W82" s="36"/>
      <c r="X82" s="42"/>
    </row>
    <row r="83" spans="1:24" s="12" customFormat="1" ht="15" customHeight="1" x14ac:dyDescent="0.25">
      <c r="A83" s="43"/>
      <c r="B83" s="34"/>
      <c r="C83" s="47"/>
      <c r="D83" s="47">
        <v>74</v>
      </c>
      <c r="E83" s="48"/>
      <c r="F83" s="47"/>
      <c r="G83" s="47"/>
      <c r="H83" s="47"/>
      <c r="I83" s="47"/>
      <c r="J83" s="47"/>
      <c r="K83" s="47"/>
      <c r="L83" s="47"/>
      <c r="M83" s="47"/>
      <c r="N83" s="47"/>
      <c r="O83" s="47"/>
      <c r="P83" s="47"/>
      <c r="Q83" s="47"/>
      <c r="R83" s="47"/>
      <c r="S83" s="47"/>
      <c r="T83" s="47"/>
      <c r="U83" s="49" t="str">
        <f ca="1">IF(COUNTIF(OFFSET($E83,0,1):OFFSET(U83,0,-1),"=*")&gt;0,IF($C83="К","-"," - "),IF(COUNTIF(OFFSET($E83,0,1):OFFSET(U83,0,-1),"&lt;4")&gt;0,IF(C83="К","-"," - "),(IFERROR(AVERAGE(OFFSET($E83,0,1):OFFSET(U83,0,-1)),"Очікую"))))</f>
        <v>Очікую</v>
      </c>
      <c r="V83" s="49" t="str">
        <f t="shared" ca="1" si="1"/>
        <v>Очікую</v>
      </c>
      <c r="W83" s="36"/>
      <c r="X83" s="42"/>
    </row>
    <row r="84" spans="1:24" s="12" customFormat="1" ht="15" customHeight="1" x14ac:dyDescent="0.25">
      <c r="A84" s="43"/>
      <c r="B84" s="34"/>
      <c r="C84" s="47"/>
      <c r="D84" s="47">
        <v>75</v>
      </c>
      <c r="E84" s="48"/>
      <c r="F84" s="47"/>
      <c r="G84" s="47"/>
      <c r="H84" s="47"/>
      <c r="I84" s="47"/>
      <c r="J84" s="47"/>
      <c r="K84" s="47"/>
      <c r="L84" s="47"/>
      <c r="M84" s="47"/>
      <c r="N84" s="47"/>
      <c r="O84" s="47"/>
      <c r="P84" s="47"/>
      <c r="Q84" s="47"/>
      <c r="R84" s="47"/>
      <c r="S84" s="47"/>
      <c r="T84" s="47"/>
      <c r="U84" s="49" t="str">
        <f ca="1">IF(COUNTIF(OFFSET($E84,0,1):OFFSET(U84,0,-1),"=*")&gt;0,IF($C84="К","-"," - "),IF(COUNTIF(OFFSET($E84,0,1):OFFSET(U84,0,-1),"&lt;4")&gt;0,IF(C84="К","-"," - "),(IFERROR(AVERAGE(OFFSET($E84,0,1):OFFSET(U84,0,-1)),"Очікую"))))</f>
        <v>Очікую</v>
      </c>
      <c r="V84" s="49" t="str">
        <f t="shared" ca="1" si="1"/>
        <v>Очікую</v>
      </c>
      <c r="W84" s="36"/>
      <c r="X84" s="42"/>
    </row>
    <row r="85" spans="1:24" s="12" customFormat="1" ht="15" customHeight="1" x14ac:dyDescent="0.25">
      <c r="A85" s="43"/>
      <c r="B85" s="34"/>
      <c r="C85" s="47"/>
      <c r="D85" s="47">
        <v>76</v>
      </c>
      <c r="E85" s="48"/>
      <c r="F85" s="47"/>
      <c r="G85" s="47"/>
      <c r="H85" s="47"/>
      <c r="I85" s="47"/>
      <c r="J85" s="47"/>
      <c r="K85" s="47"/>
      <c r="L85" s="47"/>
      <c r="M85" s="47"/>
      <c r="N85" s="47"/>
      <c r="O85" s="47"/>
      <c r="P85" s="47"/>
      <c r="Q85" s="47"/>
      <c r="R85" s="47"/>
      <c r="S85" s="47"/>
      <c r="T85" s="47"/>
      <c r="U85" s="49" t="str">
        <f ca="1">IF(COUNTIF(OFFSET($E85,0,1):OFFSET(U85,0,-1),"=*")&gt;0,IF($C85="К","-"," - "),IF(COUNTIF(OFFSET($E85,0,1):OFFSET(U85,0,-1),"&lt;4")&gt;0,IF(C85="К","-"," - "),(IFERROR(AVERAGE(OFFSET($E85,0,1):OFFSET(U85,0,-1)),"Очікую"))))</f>
        <v>Очікую</v>
      </c>
      <c r="V85" s="49" t="str">
        <f t="shared" ca="1" si="1"/>
        <v>Очікую</v>
      </c>
      <c r="W85" s="36"/>
      <c r="X85" s="42"/>
    </row>
    <row r="86" spans="1:24" s="12" customFormat="1" ht="15" customHeight="1" x14ac:dyDescent="0.25">
      <c r="A86" s="43"/>
      <c r="B86" s="34"/>
      <c r="C86" s="47"/>
      <c r="D86" s="47">
        <v>77</v>
      </c>
      <c r="E86" s="48"/>
      <c r="F86" s="47"/>
      <c r="G86" s="47"/>
      <c r="H86" s="47"/>
      <c r="I86" s="47"/>
      <c r="J86" s="47"/>
      <c r="K86" s="47"/>
      <c r="L86" s="47"/>
      <c r="M86" s="47"/>
      <c r="N86" s="47"/>
      <c r="O86" s="47"/>
      <c r="P86" s="47"/>
      <c r="Q86" s="47"/>
      <c r="R86" s="47"/>
      <c r="S86" s="47"/>
      <c r="T86" s="47"/>
      <c r="U86" s="49" t="str">
        <f ca="1">IF(COUNTIF(OFFSET($E86,0,1):OFFSET(U86,0,-1),"=*")&gt;0,IF($C86="К","-"," - "),IF(COUNTIF(OFFSET($E86,0,1):OFFSET(U86,0,-1),"&lt;4")&gt;0,IF(C86="К","-"," - "),(IFERROR(AVERAGE(OFFSET($E86,0,1):OFFSET(U86,0,-1)),"Очікую"))))</f>
        <v>Очікую</v>
      </c>
      <c r="V86" s="49" t="str">
        <f t="shared" ca="1" si="1"/>
        <v>Очікую</v>
      </c>
      <c r="W86" s="36"/>
      <c r="X86" s="42"/>
    </row>
    <row r="87" spans="1:24" s="12" customFormat="1" ht="15" customHeight="1" x14ac:dyDescent="0.25">
      <c r="A87" s="43"/>
      <c r="B87" s="34"/>
      <c r="C87" s="47"/>
      <c r="D87" s="47">
        <v>78</v>
      </c>
      <c r="E87" s="48"/>
      <c r="F87" s="47"/>
      <c r="G87" s="47"/>
      <c r="H87" s="47"/>
      <c r="I87" s="47"/>
      <c r="J87" s="47"/>
      <c r="K87" s="47"/>
      <c r="L87" s="47"/>
      <c r="M87" s="47"/>
      <c r="N87" s="47"/>
      <c r="O87" s="47"/>
      <c r="P87" s="47"/>
      <c r="Q87" s="47"/>
      <c r="R87" s="47"/>
      <c r="S87" s="47"/>
      <c r="T87" s="47"/>
      <c r="U87" s="49" t="str">
        <f ca="1">IF(COUNTIF(OFFSET($E87,0,1):OFFSET(U87,0,-1),"=*")&gt;0,IF($C87="К","-"," - "),IF(COUNTIF(OFFSET($E87,0,1):OFFSET(U87,0,-1),"&lt;4")&gt;0,IF(C87="К","-"," - "),(IFERROR(AVERAGE(OFFSET($E87,0,1):OFFSET(U87,0,-1)),"Очікую"))))</f>
        <v>Очікую</v>
      </c>
      <c r="V87" s="49" t="str">
        <f t="shared" ca="1" si="1"/>
        <v>Очікую</v>
      </c>
      <c r="W87" s="36"/>
      <c r="X87" s="42"/>
    </row>
    <row r="88" spans="1:24" s="12" customFormat="1" ht="15" customHeight="1" x14ac:dyDescent="0.25">
      <c r="A88" s="43"/>
      <c r="B88" s="34"/>
      <c r="C88" s="47"/>
      <c r="D88" s="47">
        <v>79</v>
      </c>
      <c r="E88" s="48"/>
      <c r="F88" s="47"/>
      <c r="G88" s="47"/>
      <c r="H88" s="47"/>
      <c r="I88" s="47"/>
      <c r="J88" s="47"/>
      <c r="K88" s="47"/>
      <c r="L88" s="47"/>
      <c r="M88" s="47"/>
      <c r="N88" s="47"/>
      <c r="O88" s="47"/>
      <c r="P88" s="47"/>
      <c r="Q88" s="47"/>
      <c r="R88" s="47"/>
      <c r="S88" s="47"/>
      <c r="T88" s="47"/>
      <c r="U88" s="49" t="str">
        <f ca="1">IF(COUNTIF(OFFSET($E88,0,1):OFFSET(U88,0,-1),"=*")&gt;0,IF($C88="К","-"," - "),IF(COUNTIF(OFFSET($E88,0,1):OFFSET(U88,0,-1),"&lt;4")&gt;0,IF(C88="К","-"," - "),(IFERROR(AVERAGE(OFFSET($E88,0,1):OFFSET(U88,0,-1)),"Очікую"))))</f>
        <v>Очікую</v>
      </c>
      <c r="V88" s="49" t="str">
        <f t="shared" ca="1" si="1"/>
        <v>Очікую</v>
      </c>
      <c r="W88" s="36"/>
      <c r="X88" s="42"/>
    </row>
    <row r="89" spans="1:24" s="12" customFormat="1" ht="15" customHeight="1" x14ac:dyDescent="0.25">
      <c r="A89" s="43"/>
      <c r="B89" s="34"/>
      <c r="C89" s="47"/>
      <c r="D89" s="47">
        <v>80</v>
      </c>
      <c r="E89" s="48"/>
      <c r="F89" s="47"/>
      <c r="G89" s="47"/>
      <c r="H89" s="47"/>
      <c r="I89" s="47"/>
      <c r="J89" s="47"/>
      <c r="K89" s="47"/>
      <c r="L89" s="47"/>
      <c r="M89" s="47"/>
      <c r="N89" s="47"/>
      <c r="O89" s="47"/>
      <c r="P89" s="47"/>
      <c r="Q89" s="47"/>
      <c r="R89" s="47"/>
      <c r="S89" s="47"/>
      <c r="T89" s="47"/>
      <c r="U89" s="49" t="str">
        <f ca="1">IF(COUNTIF(OFFSET($E89,0,1):OFFSET(U89,0,-1),"=*")&gt;0,IF($C89="К","-"," - "),IF(COUNTIF(OFFSET($E89,0,1):OFFSET(U89,0,-1),"&lt;4")&gt;0,IF(C89="К","-"," - "),(IFERROR(AVERAGE(OFFSET($E89,0,1):OFFSET(U89,0,-1)),"Очікую"))))</f>
        <v>Очікую</v>
      </c>
      <c r="V89" s="49" t="str">
        <f t="shared" ca="1" si="1"/>
        <v>Очікую</v>
      </c>
      <c r="W89" s="36"/>
      <c r="X89" s="42"/>
    </row>
    <row r="90" spans="1:24" s="12" customFormat="1" ht="15" customHeight="1" x14ac:dyDescent="0.25">
      <c r="A90" s="43"/>
      <c r="B90" s="34"/>
      <c r="C90" s="47"/>
      <c r="D90" s="47">
        <v>81</v>
      </c>
      <c r="E90" s="48"/>
      <c r="F90" s="47"/>
      <c r="G90" s="47"/>
      <c r="H90" s="47"/>
      <c r="I90" s="47"/>
      <c r="J90" s="47"/>
      <c r="K90" s="47"/>
      <c r="L90" s="47"/>
      <c r="M90" s="47"/>
      <c r="N90" s="47"/>
      <c r="O90" s="47"/>
      <c r="P90" s="47"/>
      <c r="Q90" s="47"/>
      <c r="R90" s="47"/>
      <c r="S90" s="47"/>
      <c r="T90" s="47"/>
      <c r="U90" s="49" t="str">
        <f ca="1">IF(COUNTIF(OFFSET($E90,0,1):OFFSET(U90,0,-1),"=*")&gt;0,IF($C90="К","-"," - "),IF(COUNTIF(OFFSET($E90,0,1):OFFSET(U90,0,-1),"&lt;4")&gt;0,IF(C90="К","-"," - "),(IFERROR(AVERAGE(OFFSET($E90,0,1):OFFSET(U90,0,-1)),"Очікую"))))</f>
        <v>Очікую</v>
      </c>
      <c r="V90" s="49" t="str">
        <f t="shared" ca="1" si="1"/>
        <v>Очікую</v>
      </c>
      <c r="W90" s="36"/>
      <c r="X90" s="42"/>
    </row>
    <row r="91" spans="1:24" s="12" customFormat="1" ht="15" customHeight="1" x14ac:dyDescent="0.25">
      <c r="A91" s="43"/>
      <c r="B91" s="34"/>
      <c r="C91" s="47"/>
      <c r="D91" s="47">
        <v>82</v>
      </c>
      <c r="E91" s="48"/>
      <c r="F91" s="47"/>
      <c r="G91" s="47"/>
      <c r="H91" s="47"/>
      <c r="I91" s="47"/>
      <c r="J91" s="47"/>
      <c r="K91" s="47"/>
      <c r="L91" s="47"/>
      <c r="M91" s="47"/>
      <c r="N91" s="47"/>
      <c r="O91" s="47"/>
      <c r="P91" s="47"/>
      <c r="Q91" s="47"/>
      <c r="R91" s="47"/>
      <c r="S91" s="47"/>
      <c r="T91" s="47"/>
      <c r="U91" s="49" t="str">
        <f ca="1">IF(COUNTIF(OFFSET($E91,0,1):OFFSET(U91,0,-1),"=*")&gt;0,IF($C91="К","-"," - "),IF(COUNTIF(OFFSET($E91,0,1):OFFSET(U91,0,-1),"&lt;4")&gt;0,IF(C91="К","-"," - "),(IFERROR(AVERAGE(OFFSET($E91,0,1):OFFSET(U91,0,-1)),"Очікую"))))</f>
        <v>Очікую</v>
      </c>
      <c r="V91" s="49" t="str">
        <f t="shared" ca="1" si="1"/>
        <v>Очікую</v>
      </c>
      <c r="W91" s="36"/>
      <c r="X91" s="42"/>
    </row>
    <row r="92" spans="1:24" s="12" customFormat="1" ht="15" customHeight="1" x14ac:dyDescent="0.25">
      <c r="A92" s="43"/>
      <c r="B92" s="34"/>
      <c r="C92" s="47"/>
      <c r="D92" s="47">
        <v>83</v>
      </c>
      <c r="E92" s="48"/>
      <c r="F92" s="47"/>
      <c r="G92" s="47"/>
      <c r="H92" s="47"/>
      <c r="I92" s="47"/>
      <c r="J92" s="47"/>
      <c r="K92" s="47"/>
      <c r="L92" s="47"/>
      <c r="M92" s="47"/>
      <c r="N92" s="47"/>
      <c r="O92" s="47"/>
      <c r="P92" s="47"/>
      <c r="Q92" s="47"/>
      <c r="R92" s="47"/>
      <c r="S92" s="47"/>
      <c r="T92" s="47"/>
      <c r="U92" s="49" t="str">
        <f ca="1">IF(COUNTIF(OFFSET($E92,0,1):OFFSET(U92,0,-1),"=*")&gt;0,IF($C92="К","-"," - "),IF(COUNTIF(OFFSET($E92,0,1):OFFSET(U92,0,-1),"&lt;4")&gt;0,IF(C92="К","-"," - "),(IFERROR(AVERAGE(OFFSET($E92,0,1):OFFSET(U92,0,-1)),"Очікую"))))</f>
        <v>Очікую</v>
      </c>
      <c r="V92" s="49" t="str">
        <f t="shared" ca="1" si="1"/>
        <v>Очікую</v>
      </c>
      <c r="W92" s="36"/>
      <c r="X92" s="42"/>
    </row>
    <row r="93" spans="1:24" s="12" customFormat="1" ht="15" customHeight="1" x14ac:dyDescent="0.25">
      <c r="A93" s="43"/>
      <c r="B93" s="34"/>
      <c r="C93" s="47"/>
      <c r="D93" s="47">
        <v>84</v>
      </c>
      <c r="E93" s="48"/>
      <c r="F93" s="47"/>
      <c r="G93" s="47"/>
      <c r="H93" s="47"/>
      <c r="I93" s="47"/>
      <c r="J93" s="47"/>
      <c r="K93" s="47"/>
      <c r="L93" s="47"/>
      <c r="M93" s="47"/>
      <c r="N93" s="47"/>
      <c r="O93" s="47"/>
      <c r="P93" s="47"/>
      <c r="Q93" s="47"/>
      <c r="R93" s="47"/>
      <c r="S93" s="47"/>
      <c r="T93" s="47"/>
      <c r="U93" s="49" t="str">
        <f ca="1">IF(COUNTIF(OFFSET($E93,0,1):OFFSET(U93,0,-1),"=*")&gt;0,IF($C93="К","-"," - "),IF(COUNTIF(OFFSET($E93,0,1):OFFSET(U93,0,-1),"&lt;4")&gt;0,IF(C93="К","-"," - "),(IFERROR(AVERAGE(OFFSET($E93,0,1):OFFSET(U93,0,-1)),"Очікую"))))</f>
        <v>Очікую</v>
      </c>
      <c r="V93" s="49" t="str">
        <f t="shared" ca="1" si="1"/>
        <v>Очікую</v>
      </c>
      <c r="W93" s="36"/>
      <c r="X93" s="42"/>
    </row>
    <row r="94" spans="1:24" s="12" customFormat="1" ht="15" customHeight="1" x14ac:dyDescent="0.25">
      <c r="A94" s="43"/>
      <c r="B94" s="34"/>
      <c r="C94" s="47"/>
      <c r="D94" s="47">
        <v>85</v>
      </c>
      <c r="E94" s="48"/>
      <c r="F94" s="47"/>
      <c r="G94" s="47"/>
      <c r="H94" s="47"/>
      <c r="I94" s="47"/>
      <c r="J94" s="47"/>
      <c r="K94" s="47"/>
      <c r="L94" s="47"/>
      <c r="M94" s="47"/>
      <c r="N94" s="47"/>
      <c r="O94" s="47"/>
      <c r="P94" s="47"/>
      <c r="Q94" s="47"/>
      <c r="R94" s="47"/>
      <c r="S94" s="47"/>
      <c r="T94" s="47"/>
      <c r="U94" s="49" t="str">
        <f ca="1">IF(COUNTIF(OFFSET($E94,0,1):OFFSET(U94,0,-1),"=*")&gt;0,IF($C94="К","-"," - "),IF(COUNTIF(OFFSET($E94,0,1):OFFSET(U94,0,-1),"&lt;4")&gt;0,IF(C94="К","-"," - "),(IFERROR(AVERAGE(OFFSET($E94,0,1):OFFSET(U94,0,-1)),"Очікую"))))</f>
        <v>Очікую</v>
      </c>
      <c r="V94" s="49" t="str">
        <f t="shared" ca="1" si="1"/>
        <v>Очікую</v>
      </c>
      <c r="W94" s="36"/>
      <c r="X94" s="42"/>
    </row>
    <row r="95" spans="1:24" s="12" customFormat="1" ht="15" customHeight="1" x14ac:dyDescent="0.25">
      <c r="A95" s="43"/>
      <c r="B95" s="34"/>
      <c r="C95" s="47"/>
      <c r="D95" s="47">
        <v>86</v>
      </c>
      <c r="E95" s="48"/>
      <c r="F95" s="47"/>
      <c r="G95" s="47"/>
      <c r="H95" s="47"/>
      <c r="I95" s="47"/>
      <c r="J95" s="47"/>
      <c r="K95" s="47"/>
      <c r="L95" s="47"/>
      <c r="M95" s="47"/>
      <c r="N95" s="47"/>
      <c r="O95" s="47"/>
      <c r="P95" s="47"/>
      <c r="Q95" s="47"/>
      <c r="R95" s="47"/>
      <c r="S95" s="47"/>
      <c r="T95" s="47"/>
      <c r="U95" s="49" t="str">
        <f ca="1">IF(COUNTIF(OFFSET($E95,0,1):OFFSET(U95,0,-1),"=*")&gt;0,IF($C95="К","-"," - "),IF(COUNTIF(OFFSET($E95,0,1):OFFSET(U95,0,-1),"&lt;4")&gt;0,IF(C95="К","-"," - "),(IFERROR(AVERAGE(OFFSET($E95,0,1):OFFSET(U95,0,-1)),"Очікую"))))</f>
        <v>Очікую</v>
      </c>
      <c r="V95" s="49" t="str">
        <f t="shared" ca="1" si="1"/>
        <v>Очікую</v>
      </c>
      <c r="W95" s="36"/>
      <c r="X95" s="42"/>
    </row>
    <row r="96" spans="1:24" s="12" customFormat="1" ht="15" customHeight="1" x14ac:dyDescent="0.25">
      <c r="A96" s="43"/>
      <c r="B96" s="34"/>
      <c r="C96" s="47"/>
      <c r="D96" s="47">
        <v>87</v>
      </c>
      <c r="E96" s="48"/>
      <c r="F96" s="47"/>
      <c r="G96" s="47"/>
      <c r="H96" s="47"/>
      <c r="I96" s="47"/>
      <c r="J96" s="47"/>
      <c r="K96" s="47"/>
      <c r="L96" s="47"/>
      <c r="M96" s="47"/>
      <c r="N96" s="47"/>
      <c r="O96" s="47"/>
      <c r="P96" s="47"/>
      <c r="Q96" s="47"/>
      <c r="R96" s="47"/>
      <c r="S96" s="47"/>
      <c r="T96" s="47"/>
      <c r="U96" s="49" t="str">
        <f ca="1">IF(COUNTIF(OFFSET($E96,0,1):OFFSET(U96,0,-1),"=*")&gt;0,IF($C96="К","-"," - "),IF(COUNTIF(OFFSET($E96,0,1):OFFSET(U96,0,-1),"&lt;4")&gt;0,IF(C96="К","-"," - "),(IFERROR(AVERAGE(OFFSET($E96,0,1):OFFSET(U96,0,-1)),"Очікую"))))</f>
        <v>Очікую</v>
      </c>
      <c r="V96" s="49" t="str">
        <f t="shared" ca="1" si="1"/>
        <v>Очікую</v>
      </c>
      <c r="W96" s="36"/>
      <c r="X96" s="42"/>
    </row>
    <row r="97" spans="1:24" s="12" customFormat="1" ht="15" customHeight="1" x14ac:dyDescent="0.25">
      <c r="A97" s="43"/>
      <c r="B97" s="34"/>
      <c r="C97" s="47"/>
      <c r="D97" s="47">
        <v>88</v>
      </c>
      <c r="E97" s="48"/>
      <c r="F97" s="47"/>
      <c r="G97" s="47"/>
      <c r="H97" s="47"/>
      <c r="I97" s="47"/>
      <c r="J97" s="47"/>
      <c r="K97" s="47"/>
      <c r="L97" s="47"/>
      <c r="M97" s="47"/>
      <c r="N97" s="47"/>
      <c r="O97" s="47"/>
      <c r="P97" s="47"/>
      <c r="Q97" s="47"/>
      <c r="R97" s="47"/>
      <c r="S97" s="47"/>
      <c r="T97" s="47"/>
      <c r="U97" s="49" t="str">
        <f ca="1">IF(COUNTIF(OFFSET($E97,0,1):OFFSET(U97,0,-1),"=*")&gt;0,IF($C97="К","-"," - "),IF(COUNTIF(OFFSET($E97,0,1):OFFSET(U97,0,-1),"&lt;4")&gt;0,IF(C97="К","-"," - "),(IFERROR(AVERAGE(OFFSET($E97,0,1):OFFSET(U97,0,-1)),"Очікую"))))</f>
        <v>Очікую</v>
      </c>
      <c r="V97" s="49" t="str">
        <f t="shared" ca="1" si="1"/>
        <v>Очікую</v>
      </c>
      <c r="W97" s="36"/>
      <c r="X97" s="42"/>
    </row>
    <row r="98" spans="1:24" s="12" customFormat="1" ht="15" customHeight="1" x14ac:dyDescent="0.25">
      <c r="A98" s="43"/>
      <c r="B98" s="34"/>
      <c r="C98" s="47"/>
      <c r="D98" s="47">
        <v>89</v>
      </c>
      <c r="E98" s="48"/>
      <c r="F98" s="47"/>
      <c r="G98" s="47"/>
      <c r="H98" s="47"/>
      <c r="I98" s="47"/>
      <c r="J98" s="47"/>
      <c r="K98" s="47"/>
      <c r="L98" s="47"/>
      <c r="M98" s="47"/>
      <c r="N98" s="47"/>
      <c r="O98" s="47"/>
      <c r="P98" s="47"/>
      <c r="Q98" s="47"/>
      <c r="R98" s="47"/>
      <c r="S98" s="47"/>
      <c r="T98" s="47"/>
      <c r="U98" s="49" t="str">
        <f ca="1">IF(COUNTIF(OFFSET($E98,0,1):OFFSET(U98,0,-1),"=*")&gt;0,IF($C98="К","-"," - "),IF(COUNTIF(OFFSET($E98,0,1):OFFSET(U98,0,-1),"&lt;4")&gt;0,IF(C98="К","-"," - "),(IFERROR(AVERAGE(OFFSET($E98,0,1):OFFSET(U98,0,-1)),"Очікую"))))</f>
        <v>Очікую</v>
      </c>
      <c r="V98" s="49" t="str">
        <f t="shared" ca="1" si="1"/>
        <v>Очікую</v>
      </c>
      <c r="W98" s="36"/>
      <c r="X98" s="42"/>
    </row>
    <row r="99" spans="1:24" s="12" customFormat="1" ht="15" customHeight="1" x14ac:dyDescent="0.25">
      <c r="A99" s="43"/>
      <c r="B99" s="34"/>
      <c r="C99" s="47"/>
      <c r="D99" s="47">
        <v>90</v>
      </c>
      <c r="E99" s="48"/>
      <c r="F99" s="47"/>
      <c r="G99" s="47"/>
      <c r="H99" s="47"/>
      <c r="I99" s="47"/>
      <c r="J99" s="47"/>
      <c r="K99" s="47"/>
      <c r="L99" s="47"/>
      <c r="M99" s="47"/>
      <c r="N99" s="47"/>
      <c r="O99" s="47"/>
      <c r="P99" s="47"/>
      <c r="Q99" s="47"/>
      <c r="R99" s="47"/>
      <c r="S99" s="47"/>
      <c r="T99" s="47"/>
      <c r="U99" s="49" t="str">
        <f ca="1">IF(COUNTIF(OFFSET($E99,0,1):OFFSET(U99,0,-1),"=*")&gt;0,IF($C99="К","-"," - "),IF(COUNTIF(OFFSET($E99,0,1):OFFSET(U99,0,-1),"&lt;4")&gt;0,IF(C99="К","-"," - "),(IFERROR(AVERAGE(OFFSET($E99,0,1):OFFSET(U99,0,-1)),"Очікую"))))</f>
        <v>Очікую</v>
      </c>
      <c r="V99" s="49" t="str">
        <f t="shared" ca="1" si="1"/>
        <v>Очікую</v>
      </c>
      <c r="W99" s="36"/>
      <c r="X99" s="42"/>
    </row>
    <row r="100" spans="1:24" s="12" customFormat="1" ht="15" customHeight="1" x14ac:dyDescent="0.25">
      <c r="A100" s="43"/>
      <c r="B100" s="34"/>
      <c r="C100" s="47"/>
      <c r="D100" s="47">
        <v>91</v>
      </c>
      <c r="E100" s="48"/>
      <c r="F100" s="47"/>
      <c r="G100" s="47"/>
      <c r="H100" s="47"/>
      <c r="I100" s="47"/>
      <c r="J100" s="47"/>
      <c r="K100" s="47"/>
      <c r="L100" s="47"/>
      <c r="M100" s="47"/>
      <c r="N100" s="47"/>
      <c r="O100" s="47"/>
      <c r="P100" s="47"/>
      <c r="Q100" s="47"/>
      <c r="R100" s="47"/>
      <c r="S100" s="47"/>
      <c r="T100" s="47"/>
      <c r="U100" s="49" t="str">
        <f ca="1">IF(COUNTIF(OFFSET($E100,0,1):OFFSET(U100,0,-1),"=*")&gt;0,IF($C100="К","-"," - "),IF(COUNTIF(OFFSET($E100,0,1):OFFSET(U100,0,-1),"&lt;4")&gt;0,IF(C100="К","-"," - "),(IFERROR(AVERAGE(OFFSET($E100,0,1):OFFSET(U100,0,-1)),"Очікую"))))</f>
        <v>Очікую</v>
      </c>
      <c r="V100" s="49" t="str">
        <f t="shared" ca="1" si="1"/>
        <v>Очікую</v>
      </c>
      <c r="W100" s="36"/>
      <c r="X100" s="42"/>
    </row>
    <row r="101" spans="1:24" s="12" customFormat="1" ht="15" customHeight="1" x14ac:dyDescent="0.25">
      <c r="A101" s="43"/>
      <c r="B101" s="34"/>
      <c r="C101" s="47"/>
      <c r="D101" s="47">
        <v>92</v>
      </c>
      <c r="E101" s="48"/>
      <c r="F101" s="47"/>
      <c r="G101" s="47"/>
      <c r="H101" s="47"/>
      <c r="I101" s="47"/>
      <c r="J101" s="47"/>
      <c r="K101" s="47"/>
      <c r="L101" s="47"/>
      <c r="M101" s="47"/>
      <c r="N101" s="47"/>
      <c r="O101" s="47"/>
      <c r="P101" s="47"/>
      <c r="Q101" s="47"/>
      <c r="R101" s="47"/>
      <c r="S101" s="47"/>
      <c r="T101" s="47"/>
      <c r="U101" s="49" t="str">
        <f ca="1">IF(COUNTIF(OFFSET($E101,0,1):OFFSET(U101,0,-1),"=*")&gt;0,IF($C101="К","-"," - "),IF(COUNTIF(OFFSET($E101,0,1):OFFSET(U101,0,-1),"&lt;4")&gt;0,IF(C101="К","-"," - "),(IFERROR(AVERAGE(OFFSET($E101,0,1):OFFSET(U101,0,-1)),"Очікую"))))</f>
        <v>Очікую</v>
      </c>
      <c r="V101" s="49" t="str">
        <f t="shared" ca="1" si="1"/>
        <v>Очікую</v>
      </c>
      <c r="W101" s="36"/>
      <c r="X101" s="42"/>
    </row>
    <row r="102" spans="1:24" s="12" customFormat="1" ht="15" customHeight="1" x14ac:dyDescent="0.25">
      <c r="A102" s="43"/>
      <c r="B102" s="34"/>
      <c r="C102" s="47"/>
      <c r="D102" s="47">
        <v>93</v>
      </c>
      <c r="E102" s="48"/>
      <c r="F102" s="47"/>
      <c r="G102" s="47"/>
      <c r="H102" s="47"/>
      <c r="I102" s="47"/>
      <c r="J102" s="47"/>
      <c r="K102" s="47"/>
      <c r="L102" s="47"/>
      <c r="M102" s="47"/>
      <c r="N102" s="47"/>
      <c r="O102" s="47"/>
      <c r="P102" s="47"/>
      <c r="Q102" s="47"/>
      <c r="R102" s="47"/>
      <c r="S102" s="47"/>
      <c r="T102" s="47"/>
      <c r="U102" s="49" t="str">
        <f ca="1">IF(COUNTIF(OFFSET($E102,0,1):OFFSET(U102,0,-1),"=*")&gt;0,IF($C102="К","-"," - "),IF(COUNTIF(OFFSET($E102,0,1):OFFSET(U102,0,-1),"&lt;4")&gt;0,IF(C102="К","-"," - "),(IFERROR(AVERAGE(OFFSET($E102,0,1):OFFSET(U102,0,-1)),"Очікую"))))</f>
        <v>Очікую</v>
      </c>
      <c r="V102" s="49" t="str">
        <f t="shared" ca="1" si="1"/>
        <v>Очікую</v>
      </c>
      <c r="W102" s="36"/>
      <c r="X102" s="42"/>
    </row>
    <row r="103" spans="1:24" s="12" customFormat="1" ht="15" customHeight="1" x14ac:dyDescent="0.25">
      <c r="A103" s="43"/>
      <c r="B103" s="34"/>
      <c r="C103" s="47"/>
      <c r="D103" s="47">
        <v>94</v>
      </c>
      <c r="E103" s="48"/>
      <c r="F103" s="47"/>
      <c r="G103" s="47"/>
      <c r="H103" s="47"/>
      <c r="I103" s="47"/>
      <c r="J103" s="47"/>
      <c r="K103" s="47"/>
      <c r="L103" s="47"/>
      <c r="M103" s="47"/>
      <c r="N103" s="47"/>
      <c r="O103" s="47"/>
      <c r="P103" s="47"/>
      <c r="Q103" s="47"/>
      <c r="R103" s="47"/>
      <c r="S103" s="47"/>
      <c r="T103" s="47"/>
      <c r="U103" s="49" t="str">
        <f ca="1">IF(COUNTIF(OFFSET($E103,0,1):OFFSET(U103,0,-1),"=*")&gt;0,IF($C103="К","-"," - "),IF(COUNTIF(OFFSET($E103,0,1):OFFSET(U103,0,-1),"&lt;4")&gt;0,IF(C103="К","-"," - "),(IFERROR(AVERAGE(OFFSET($E103,0,1):OFFSET(U103,0,-1)),"Очікую"))))</f>
        <v>Очікую</v>
      </c>
      <c r="V103" s="49" t="str">
        <f t="shared" ca="1" si="1"/>
        <v>Очікую</v>
      </c>
      <c r="W103" s="36"/>
      <c r="X103" s="42"/>
    </row>
    <row r="104" spans="1:24" s="12" customFormat="1" ht="15" customHeight="1" x14ac:dyDescent="0.25">
      <c r="A104" s="43"/>
      <c r="B104" s="34"/>
      <c r="C104" s="47"/>
      <c r="D104" s="47">
        <v>95</v>
      </c>
      <c r="E104" s="48"/>
      <c r="F104" s="47"/>
      <c r="G104" s="47"/>
      <c r="H104" s="47"/>
      <c r="I104" s="47"/>
      <c r="J104" s="47"/>
      <c r="K104" s="47"/>
      <c r="L104" s="47"/>
      <c r="M104" s="47"/>
      <c r="N104" s="47"/>
      <c r="O104" s="47"/>
      <c r="P104" s="47"/>
      <c r="Q104" s="47"/>
      <c r="R104" s="47"/>
      <c r="S104" s="47"/>
      <c r="T104" s="47"/>
      <c r="U104" s="49" t="str">
        <f ca="1">IF(COUNTIF(OFFSET($E104,0,1):OFFSET(U104,0,-1),"=*")&gt;0,IF($C104="К","-"," - "),IF(COUNTIF(OFFSET($E104,0,1):OFFSET(U104,0,-1),"&lt;4")&gt;0,IF(C104="К","-"," - "),(IFERROR(AVERAGE(OFFSET($E104,0,1):OFFSET(U104,0,-1)),"Очікую"))))</f>
        <v>Очікую</v>
      </c>
      <c r="V104" s="49" t="str">
        <f t="shared" ca="1" si="1"/>
        <v>Очікую</v>
      </c>
      <c r="W104" s="36"/>
      <c r="X104" s="42"/>
    </row>
    <row r="105" spans="1:24" s="12" customFormat="1" ht="15" customHeight="1" x14ac:dyDescent="0.25">
      <c r="A105" s="43"/>
      <c r="B105" s="34"/>
      <c r="C105" s="47"/>
      <c r="D105" s="47">
        <v>96</v>
      </c>
      <c r="E105" s="48"/>
      <c r="F105" s="47"/>
      <c r="G105" s="47"/>
      <c r="H105" s="47"/>
      <c r="I105" s="47"/>
      <c r="J105" s="47"/>
      <c r="K105" s="47"/>
      <c r="L105" s="47"/>
      <c r="M105" s="47"/>
      <c r="N105" s="47"/>
      <c r="O105" s="47"/>
      <c r="P105" s="47"/>
      <c r="Q105" s="47"/>
      <c r="R105" s="47"/>
      <c r="S105" s="47"/>
      <c r="T105" s="47"/>
      <c r="U105" s="49" t="str">
        <f ca="1">IF(COUNTIF(OFFSET($E105,0,1):OFFSET(U105,0,-1),"=*")&gt;0,IF($C105="К","-"," - "),IF(COUNTIF(OFFSET($E105,0,1):OFFSET(U105,0,-1),"&lt;4")&gt;0,IF(C105="К","-"," - "),(IFERROR(AVERAGE(OFFSET($E105,0,1):OFFSET(U105,0,-1)),"Очікую"))))</f>
        <v>Очікую</v>
      </c>
      <c r="V105" s="49" t="str">
        <f t="shared" ca="1" si="1"/>
        <v>Очікую</v>
      </c>
      <c r="W105" s="36"/>
      <c r="X105" s="42"/>
    </row>
    <row r="106" spans="1:24" s="12" customFormat="1" ht="15" customHeight="1" x14ac:dyDescent="0.25">
      <c r="A106" s="43"/>
      <c r="B106" s="34"/>
      <c r="C106" s="47"/>
      <c r="D106" s="47">
        <v>97</v>
      </c>
      <c r="E106" s="48"/>
      <c r="F106" s="47"/>
      <c r="G106" s="47"/>
      <c r="H106" s="47"/>
      <c r="I106" s="47"/>
      <c r="J106" s="47"/>
      <c r="K106" s="47"/>
      <c r="L106" s="47"/>
      <c r="M106" s="47"/>
      <c r="N106" s="47"/>
      <c r="O106" s="47"/>
      <c r="P106" s="47"/>
      <c r="Q106" s="47"/>
      <c r="R106" s="47"/>
      <c r="S106" s="47"/>
      <c r="T106" s="47"/>
      <c r="U106" s="49" t="str">
        <f ca="1">IF(COUNTIF(OFFSET($E106,0,1):OFFSET(U106,0,-1),"=*")&gt;0,IF($C106="К","-"," - "),IF(COUNTIF(OFFSET($E106,0,1):OFFSET(U106,0,-1),"&lt;4")&gt;0,IF(C106="К","-"," - "),(IFERROR(AVERAGE(OFFSET($E106,0,1):OFFSET(U106,0,-1)),"Очікую"))))</f>
        <v>Очікую</v>
      </c>
      <c r="V106" s="49" t="str">
        <f t="shared" ca="1" si="1"/>
        <v>Очікую</v>
      </c>
      <c r="W106" s="36"/>
      <c r="X106" s="42"/>
    </row>
    <row r="107" spans="1:24" s="12" customFormat="1" ht="15" customHeight="1" x14ac:dyDescent="0.25">
      <c r="A107" s="43"/>
      <c r="B107" s="34"/>
      <c r="C107" s="47"/>
      <c r="D107" s="47">
        <v>98</v>
      </c>
      <c r="E107" s="48"/>
      <c r="F107" s="47"/>
      <c r="G107" s="47"/>
      <c r="H107" s="47"/>
      <c r="I107" s="47"/>
      <c r="J107" s="47"/>
      <c r="K107" s="47"/>
      <c r="L107" s="47"/>
      <c r="M107" s="47"/>
      <c r="N107" s="47"/>
      <c r="O107" s="47"/>
      <c r="P107" s="47"/>
      <c r="Q107" s="47"/>
      <c r="R107" s="47"/>
      <c r="S107" s="47"/>
      <c r="T107" s="47"/>
      <c r="U107" s="49" t="str">
        <f ca="1">IF(COUNTIF(OFFSET($E107,0,1):OFFSET(U107,0,-1),"=*")&gt;0,IF($C107="К","-"," - "),IF(COUNTIF(OFFSET($E107,0,1):OFFSET(U107,0,-1),"&lt;4")&gt;0,IF(C107="К","-"," - "),(IFERROR(AVERAGE(OFFSET($E107,0,1):OFFSET(U107,0,-1)),"Очікую"))))</f>
        <v>Очікую</v>
      </c>
      <c r="V107" s="49" t="str">
        <f t="shared" ca="1" si="1"/>
        <v>Очікую</v>
      </c>
      <c r="W107" s="36"/>
      <c r="X107" s="42"/>
    </row>
    <row r="108" spans="1:24" s="12" customFormat="1" ht="15" customHeight="1" x14ac:dyDescent="0.25">
      <c r="A108" s="43"/>
      <c r="B108" s="34"/>
      <c r="C108" s="47"/>
      <c r="D108" s="47">
        <v>99</v>
      </c>
      <c r="E108" s="48"/>
      <c r="F108" s="47"/>
      <c r="G108" s="47"/>
      <c r="H108" s="47"/>
      <c r="I108" s="47"/>
      <c r="J108" s="47"/>
      <c r="K108" s="47"/>
      <c r="L108" s="47"/>
      <c r="M108" s="47"/>
      <c r="N108" s="47"/>
      <c r="O108" s="47"/>
      <c r="P108" s="47"/>
      <c r="Q108" s="47"/>
      <c r="R108" s="47"/>
      <c r="S108" s="47"/>
      <c r="T108" s="47"/>
      <c r="U108" s="49" t="str">
        <f ca="1">IF(COUNTIF(OFFSET($E108,0,1):OFFSET(U108,0,-1),"=*")&gt;0,IF($C108="К","-"," - "),IF(COUNTIF(OFFSET($E108,0,1):OFFSET(U108,0,-1),"&lt;4")&gt;0,IF(C108="К","-"," - "),(IFERROR(AVERAGE(OFFSET($E108,0,1):OFFSET(U108,0,-1)),"Очікую"))))</f>
        <v>Очікую</v>
      </c>
      <c r="V108" s="49" t="str">
        <f t="shared" ca="1" si="1"/>
        <v>Очікую</v>
      </c>
      <c r="W108" s="36"/>
      <c r="X108" s="42"/>
    </row>
    <row r="109" spans="1:24" s="12" customFormat="1" ht="15" customHeight="1" x14ac:dyDescent="0.25">
      <c r="A109" s="43"/>
      <c r="B109" s="34"/>
      <c r="C109" s="47"/>
      <c r="D109" s="47">
        <v>100</v>
      </c>
      <c r="E109" s="48"/>
      <c r="F109" s="47"/>
      <c r="G109" s="47"/>
      <c r="H109" s="47"/>
      <c r="I109" s="47"/>
      <c r="J109" s="47"/>
      <c r="K109" s="47"/>
      <c r="L109" s="47"/>
      <c r="M109" s="47"/>
      <c r="N109" s="47"/>
      <c r="O109" s="47"/>
      <c r="P109" s="47"/>
      <c r="Q109" s="47"/>
      <c r="R109" s="47"/>
      <c r="S109" s="47"/>
      <c r="T109" s="47"/>
      <c r="U109" s="49" t="str">
        <f ca="1">IF(COUNTIF(OFFSET($E109,0,1):OFFSET(U109,0,-1),"=*")&gt;0,IF($C109="К","-"," - "),IF(COUNTIF(OFFSET($E109,0,1):OFFSET(U109,0,-1),"&lt;4")&gt;0,IF(C109="К","-"," - "),(IFERROR(AVERAGE(OFFSET($E109,0,1):OFFSET(U109,0,-1)),"Очікую"))))</f>
        <v>Очікую</v>
      </c>
      <c r="V109" s="49" t="str">
        <f t="shared" ca="1" si="1"/>
        <v>Очікую</v>
      </c>
      <c r="W109" s="36"/>
      <c r="X109" s="42"/>
    </row>
    <row r="110" spans="1:24" ht="15" customHeight="1" x14ac:dyDescent="0.25">
      <c r="A110" s="43"/>
      <c r="B110" s="34"/>
      <c r="C110" s="27"/>
      <c r="D110" s="27"/>
      <c r="E110" s="28" t="s">
        <v>9</v>
      </c>
      <c r="F110" s="5" t="str">
        <f ca="1">З8!F115</f>
        <v>Очікую</v>
      </c>
      <c r="G110" s="27"/>
      <c r="H110" s="29"/>
      <c r="I110" s="27"/>
      <c r="J110" s="27"/>
      <c r="K110" s="27"/>
      <c r="L110" s="27"/>
      <c r="M110" s="27"/>
      <c r="N110" s="27"/>
      <c r="O110" s="27"/>
      <c r="P110" s="30"/>
      <c r="Q110" s="29"/>
      <c r="R110" s="27"/>
      <c r="S110" s="27"/>
      <c r="T110" s="27"/>
      <c r="U110" s="27"/>
      <c r="V110" s="27"/>
      <c r="W110" s="35"/>
      <c r="X110" s="42"/>
    </row>
    <row r="111" spans="1:24" ht="15" customHeight="1" x14ac:dyDescent="0.25">
      <c r="A111" s="43"/>
      <c r="B111" s="34"/>
      <c r="C111" s="27"/>
      <c r="D111" s="27"/>
      <c r="E111" s="28" t="s">
        <v>10</v>
      </c>
      <c r="F111" s="5" t="str">
        <f ca="1">З8!F116</f>
        <v>Очікую</v>
      </c>
      <c r="G111" s="27"/>
      <c r="H111" s="78" t="s">
        <v>11</v>
      </c>
      <c r="I111" s="78"/>
      <c r="J111" s="78"/>
      <c r="K111" s="78"/>
      <c r="L111" s="78"/>
      <c r="M111" s="7"/>
      <c r="N111" s="7"/>
      <c r="O111" s="7"/>
      <c r="P111" s="79" t="s">
        <v>81</v>
      </c>
      <c r="Q111" s="79"/>
      <c r="R111" s="79"/>
      <c r="S111" s="79"/>
      <c r="T111" s="79"/>
      <c r="U111" s="79"/>
      <c r="V111" s="27"/>
      <c r="W111" s="35"/>
      <c r="X111" s="42"/>
    </row>
    <row r="112" spans="1:24" ht="15" customHeight="1" x14ac:dyDescent="0.25">
      <c r="A112" s="43"/>
      <c r="B112" s="34"/>
      <c r="C112" s="27"/>
      <c r="D112" s="27"/>
      <c r="E112" s="28" t="s">
        <v>12</v>
      </c>
      <c r="F112" s="5">
        <f>З8!F117</f>
        <v>0</v>
      </c>
      <c r="G112" s="27"/>
      <c r="H112" s="11"/>
      <c r="I112" s="7"/>
      <c r="J112" s="7"/>
      <c r="K112" s="7"/>
      <c r="L112" s="7"/>
      <c r="M112" s="7"/>
      <c r="N112" s="7"/>
      <c r="O112" s="7"/>
      <c r="P112" s="11"/>
      <c r="Q112" s="11"/>
      <c r="R112" s="7"/>
      <c r="S112" s="7"/>
      <c r="T112" s="7"/>
      <c r="U112" s="7"/>
      <c r="V112" s="27"/>
      <c r="W112" s="35"/>
      <c r="X112" s="42"/>
    </row>
    <row r="113" spans="1:24" ht="15" customHeight="1" x14ac:dyDescent="0.25">
      <c r="A113" s="43"/>
      <c r="B113" s="34"/>
      <c r="C113" s="27"/>
      <c r="D113" s="27"/>
      <c r="E113" s="28" t="s">
        <v>13</v>
      </c>
      <c r="F113" s="5" t="str">
        <f ca="1">З8!F118</f>
        <v>Очікую</v>
      </c>
      <c r="G113" s="27"/>
      <c r="H113" s="79" t="s">
        <v>14</v>
      </c>
      <c r="I113" s="79"/>
      <c r="J113" s="79"/>
      <c r="K113" s="79"/>
      <c r="L113" s="79"/>
      <c r="M113" s="7"/>
      <c r="N113" s="7"/>
      <c r="O113" s="7"/>
      <c r="P113" s="79" t="s">
        <v>15</v>
      </c>
      <c r="Q113" s="79"/>
      <c r="R113" s="79"/>
      <c r="S113" s="79"/>
      <c r="T113" s="79"/>
      <c r="U113" s="79"/>
      <c r="V113" s="27"/>
      <c r="W113" s="35"/>
      <c r="X113" s="42"/>
    </row>
    <row r="114" spans="1:24" ht="12" customHeight="1" thickBot="1" x14ac:dyDescent="0.3">
      <c r="A114" s="43"/>
      <c r="B114" s="37"/>
      <c r="C114" s="38"/>
      <c r="D114" s="38"/>
      <c r="E114" s="38"/>
      <c r="F114" s="38"/>
      <c r="G114" s="38"/>
      <c r="H114" s="38"/>
      <c r="I114" s="38"/>
      <c r="J114" s="38"/>
      <c r="K114" s="38"/>
      <c r="L114" s="38"/>
      <c r="M114" s="38"/>
      <c r="N114" s="38"/>
      <c r="O114" s="38"/>
      <c r="P114" s="38"/>
      <c r="Q114" s="38"/>
      <c r="R114" s="38"/>
      <c r="S114" s="38"/>
      <c r="T114" s="38"/>
      <c r="U114" s="38"/>
      <c r="V114" s="38"/>
      <c r="W114" s="39"/>
      <c r="X114" s="42"/>
    </row>
    <row r="115" spans="1:24" ht="12" customHeight="1" x14ac:dyDescent="0.25">
      <c r="A115" s="41"/>
      <c r="B115" s="17"/>
      <c r="C115" s="17"/>
      <c r="D115" s="17"/>
      <c r="E115" s="17"/>
      <c r="F115" s="17"/>
      <c r="G115" s="17"/>
      <c r="H115" s="17"/>
      <c r="I115" s="17"/>
      <c r="J115" s="17"/>
      <c r="K115" s="17"/>
      <c r="L115" s="17"/>
      <c r="M115" s="17"/>
      <c r="N115" s="17"/>
      <c r="O115" s="17"/>
      <c r="P115" s="17"/>
      <c r="Q115" s="17"/>
      <c r="R115" s="17"/>
      <c r="S115" s="17"/>
      <c r="T115" s="17"/>
      <c r="U115" s="17"/>
      <c r="V115" s="17"/>
      <c r="W115" s="17"/>
      <c r="X115" s="42"/>
    </row>
    <row r="116" spans="1:24" ht="0" hidden="1" customHeight="1" x14ac:dyDescent="0.25">
      <c r="A116" s="44"/>
      <c r="X116" s="44"/>
    </row>
    <row r="117" spans="1:24" ht="0" hidden="1" customHeight="1" x14ac:dyDescent="0.25">
      <c r="A117" s="44"/>
      <c r="X117" s="44"/>
    </row>
    <row r="118" spans="1:24" ht="0" hidden="1" customHeight="1" x14ac:dyDescent="0.25">
      <c r="A118" s="44"/>
      <c r="X118" s="44"/>
    </row>
    <row r="119" spans="1:24" ht="0" hidden="1" customHeight="1" x14ac:dyDescent="0.25">
      <c r="A119" s="44"/>
      <c r="X119" s="44"/>
    </row>
    <row r="120" spans="1:24" ht="0" hidden="1"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row>
  </sheetData>
  <sheetProtection insertRows="0" deleteRows="0"/>
  <mergeCells count="13">
    <mergeCell ref="H111:L111"/>
    <mergeCell ref="P111:U111"/>
    <mergeCell ref="H113:L113"/>
    <mergeCell ref="P113:U113"/>
    <mergeCell ref="C8:C9"/>
    <mergeCell ref="D8:D9"/>
    <mergeCell ref="E8:E9"/>
    <mergeCell ref="F8:V8"/>
    <mergeCell ref="C3:V3"/>
    <mergeCell ref="C4:V4"/>
    <mergeCell ref="C5:V5"/>
    <mergeCell ref="C6:V6"/>
    <mergeCell ref="C7:V7"/>
  </mergeCells>
  <printOptions horizontalCentered="1"/>
  <pageMargins left="0.19685039370078741" right="0.19685039370078741" top="0.19685039370078741" bottom="0.19685039370078741" header="0" footer="0"/>
  <pageSetup paperSize="9" scale="32"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26B0A"/>
    <pageSetUpPr fitToPage="1"/>
  </sheetPr>
  <dimension ref="A1:BI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2" width="11.28515625" style="1" customWidth="1"/>
    <col min="23" max="24" width="2.7109375" style="1" customWidth="1"/>
    <col min="25" max="30" width="14.42578125" style="1" hidden="1" customWidth="1"/>
    <col min="31" max="31" width="14.85546875" style="1" hidden="1" customWidth="1"/>
    <col min="32" max="45" width="3.7109375" style="1" hidden="1" customWidth="1"/>
    <col min="46" max="61" width="5.7109375" style="1" hidden="1" customWidth="1"/>
    <col min="62" max="16384" width="14.42578125" style="1" hidden="1"/>
  </cols>
  <sheetData>
    <row r="1" spans="1:24" ht="12" customHeight="1" thickBot="1" x14ac:dyDescent="0.3">
      <c r="A1" s="40" t="s">
        <v>18</v>
      </c>
      <c r="B1" s="41"/>
      <c r="C1" s="41"/>
      <c r="D1" s="41"/>
      <c r="E1" s="41"/>
      <c r="F1" s="41"/>
      <c r="G1" s="41"/>
      <c r="H1" s="41"/>
      <c r="I1" s="41"/>
      <c r="J1" s="41"/>
      <c r="K1" s="41"/>
      <c r="L1" s="41"/>
      <c r="M1" s="41"/>
      <c r="N1" s="41"/>
      <c r="O1" s="41"/>
      <c r="P1" s="41"/>
      <c r="Q1" s="41"/>
      <c r="R1" s="41"/>
      <c r="S1" s="41"/>
      <c r="T1" s="41"/>
      <c r="U1" s="41"/>
      <c r="V1" s="41"/>
      <c r="W1" s="41"/>
      <c r="X1" s="41"/>
    </row>
    <row r="2" spans="1:24" ht="12" customHeight="1" x14ac:dyDescent="0.25">
      <c r="A2" s="43"/>
      <c r="B2" s="31"/>
      <c r="C2" s="32"/>
      <c r="D2" s="32"/>
      <c r="E2" s="32"/>
      <c r="F2" s="32"/>
      <c r="G2" s="32"/>
      <c r="H2" s="32"/>
      <c r="I2" s="32"/>
      <c r="J2" s="32"/>
      <c r="K2" s="32"/>
      <c r="L2" s="32"/>
      <c r="M2" s="32"/>
      <c r="N2" s="32"/>
      <c r="O2" s="32"/>
      <c r="P2" s="32"/>
      <c r="Q2" s="32"/>
      <c r="R2" s="32"/>
      <c r="S2" s="32"/>
      <c r="T2" s="32"/>
      <c r="U2" s="32"/>
      <c r="V2" s="32"/>
      <c r="W2" s="33"/>
      <c r="X2" s="42"/>
    </row>
    <row r="3" spans="1:24" s="2" customFormat="1" ht="54.95" customHeight="1" x14ac:dyDescent="0.3">
      <c r="A3" s="43"/>
      <c r="B3" s="34"/>
      <c r="C3" s="74" t="s">
        <v>19</v>
      </c>
      <c r="D3" s="74"/>
      <c r="E3" s="74"/>
      <c r="F3" s="74"/>
      <c r="G3" s="74"/>
      <c r="H3" s="74"/>
      <c r="I3" s="74"/>
      <c r="J3" s="74"/>
      <c r="K3" s="74"/>
      <c r="L3" s="74"/>
      <c r="M3" s="74"/>
      <c r="N3" s="74"/>
      <c r="O3" s="74"/>
      <c r="P3" s="74"/>
      <c r="Q3" s="74"/>
      <c r="R3" s="74"/>
      <c r="S3" s="74"/>
      <c r="T3" s="74"/>
      <c r="U3" s="74"/>
      <c r="V3" s="74"/>
      <c r="W3" s="35"/>
      <c r="X3" s="42"/>
    </row>
    <row r="4" spans="1:24" s="3" customFormat="1" ht="15" customHeight="1" x14ac:dyDescent="0.25">
      <c r="A4" s="43"/>
      <c r="B4" s="34"/>
      <c r="C4" s="75" t="s">
        <v>38</v>
      </c>
      <c r="D4" s="75"/>
      <c r="E4" s="75"/>
      <c r="F4" s="75"/>
      <c r="G4" s="75"/>
      <c r="H4" s="75"/>
      <c r="I4" s="75"/>
      <c r="J4" s="75"/>
      <c r="K4" s="75"/>
      <c r="L4" s="75"/>
      <c r="M4" s="75"/>
      <c r="N4" s="75"/>
      <c r="O4" s="75"/>
      <c r="P4" s="75"/>
      <c r="Q4" s="75"/>
      <c r="R4" s="75"/>
      <c r="S4" s="75"/>
      <c r="T4" s="75"/>
      <c r="U4" s="75"/>
      <c r="V4" s="75"/>
      <c r="W4" s="35"/>
      <c r="X4" s="42"/>
    </row>
    <row r="5" spans="1:24" s="2" customFormat="1" ht="15" customHeight="1" x14ac:dyDescent="0.25">
      <c r="A5" s="43"/>
      <c r="B5" s="34"/>
      <c r="C5" s="76" t="s">
        <v>35</v>
      </c>
      <c r="D5" s="76"/>
      <c r="E5" s="76"/>
      <c r="F5" s="76"/>
      <c r="G5" s="76"/>
      <c r="H5" s="76"/>
      <c r="I5" s="76"/>
      <c r="J5" s="76"/>
      <c r="K5" s="76"/>
      <c r="L5" s="76"/>
      <c r="M5" s="76"/>
      <c r="N5" s="76"/>
      <c r="O5" s="76"/>
      <c r="P5" s="76"/>
      <c r="Q5" s="76"/>
      <c r="R5" s="76"/>
      <c r="S5" s="76"/>
      <c r="T5" s="76"/>
      <c r="U5" s="76"/>
      <c r="V5" s="76"/>
      <c r="W5" s="35"/>
      <c r="X5" s="42"/>
    </row>
    <row r="6" spans="1:24" s="2" customFormat="1" ht="15" customHeight="1" x14ac:dyDescent="0.25">
      <c r="A6" s="43"/>
      <c r="B6" s="34"/>
      <c r="C6" s="76" t="s">
        <v>37</v>
      </c>
      <c r="D6" s="76"/>
      <c r="E6" s="76"/>
      <c r="F6" s="76"/>
      <c r="G6" s="76"/>
      <c r="H6" s="76"/>
      <c r="I6" s="76"/>
      <c r="J6" s="76"/>
      <c r="K6" s="76"/>
      <c r="L6" s="76"/>
      <c r="M6" s="76"/>
      <c r="N6" s="76"/>
      <c r="O6" s="76"/>
      <c r="P6" s="76"/>
      <c r="Q6" s="76"/>
      <c r="R6" s="76"/>
      <c r="S6" s="76"/>
      <c r="T6" s="76"/>
      <c r="U6" s="76"/>
      <c r="V6" s="76"/>
      <c r="W6" s="35"/>
      <c r="X6" s="42"/>
    </row>
    <row r="7" spans="1:24" s="2" customFormat="1" ht="15" customHeight="1" x14ac:dyDescent="0.25">
      <c r="A7" s="43"/>
      <c r="B7" s="34"/>
      <c r="C7" s="77" t="s">
        <v>36</v>
      </c>
      <c r="D7" s="77"/>
      <c r="E7" s="77"/>
      <c r="F7" s="77"/>
      <c r="G7" s="77"/>
      <c r="H7" s="77"/>
      <c r="I7" s="77"/>
      <c r="J7" s="77"/>
      <c r="K7" s="77"/>
      <c r="L7" s="77"/>
      <c r="M7" s="77"/>
      <c r="N7" s="77"/>
      <c r="O7" s="77"/>
      <c r="P7" s="77"/>
      <c r="Q7" s="77"/>
      <c r="R7" s="77"/>
      <c r="S7" s="77"/>
      <c r="T7" s="77"/>
      <c r="U7" s="77"/>
      <c r="V7" s="77"/>
      <c r="W7" s="35"/>
      <c r="X7" s="42"/>
    </row>
    <row r="8" spans="1:24" ht="15" customHeight="1" x14ac:dyDescent="0.25">
      <c r="A8" s="43"/>
      <c r="B8" s="34"/>
      <c r="C8" s="80" t="s">
        <v>0</v>
      </c>
      <c r="D8" s="82" t="s">
        <v>1</v>
      </c>
      <c r="E8" s="82" t="s">
        <v>2</v>
      </c>
      <c r="F8" s="81" t="s">
        <v>17</v>
      </c>
      <c r="G8" s="81"/>
      <c r="H8" s="81"/>
      <c r="I8" s="81"/>
      <c r="J8" s="81"/>
      <c r="K8" s="81"/>
      <c r="L8" s="81"/>
      <c r="M8" s="81"/>
      <c r="N8" s="81"/>
      <c r="O8" s="81"/>
      <c r="P8" s="81"/>
      <c r="Q8" s="81"/>
      <c r="R8" s="81"/>
      <c r="S8" s="81"/>
      <c r="T8" s="81"/>
      <c r="U8" s="81"/>
      <c r="V8" s="81"/>
      <c r="W8" s="35"/>
      <c r="X8" s="42"/>
    </row>
    <row r="9" spans="1:24" ht="125.1" customHeight="1" x14ac:dyDescent="0.25">
      <c r="A9" s="43"/>
      <c r="B9" s="34"/>
      <c r="C9" s="81"/>
      <c r="D9" s="81"/>
      <c r="E9" s="81"/>
      <c r="F9" s="25" t="s">
        <v>20</v>
      </c>
      <c r="G9" s="25" t="s">
        <v>21</v>
      </c>
      <c r="H9" s="25" t="s">
        <v>22</v>
      </c>
      <c r="I9" s="25" t="s">
        <v>23</v>
      </c>
      <c r="J9" s="25" t="s">
        <v>24</v>
      </c>
      <c r="K9" s="25" t="s">
        <v>25</v>
      </c>
      <c r="L9" s="25" t="s">
        <v>26</v>
      </c>
      <c r="M9" s="25" t="s">
        <v>27</v>
      </c>
      <c r="N9" s="25" t="s">
        <v>28</v>
      </c>
      <c r="O9" s="25" t="s">
        <v>29</v>
      </c>
      <c r="P9" s="25" t="s">
        <v>30</v>
      </c>
      <c r="Q9" s="25" t="s">
        <v>31</v>
      </c>
      <c r="R9" s="25" t="s">
        <v>32</v>
      </c>
      <c r="S9" s="25" t="s">
        <v>33</v>
      </c>
      <c r="T9" s="25" t="s">
        <v>34</v>
      </c>
      <c r="U9" s="26" t="s">
        <v>3</v>
      </c>
      <c r="V9" s="26" t="s">
        <v>39</v>
      </c>
      <c r="W9" s="35"/>
      <c r="X9" s="42"/>
    </row>
    <row r="10" spans="1:24" s="12" customFormat="1" ht="15" customHeight="1" x14ac:dyDescent="0.25">
      <c r="A10" s="43"/>
      <c r="B10" s="34"/>
      <c r="C10" s="47"/>
      <c r="D10" s="47">
        <v>1</v>
      </c>
      <c r="E10" s="48"/>
      <c r="F10" s="47"/>
      <c r="G10" s="47"/>
      <c r="H10" s="47"/>
      <c r="I10" s="47"/>
      <c r="J10" s="47"/>
      <c r="K10" s="47"/>
      <c r="L10" s="47"/>
      <c r="M10" s="47"/>
      <c r="N10" s="47"/>
      <c r="O10" s="47"/>
      <c r="P10" s="47"/>
      <c r="Q10" s="47"/>
      <c r="R10" s="47"/>
      <c r="S10" s="47"/>
      <c r="T10" s="47"/>
      <c r="U10" s="49" t="str">
        <f ca="1">IF(COUNTIF(OFFSET($E10,0,1):OFFSET(U10,0,-1),"=*")&gt;0,IF($C10="К","-"," - "),IF(COUNTIF(OFFSET($E10,0,1):OFFSET(U10,0,-1),"&lt;4")&gt;0,IF(C10="К","-"," - "),(IFERROR(AVERAGE(OFFSET($E10,0,1):OFFSET(U10,0,-1)),"Очікую"))))</f>
        <v>Очікую</v>
      </c>
      <c r="V10" s="49" t="str">
        <f ca="1">IFERROR(U10/12*90,"Очікую")</f>
        <v>Очікую</v>
      </c>
      <c r="W10" s="36"/>
      <c r="X10" s="42"/>
    </row>
    <row r="11" spans="1:24" s="12" customFormat="1" ht="15" customHeight="1" x14ac:dyDescent="0.25">
      <c r="A11" s="43"/>
      <c r="B11" s="34"/>
      <c r="C11" s="47"/>
      <c r="D11" s="47">
        <v>2</v>
      </c>
      <c r="E11" s="48"/>
      <c r="F11" s="47"/>
      <c r="G11" s="47"/>
      <c r="H11" s="47"/>
      <c r="I11" s="47"/>
      <c r="J11" s="47"/>
      <c r="K11" s="47"/>
      <c r="L11" s="47"/>
      <c r="M11" s="47"/>
      <c r="N11" s="47"/>
      <c r="O11" s="47"/>
      <c r="P11" s="47"/>
      <c r="Q11" s="47"/>
      <c r="R11" s="47"/>
      <c r="S11" s="47"/>
      <c r="T11" s="47"/>
      <c r="U11" s="49" t="str">
        <f ca="1">IF(COUNTIF(OFFSET($E11,0,1):OFFSET(U11,0,-1),"=*")&gt;0,IF($C11="К","-"," - "),IF(COUNTIF(OFFSET($E11,0,1):OFFSET(U11,0,-1),"&lt;4")&gt;0,IF(C11="К","-"," - "),(IFERROR(AVERAGE(OFFSET($E11,0,1):OFFSET(U11,0,-1)),"Очікую"))))</f>
        <v>Очікую</v>
      </c>
      <c r="V11" s="49" t="str">
        <f t="shared" ref="V11:V74" ca="1" si="0">IFERROR(U11/12*90,"Очікую")</f>
        <v>Очікую</v>
      </c>
      <c r="W11" s="36"/>
      <c r="X11" s="42"/>
    </row>
    <row r="12" spans="1:24" s="12" customFormat="1" ht="15" customHeight="1" x14ac:dyDescent="0.25">
      <c r="A12" s="43"/>
      <c r="B12" s="34"/>
      <c r="C12" s="47"/>
      <c r="D12" s="47">
        <v>3</v>
      </c>
      <c r="E12" s="48"/>
      <c r="F12" s="47"/>
      <c r="G12" s="47"/>
      <c r="H12" s="47"/>
      <c r="I12" s="47"/>
      <c r="J12" s="47"/>
      <c r="K12" s="47"/>
      <c r="L12" s="47"/>
      <c r="M12" s="47"/>
      <c r="N12" s="47"/>
      <c r="O12" s="47"/>
      <c r="P12" s="47"/>
      <c r="Q12" s="47"/>
      <c r="R12" s="47"/>
      <c r="S12" s="47"/>
      <c r="T12" s="47"/>
      <c r="U12" s="49" t="str">
        <f ca="1">IF(COUNTIF(OFFSET($E12,0,1):OFFSET(U12,0,-1),"=*")&gt;0,IF($C12="К","-"," - "),IF(COUNTIF(OFFSET($E12,0,1):OFFSET(U12,0,-1),"&lt;4")&gt;0,IF(C12="К","-"," - "),(IFERROR(AVERAGE(OFFSET($E12,0,1):OFFSET(U12,0,-1)),"Очікую"))))</f>
        <v>Очікую</v>
      </c>
      <c r="V12" s="49" t="str">
        <f t="shared" ca="1" si="0"/>
        <v>Очікую</v>
      </c>
      <c r="W12" s="36"/>
      <c r="X12" s="42"/>
    </row>
    <row r="13" spans="1:24" s="12" customFormat="1" ht="15" customHeight="1" x14ac:dyDescent="0.25">
      <c r="A13" s="43"/>
      <c r="B13" s="34"/>
      <c r="C13" s="47"/>
      <c r="D13" s="47">
        <v>4</v>
      </c>
      <c r="E13" s="48"/>
      <c r="F13" s="47"/>
      <c r="G13" s="47"/>
      <c r="H13" s="47"/>
      <c r="I13" s="47"/>
      <c r="J13" s="47"/>
      <c r="K13" s="47"/>
      <c r="L13" s="47"/>
      <c r="M13" s="47"/>
      <c r="N13" s="47"/>
      <c r="O13" s="47"/>
      <c r="P13" s="47"/>
      <c r="Q13" s="47"/>
      <c r="R13" s="47"/>
      <c r="S13" s="47"/>
      <c r="T13" s="47"/>
      <c r="U13" s="49" t="str">
        <f ca="1">IF(COUNTIF(OFFSET($E13,0,1):OFFSET(U13,0,-1),"=*")&gt;0,IF($C13="К","-"," - "),IF(COUNTIF(OFFSET($E13,0,1):OFFSET(U13,0,-1),"&lt;4")&gt;0,IF(C13="К","-"," - "),(IFERROR(AVERAGE(OFFSET($E13,0,1):OFFSET(U13,0,-1)),"Очікую"))))</f>
        <v>Очікую</v>
      </c>
      <c r="V13" s="49" t="str">
        <f t="shared" ca="1" si="0"/>
        <v>Очікую</v>
      </c>
      <c r="W13" s="36"/>
      <c r="X13" s="42"/>
    </row>
    <row r="14" spans="1:24" s="12" customFormat="1" ht="15" customHeight="1" x14ac:dyDescent="0.25">
      <c r="A14" s="43"/>
      <c r="B14" s="34"/>
      <c r="C14" s="47"/>
      <c r="D14" s="47">
        <v>5</v>
      </c>
      <c r="E14" s="48"/>
      <c r="F14" s="47"/>
      <c r="G14" s="47"/>
      <c r="H14" s="47"/>
      <c r="I14" s="47"/>
      <c r="J14" s="47"/>
      <c r="K14" s="47"/>
      <c r="L14" s="47"/>
      <c r="M14" s="47"/>
      <c r="N14" s="47"/>
      <c r="O14" s="47"/>
      <c r="P14" s="47"/>
      <c r="Q14" s="47"/>
      <c r="R14" s="47"/>
      <c r="S14" s="47"/>
      <c r="T14" s="47"/>
      <c r="U14" s="49" t="str">
        <f ca="1">IF(COUNTIF(OFFSET($E14,0,1):OFFSET(U14,0,-1),"=*")&gt;0,IF($C14="К","-"," - "),IF(COUNTIF(OFFSET($E14,0,1):OFFSET(U14,0,-1),"&lt;4")&gt;0,IF(C14="К","-"," - "),(IFERROR(AVERAGE(OFFSET($E14,0,1):OFFSET(U14,0,-1)),"Очікую"))))</f>
        <v>Очікую</v>
      </c>
      <c r="V14" s="49" t="str">
        <f t="shared" ca="1" si="0"/>
        <v>Очікую</v>
      </c>
      <c r="W14" s="36"/>
      <c r="X14" s="42"/>
    </row>
    <row r="15" spans="1:24" s="12" customFormat="1" ht="15" customHeight="1" x14ac:dyDescent="0.25">
      <c r="A15" s="43"/>
      <c r="B15" s="34"/>
      <c r="C15" s="47"/>
      <c r="D15" s="47">
        <v>6</v>
      </c>
      <c r="E15" s="48"/>
      <c r="F15" s="47"/>
      <c r="G15" s="47"/>
      <c r="H15" s="47"/>
      <c r="I15" s="47"/>
      <c r="J15" s="47"/>
      <c r="K15" s="47"/>
      <c r="L15" s="47"/>
      <c r="M15" s="47"/>
      <c r="N15" s="47"/>
      <c r="O15" s="47"/>
      <c r="P15" s="47"/>
      <c r="Q15" s="47"/>
      <c r="R15" s="47"/>
      <c r="S15" s="47"/>
      <c r="T15" s="47"/>
      <c r="U15" s="49" t="str">
        <f ca="1">IF(COUNTIF(OFFSET($E15,0,1):OFFSET(U15,0,-1),"=*")&gt;0,IF($C15="К","-"," - "),IF(COUNTIF(OFFSET($E15,0,1):OFFSET(U15,0,-1),"&lt;4")&gt;0,IF(C15="К","-"," - "),(IFERROR(AVERAGE(OFFSET($E15,0,1):OFFSET(U15,0,-1)),"Очікую"))))</f>
        <v>Очікую</v>
      </c>
      <c r="V15" s="49" t="str">
        <f t="shared" ca="1" si="0"/>
        <v>Очікую</v>
      </c>
      <c r="W15" s="36"/>
      <c r="X15" s="42"/>
    </row>
    <row r="16" spans="1:24" s="12" customFormat="1" ht="15" customHeight="1" x14ac:dyDescent="0.25">
      <c r="A16" s="43"/>
      <c r="B16" s="34"/>
      <c r="C16" s="47"/>
      <c r="D16" s="47">
        <v>7</v>
      </c>
      <c r="E16" s="48"/>
      <c r="F16" s="47"/>
      <c r="G16" s="47"/>
      <c r="H16" s="47"/>
      <c r="I16" s="47"/>
      <c r="J16" s="47"/>
      <c r="K16" s="47"/>
      <c r="L16" s="47"/>
      <c r="M16" s="47"/>
      <c r="N16" s="47"/>
      <c r="O16" s="47"/>
      <c r="P16" s="47"/>
      <c r="Q16" s="47"/>
      <c r="R16" s="47"/>
      <c r="S16" s="47"/>
      <c r="T16" s="47"/>
      <c r="U16" s="49" t="str">
        <f ca="1">IF(COUNTIF(OFFSET($E16,0,1):OFFSET(U16,0,-1),"=*")&gt;0,IF($C16="К","-"," - "),IF(COUNTIF(OFFSET($E16,0,1):OFFSET(U16,0,-1),"&lt;4")&gt;0,IF(C16="К","-"," - "),(IFERROR(AVERAGE(OFFSET($E16,0,1):OFFSET(U16,0,-1)),"Очікую"))))</f>
        <v>Очікую</v>
      </c>
      <c r="V16" s="49" t="str">
        <f t="shared" ca="1" si="0"/>
        <v>Очікую</v>
      </c>
      <c r="W16" s="36"/>
      <c r="X16" s="42"/>
    </row>
    <row r="17" spans="1:24" s="12" customFormat="1" ht="15" customHeight="1" x14ac:dyDescent="0.25">
      <c r="A17" s="43"/>
      <c r="B17" s="34"/>
      <c r="C17" s="47"/>
      <c r="D17" s="47">
        <v>8</v>
      </c>
      <c r="E17" s="48"/>
      <c r="F17" s="47"/>
      <c r="G17" s="47"/>
      <c r="H17" s="47"/>
      <c r="I17" s="47"/>
      <c r="J17" s="47"/>
      <c r="K17" s="47"/>
      <c r="L17" s="47"/>
      <c r="M17" s="47"/>
      <c r="N17" s="47"/>
      <c r="O17" s="47"/>
      <c r="P17" s="47"/>
      <c r="Q17" s="47"/>
      <c r="R17" s="47"/>
      <c r="S17" s="47"/>
      <c r="T17" s="47"/>
      <c r="U17" s="49" t="str">
        <f ca="1">IF(COUNTIF(OFFSET($E17,0,1):OFFSET(U17,0,-1),"=*")&gt;0,IF($C17="К","-"," - "),IF(COUNTIF(OFFSET($E17,0,1):OFFSET(U17,0,-1),"&lt;4")&gt;0,IF(C17="К","-"," - "),(IFERROR(AVERAGE(OFFSET($E17,0,1):OFFSET(U17,0,-1)),"Очікую"))))</f>
        <v>Очікую</v>
      </c>
      <c r="V17" s="49" t="str">
        <f t="shared" ca="1" si="0"/>
        <v>Очікую</v>
      </c>
      <c r="W17" s="36"/>
      <c r="X17" s="42"/>
    </row>
    <row r="18" spans="1:24" s="12" customFormat="1" ht="15" customHeight="1" x14ac:dyDescent="0.25">
      <c r="A18" s="43"/>
      <c r="B18" s="34"/>
      <c r="C18" s="47"/>
      <c r="D18" s="47">
        <v>9</v>
      </c>
      <c r="E18" s="48"/>
      <c r="F18" s="47"/>
      <c r="G18" s="47"/>
      <c r="H18" s="47"/>
      <c r="I18" s="47"/>
      <c r="J18" s="47"/>
      <c r="K18" s="47"/>
      <c r="L18" s="47"/>
      <c r="M18" s="47"/>
      <c r="N18" s="47"/>
      <c r="O18" s="47"/>
      <c r="P18" s="47"/>
      <c r="Q18" s="47"/>
      <c r="R18" s="47"/>
      <c r="S18" s="47"/>
      <c r="T18" s="47"/>
      <c r="U18" s="49" t="str">
        <f ca="1">IF(COUNTIF(OFFSET($E18,0,1):OFFSET(U18,0,-1),"=*")&gt;0,IF($C18="К","-"," - "),IF(COUNTIF(OFFSET($E18,0,1):OFFSET(U18,0,-1),"&lt;4")&gt;0,IF(C18="К","-"," - "),(IFERROR(AVERAGE(OFFSET($E18,0,1):OFFSET(U18,0,-1)),"Очікую"))))</f>
        <v>Очікую</v>
      </c>
      <c r="V18" s="49" t="str">
        <f t="shared" ca="1" si="0"/>
        <v>Очікую</v>
      </c>
      <c r="W18" s="36"/>
      <c r="X18" s="42"/>
    </row>
    <row r="19" spans="1:24" s="12" customFormat="1" ht="15" customHeight="1" x14ac:dyDescent="0.25">
      <c r="A19" s="43"/>
      <c r="B19" s="34"/>
      <c r="C19" s="47"/>
      <c r="D19" s="47">
        <v>10</v>
      </c>
      <c r="E19" s="48"/>
      <c r="F19" s="47"/>
      <c r="G19" s="47"/>
      <c r="H19" s="47"/>
      <c r="I19" s="47"/>
      <c r="J19" s="47"/>
      <c r="K19" s="47"/>
      <c r="L19" s="47"/>
      <c r="M19" s="47"/>
      <c r="N19" s="47"/>
      <c r="O19" s="47"/>
      <c r="P19" s="47"/>
      <c r="Q19" s="47"/>
      <c r="R19" s="47"/>
      <c r="S19" s="47"/>
      <c r="T19" s="47"/>
      <c r="U19" s="49" t="str">
        <f ca="1">IF(COUNTIF(OFFSET($E19,0,1):OFFSET(U19,0,-1),"=*")&gt;0,IF($C19="К","-"," - "),IF(COUNTIF(OFFSET($E19,0,1):OFFSET(U19,0,-1),"&lt;4")&gt;0,IF(C19="К","-"," - "),(IFERROR(AVERAGE(OFFSET($E19,0,1):OFFSET(U19,0,-1)),"Очікую"))))</f>
        <v>Очікую</v>
      </c>
      <c r="V19" s="49" t="str">
        <f t="shared" ca="1" si="0"/>
        <v>Очікую</v>
      </c>
      <c r="W19" s="36"/>
      <c r="X19" s="42"/>
    </row>
    <row r="20" spans="1:24" s="12" customFormat="1" ht="15" customHeight="1" x14ac:dyDescent="0.25">
      <c r="A20" s="43"/>
      <c r="B20" s="34"/>
      <c r="C20" s="47"/>
      <c r="D20" s="47">
        <v>11</v>
      </c>
      <c r="E20" s="48"/>
      <c r="F20" s="47"/>
      <c r="G20" s="47"/>
      <c r="H20" s="47"/>
      <c r="I20" s="47"/>
      <c r="J20" s="47"/>
      <c r="K20" s="47"/>
      <c r="L20" s="47"/>
      <c r="M20" s="47"/>
      <c r="N20" s="47"/>
      <c r="O20" s="47"/>
      <c r="P20" s="47"/>
      <c r="Q20" s="47"/>
      <c r="R20" s="47"/>
      <c r="S20" s="47"/>
      <c r="T20" s="47"/>
      <c r="U20" s="49" t="str">
        <f ca="1">IF(COUNTIF(OFFSET($E20,0,1):OFFSET(U20,0,-1),"=*")&gt;0,IF($C20="К","-"," - "),IF(COUNTIF(OFFSET($E20,0,1):OFFSET(U20,0,-1),"&lt;4")&gt;0,IF(C20="К","-"," - "),(IFERROR(AVERAGE(OFFSET($E20,0,1):OFFSET(U20,0,-1)),"Очікую"))))</f>
        <v>Очікую</v>
      </c>
      <c r="V20" s="49" t="str">
        <f t="shared" ca="1" si="0"/>
        <v>Очікую</v>
      </c>
      <c r="W20" s="36"/>
      <c r="X20" s="42"/>
    </row>
    <row r="21" spans="1:24" s="12" customFormat="1" ht="15" customHeight="1" x14ac:dyDescent="0.25">
      <c r="A21" s="43"/>
      <c r="B21" s="34"/>
      <c r="C21" s="47"/>
      <c r="D21" s="47">
        <v>12</v>
      </c>
      <c r="E21" s="48"/>
      <c r="F21" s="47"/>
      <c r="G21" s="47"/>
      <c r="H21" s="47"/>
      <c r="I21" s="47"/>
      <c r="J21" s="47"/>
      <c r="K21" s="47"/>
      <c r="L21" s="47"/>
      <c r="M21" s="47"/>
      <c r="N21" s="47"/>
      <c r="O21" s="47"/>
      <c r="P21" s="47"/>
      <c r="Q21" s="47"/>
      <c r="R21" s="47"/>
      <c r="S21" s="47"/>
      <c r="T21" s="47"/>
      <c r="U21" s="49" t="str">
        <f ca="1">IF(COUNTIF(OFFSET($E21,0,1):OFFSET(U21,0,-1),"=*")&gt;0,IF($C21="К","-"," - "),IF(COUNTIF(OFFSET($E21,0,1):OFFSET(U21,0,-1),"&lt;4")&gt;0,IF(C21="К","-"," - "),(IFERROR(AVERAGE(OFFSET($E21,0,1):OFFSET(U21,0,-1)),"Очікую"))))</f>
        <v>Очікую</v>
      </c>
      <c r="V21" s="49" t="str">
        <f t="shared" ca="1" si="0"/>
        <v>Очікую</v>
      </c>
      <c r="W21" s="36"/>
      <c r="X21" s="42"/>
    </row>
    <row r="22" spans="1:24" s="12" customFormat="1" ht="15" customHeight="1" x14ac:dyDescent="0.25">
      <c r="A22" s="43"/>
      <c r="B22" s="34"/>
      <c r="C22" s="47"/>
      <c r="D22" s="47">
        <v>13</v>
      </c>
      <c r="E22" s="48"/>
      <c r="F22" s="47"/>
      <c r="G22" s="47"/>
      <c r="H22" s="47"/>
      <c r="I22" s="47"/>
      <c r="J22" s="47"/>
      <c r="K22" s="47"/>
      <c r="L22" s="47"/>
      <c r="M22" s="47"/>
      <c r="N22" s="47"/>
      <c r="O22" s="47"/>
      <c r="P22" s="47"/>
      <c r="Q22" s="47"/>
      <c r="R22" s="47"/>
      <c r="S22" s="47"/>
      <c r="T22" s="47"/>
      <c r="U22" s="49" t="str">
        <f ca="1">IF(COUNTIF(OFFSET($E22,0,1):OFFSET(U22,0,-1),"=*")&gt;0,IF($C22="К","-"," - "),IF(COUNTIF(OFFSET($E22,0,1):OFFSET(U22,0,-1),"&lt;4")&gt;0,IF(C22="К","-"," - "),(IFERROR(AVERAGE(OFFSET($E22,0,1):OFFSET(U22,0,-1)),"Очікую"))))</f>
        <v>Очікую</v>
      </c>
      <c r="V22" s="49" t="str">
        <f t="shared" ca="1" si="0"/>
        <v>Очікую</v>
      </c>
      <c r="W22" s="36"/>
      <c r="X22" s="42"/>
    </row>
    <row r="23" spans="1:24" s="12" customFormat="1" ht="15" customHeight="1" x14ac:dyDescent="0.25">
      <c r="A23" s="43"/>
      <c r="B23" s="34"/>
      <c r="C23" s="47"/>
      <c r="D23" s="47">
        <v>14</v>
      </c>
      <c r="E23" s="48"/>
      <c r="F23" s="47"/>
      <c r="G23" s="47"/>
      <c r="H23" s="47"/>
      <c r="I23" s="47"/>
      <c r="J23" s="47"/>
      <c r="K23" s="47"/>
      <c r="L23" s="47"/>
      <c r="M23" s="47"/>
      <c r="N23" s="47"/>
      <c r="O23" s="47"/>
      <c r="P23" s="47"/>
      <c r="Q23" s="47"/>
      <c r="R23" s="47"/>
      <c r="S23" s="47"/>
      <c r="T23" s="47"/>
      <c r="U23" s="49" t="str">
        <f ca="1">IF(COUNTIF(OFFSET($E23,0,1):OFFSET(U23,0,-1),"=*")&gt;0,IF($C23="К","-"," - "),IF(COUNTIF(OFFSET($E23,0,1):OFFSET(U23,0,-1),"&lt;4")&gt;0,IF(C23="К","-"," - "),(IFERROR(AVERAGE(OFFSET($E23,0,1):OFFSET(U23,0,-1)),"Очікую"))))</f>
        <v>Очікую</v>
      </c>
      <c r="V23" s="49" t="str">
        <f t="shared" ca="1" si="0"/>
        <v>Очікую</v>
      </c>
      <c r="W23" s="36"/>
      <c r="X23" s="42"/>
    </row>
    <row r="24" spans="1:24" s="12" customFormat="1" ht="15" customHeight="1" x14ac:dyDescent="0.25">
      <c r="A24" s="43"/>
      <c r="B24" s="34"/>
      <c r="C24" s="47"/>
      <c r="D24" s="47">
        <v>15</v>
      </c>
      <c r="E24" s="48"/>
      <c r="F24" s="47"/>
      <c r="G24" s="47"/>
      <c r="H24" s="47"/>
      <c r="I24" s="47"/>
      <c r="J24" s="47"/>
      <c r="K24" s="47"/>
      <c r="L24" s="47"/>
      <c r="M24" s="47"/>
      <c r="N24" s="47"/>
      <c r="O24" s="47"/>
      <c r="P24" s="47"/>
      <c r="Q24" s="47"/>
      <c r="R24" s="47"/>
      <c r="S24" s="47"/>
      <c r="T24" s="47"/>
      <c r="U24" s="49" t="str">
        <f ca="1">IF(COUNTIF(OFFSET($E24,0,1):OFFSET(U24,0,-1),"=*")&gt;0,IF($C24="К","-"," - "),IF(COUNTIF(OFFSET($E24,0,1):OFFSET(U24,0,-1),"&lt;4")&gt;0,IF(C24="К","-"," - "),(IFERROR(AVERAGE(OFFSET($E24,0,1):OFFSET(U24,0,-1)),"Очікую"))))</f>
        <v>Очікую</v>
      </c>
      <c r="V24" s="49" t="str">
        <f t="shared" ca="1" si="0"/>
        <v>Очікую</v>
      </c>
      <c r="W24" s="36"/>
      <c r="X24" s="42"/>
    </row>
    <row r="25" spans="1:24" s="12" customFormat="1" ht="15" customHeight="1" x14ac:dyDescent="0.25">
      <c r="A25" s="43"/>
      <c r="B25" s="34"/>
      <c r="C25" s="47"/>
      <c r="D25" s="47">
        <v>16</v>
      </c>
      <c r="E25" s="48"/>
      <c r="F25" s="47"/>
      <c r="G25" s="47"/>
      <c r="H25" s="47"/>
      <c r="I25" s="47"/>
      <c r="J25" s="47"/>
      <c r="K25" s="47"/>
      <c r="L25" s="47"/>
      <c r="M25" s="47"/>
      <c r="N25" s="47"/>
      <c r="O25" s="47"/>
      <c r="P25" s="47"/>
      <c r="Q25" s="47"/>
      <c r="R25" s="47"/>
      <c r="S25" s="47"/>
      <c r="T25" s="47"/>
      <c r="U25" s="49" t="str">
        <f ca="1">IF(COUNTIF(OFFSET($E25,0,1):OFFSET(U25,0,-1),"=*")&gt;0,IF($C25="К","-"," - "),IF(COUNTIF(OFFSET($E25,0,1):OFFSET(U25,0,-1),"&lt;4")&gt;0,IF(C25="К","-"," - "),(IFERROR(AVERAGE(OFFSET($E25,0,1):OFFSET(U25,0,-1)),"Очікую"))))</f>
        <v>Очікую</v>
      </c>
      <c r="V25" s="49" t="str">
        <f t="shared" ca="1" si="0"/>
        <v>Очікую</v>
      </c>
      <c r="W25" s="36"/>
      <c r="X25" s="42"/>
    </row>
    <row r="26" spans="1:24" s="12" customFormat="1" ht="15" customHeight="1" x14ac:dyDescent="0.25">
      <c r="A26" s="43"/>
      <c r="B26" s="34"/>
      <c r="C26" s="47"/>
      <c r="D26" s="47">
        <v>17</v>
      </c>
      <c r="E26" s="48"/>
      <c r="F26" s="47"/>
      <c r="G26" s="47"/>
      <c r="H26" s="47"/>
      <c r="I26" s="47"/>
      <c r="J26" s="47"/>
      <c r="K26" s="47"/>
      <c r="L26" s="47"/>
      <c r="M26" s="47"/>
      <c r="N26" s="47"/>
      <c r="O26" s="47"/>
      <c r="P26" s="47"/>
      <c r="Q26" s="47"/>
      <c r="R26" s="47"/>
      <c r="S26" s="47"/>
      <c r="T26" s="47"/>
      <c r="U26" s="49" t="str">
        <f ca="1">IF(COUNTIF(OFFSET($E26,0,1):OFFSET(U26,0,-1),"=*")&gt;0,IF($C26="К","-"," - "),IF(COUNTIF(OFFSET($E26,0,1):OFFSET(U26,0,-1),"&lt;4")&gt;0,IF(C26="К","-"," - "),(IFERROR(AVERAGE(OFFSET($E26,0,1):OFFSET(U26,0,-1)),"Очікую"))))</f>
        <v>Очікую</v>
      </c>
      <c r="V26" s="49" t="str">
        <f t="shared" ca="1" si="0"/>
        <v>Очікую</v>
      </c>
      <c r="W26" s="36"/>
      <c r="X26" s="42"/>
    </row>
    <row r="27" spans="1:24" s="12" customFormat="1" ht="15" customHeight="1" x14ac:dyDescent="0.25">
      <c r="A27" s="43"/>
      <c r="B27" s="34"/>
      <c r="C27" s="47"/>
      <c r="D27" s="47">
        <v>18</v>
      </c>
      <c r="E27" s="48"/>
      <c r="F27" s="47"/>
      <c r="G27" s="47"/>
      <c r="H27" s="47"/>
      <c r="I27" s="47"/>
      <c r="J27" s="47"/>
      <c r="K27" s="47"/>
      <c r="L27" s="47"/>
      <c r="M27" s="47"/>
      <c r="N27" s="47"/>
      <c r="O27" s="47"/>
      <c r="P27" s="47"/>
      <c r="Q27" s="47"/>
      <c r="R27" s="47"/>
      <c r="S27" s="47"/>
      <c r="T27" s="47"/>
      <c r="U27" s="49" t="str">
        <f ca="1">IF(COUNTIF(OFFSET($E27,0,1):OFFSET(U27,0,-1),"=*")&gt;0,IF($C27="К","-"," - "),IF(COUNTIF(OFFSET($E27,0,1):OFFSET(U27,0,-1),"&lt;4")&gt;0,IF(C27="К","-"," - "),(IFERROR(AVERAGE(OFFSET($E27,0,1):OFFSET(U27,0,-1)),"Очікую"))))</f>
        <v>Очікую</v>
      </c>
      <c r="V27" s="49" t="str">
        <f t="shared" ca="1" si="0"/>
        <v>Очікую</v>
      </c>
      <c r="W27" s="36"/>
      <c r="X27" s="42"/>
    </row>
    <row r="28" spans="1:24" s="12" customFormat="1" ht="15" customHeight="1" x14ac:dyDescent="0.25">
      <c r="A28" s="43"/>
      <c r="B28" s="34"/>
      <c r="C28" s="47"/>
      <c r="D28" s="47">
        <v>19</v>
      </c>
      <c r="E28" s="48"/>
      <c r="F28" s="47"/>
      <c r="G28" s="47"/>
      <c r="H28" s="47"/>
      <c r="I28" s="47"/>
      <c r="J28" s="47"/>
      <c r="K28" s="47"/>
      <c r="L28" s="47"/>
      <c r="M28" s="47"/>
      <c r="N28" s="47"/>
      <c r="O28" s="47"/>
      <c r="P28" s="47"/>
      <c r="Q28" s="47"/>
      <c r="R28" s="47"/>
      <c r="S28" s="47"/>
      <c r="T28" s="47"/>
      <c r="U28" s="49" t="str">
        <f ca="1">IF(COUNTIF(OFFSET($E28,0,1):OFFSET(U28,0,-1),"=*")&gt;0,IF($C28="К","-"," - "),IF(COUNTIF(OFFSET($E28,0,1):OFFSET(U28,0,-1),"&lt;4")&gt;0,IF(C28="К","-"," - "),(IFERROR(AVERAGE(OFFSET($E28,0,1):OFFSET(U28,0,-1)),"Очікую"))))</f>
        <v>Очікую</v>
      </c>
      <c r="V28" s="49" t="str">
        <f t="shared" ca="1" si="0"/>
        <v>Очікую</v>
      </c>
      <c r="W28" s="36"/>
      <c r="X28" s="42"/>
    </row>
    <row r="29" spans="1:24" s="12" customFormat="1" ht="15" customHeight="1" x14ac:dyDescent="0.25">
      <c r="A29" s="43"/>
      <c r="B29" s="34"/>
      <c r="C29" s="47"/>
      <c r="D29" s="47">
        <v>20</v>
      </c>
      <c r="E29" s="48"/>
      <c r="F29" s="47"/>
      <c r="G29" s="47"/>
      <c r="H29" s="47"/>
      <c r="I29" s="47"/>
      <c r="J29" s="47"/>
      <c r="K29" s="47"/>
      <c r="L29" s="47"/>
      <c r="M29" s="47"/>
      <c r="N29" s="47"/>
      <c r="O29" s="47"/>
      <c r="P29" s="47"/>
      <c r="Q29" s="47"/>
      <c r="R29" s="47"/>
      <c r="S29" s="47"/>
      <c r="T29" s="47"/>
      <c r="U29" s="49" t="str">
        <f ca="1">IF(COUNTIF(OFFSET($E29,0,1):OFFSET(U29,0,-1),"=*")&gt;0,IF($C29="К","-"," - "),IF(COUNTIF(OFFSET($E29,0,1):OFFSET(U29,0,-1),"&lt;4")&gt;0,IF(C29="К","-"," - "),(IFERROR(AVERAGE(OFFSET($E29,0,1):OFFSET(U29,0,-1)),"Очікую"))))</f>
        <v>Очікую</v>
      </c>
      <c r="V29" s="49" t="str">
        <f t="shared" ca="1" si="0"/>
        <v>Очікую</v>
      </c>
      <c r="W29" s="36"/>
      <c r="X29" s="42"/>
    </row>
    <row r="30" spans="1:24" s="12" customFormat="1" ht="15" customHeight="1" x14ac:dyDescent="0.25">
      <c r="A30" s="43"/>
      <c r="B30" s="34"/>
      <c r="C30" s="47"/>
      <c r="D30" s="47">
        <v>21</v>
      </c>
      <c r="E30" s="48"/>
      <c r="F30" s="47"/>
      <c r="G30" s="47"/>
      <c r="H30" s="47"/>
      <c r="I30" s="47"/>
      <c r="J30" s="47"/>
      <c r="K30" s="47"/>
      <c r="L30" s="47"/>
      <c r="M30" s="47"/>
      <c r="N30" s="47"/>
      <c r="O30" s="47"/>
      <c r="P30" s="47"/>
      <c r="Q30" s="47"/>
      <c r="R30" s="47"/>
      <c r="S30" s="47"/>
      <c r="T30" s="47"/>
      <c r="U30" s="49" t="str">
        <f ca="1">IF(COUNTIF(OFFSET($E30,0,1):OFFSET(U30,0,-1),"=*")&gt;0,IF($C30="К","-"," - "),IF(COUNTIF(OFFSET($E30,0,1):OFFSET(U30,0,-1),"&lt;4")&gt;0,IF(C30="К","-"," - "),(IFERROR(AVERAGE(OFFSET($E30,0,1):OFFSET(U30,0,-1)),"Очікую"))))</f>
        <v>Очікую</v>
      </c>
      <c r="V30" s="49" t="str">
        <f t="shared" ca="1" si="0"/>
        <v>Очікую</v>
      </c>
      <c r="W30" s="36"/>
      <c r="X30" s="42"/>
    </row>
    <row r="31" spans="1:24" s="12" customFormat="1" ht="15" customHeight="1" x14ac:dyDescent="0.25">
      <c r="A31" s="43"/>
      <c r="B31" s="34"/>
      <c r="C31" s="47"/>
      <c r="D31" s="47">
        <v>22</v>
      </c>
      <c r="E31" s="48"/>
      <c r="F31" s="47"/>
      <c r="G31" s="47"/>
      <c r="H31" s="47"/>
      <c r="I31" s="47"/>
      <c r="J31" s="47"/>
      <c r="K31" s="47"/>
      <c r="L31" s="47"/>
      <c r="M31" s="47"/>
      <c r="N31" s="47"/>
      <c r="O31" s="47"/>
      <c r="P31" s="47"/>
      <c r="Q31" s="47"/>
      <c r="R31" s="47"/>
      <c r="S31" s="47"/>
      <c r="T31" s="47"/>
      <c r="U31" s="49" t="str">
        <f ca="1">IF(COUNTIF(OFFSET($E31,0,1):OFFSET(U31,0,-1),"=*")&gt;0,IF($C31="К","-"," - "),IF(COUNTIF(OFFSET($E31,0,1):OFFSET(U31,0,-1),"&lt;4")&gt;0,IF(C31="К","-"," - "),(IFERROR(AVERAGE(OFFSET($E31,0,1):OFFSET(U31,0,-1)),"Очікую"))))</f>
        <v>Очікую</v>
      </c>
      <c r="V31" s="49" t="str">
        <f t="shared" ca="1" si="0"/>
        <v>Очікую</v>
      </c>
      <c r="W31" s="36"/>
      <c r="X31" s="42"/>
    </row>
    <row r="32" spans="1:24" s="12" customFormat="1" ht="15" customHeight="1" x14ac:dyDescent="0.25">
      <c r="A32" s="43"/>
      <c r="B32" s="34"/>
      <c r="C32" s="47"/>
      <c r="D32" s="47">
        <v>23</v>
      </c>
      <c r="E32" s="48"/>
      <c r="F32" s="47"/>
      <c r="G32" s="47"/>
      <c r="H32" s="47"/>
      <c r="I32" s="47"/>
      <c r="J32" s="47"/>
      <c r="K32" s="47"/>
      <c r="L32" s="47"/>
      <c r="M32" s="47"/>
      <c r="N32" s="47"/>
      <c r="O32" s="47"/>
      <c r="P32" s="47"/>
      <c r="Q32" s="47"/>
      <c r="R32" s="47"/>
      <c r="S32" s="47"/>
      <c r="T32" s="47"/>
      <c r="U32" s="49" t="str">
        <f ca="1">IF(COUNTIF(OFFSET($E32,0,1):OFFSET(U32,0,-1),"=*")&gt;0,IF($C32="К","-"," - "),IF(COUNTIF(OFFSET($E32,0,1):OFFSET(U32,0,-1),"&lt;4")&gt;0,IF(C32="К","-"," - "),(IFERROR(AVERAGE(OFFSET($E32,0,1):OFFSET(U32,0,-1)),"Очікую"))))</f>
        <v>Очікую</v>
      </c>
      <c r="V32" s="49" t="str">
        <f t="shared" ca="1" si="0"/>
        <v>Очікую</v>
      </c>
      <c r="W32" s="36"/>
      <c r="X32" s="42"/>
    </row>
    <row r="33" spans="1:24" s="12" customFormat="1" ht="15" customHeight="1" x14ac:dyDescent="0.25">
      <c r="A33" s="43"/>
      <c r="B33" s="34"/>
      <c r="C33" s="47"/>
      <c r="D33" s="47">
        <v>24</v>
      </c>
      <c r="E33" s="48"/>
      <c r="F33" s="47"/>
      <c r="G33" s="47"/>
      <c r="H33" s="47"/>
      <c r="I33" s="47"/>
      <c r="J33" s="47"/>
      <c r="K33" s="47"/>
      <c r="L33" s="47"/>
      <c r="M33" s="47"/>
      <c r="N33" s="47"/>
      <c r="O33" s="47"/>
      <c r="P33" s="47"/>
      <c r="Q33" s="47"/>
      <c r="R33" s="47"/>
      <c r="S33" s="47"/>
      <c r="T33" s="47"/>
      <c r="U33" s="49" t="str">
        <f ca="1">IF(COUNTIF(OFFSET($E33,0,1):OFFSET(U33,0,-1),"=*")&gt;0,IF($C33="К","-"," - "),IF(COUNTIF(OFFSET($E33,0,1):OFFSET(U33,0,-1),"&lt;4")&gt;0,IF(C33="К","-"," - "),(IFERROR(AVERAGE(OFFSET($E33,0,1):OFFSET(U33,0,-1)),"Очікую"))))</f>
        <v>Очікую</v>
      </c>
      <c r="V33" s="49" t="str">
        <f t="shared" ca="1" si="0"/>
        <v>Очікую</v>
      </c>
      <c r="W33" s="36"/>
      <c r="X33" s="42"/>
    </row>
    <row r="34" spans="1:24" s="12" customFormat="1" ht="15" customHeight="1" x14ac:dyDescent="0.25">
      <c r="A34" s="43"/>
      <c r="B34" s="34"/>
      <c r="C34" s="47"/>
      <c r="D34" s="47">
        <v>25</v>
      </c>
      <c r="E34" s="48"/>
      <c r="F34" s="47"/>
      <c r="G34" s="47"/>
      <c r="H34" s="47"/>
      <c r="I34" s="47"/>
      <c r="J34" s="47"/>
      <c r="K34" s="47"/>
      <c r="L34" s="47"/>
      <c r="M34" s="47"/>
      <c r="N34" s="47"/>
      <c r="O34" s="47"/>
      <c r="P34" s="47"/>
      <c r="Q34" s="47"/>
      <c r="R34" s="47"/>
      <c r="S34" s="47"/>
      <c r="T34" s="47"/>
      <c r="U34" s="49" t="str">
        <f ca="1">IF(COUNTIF(OFFSET($E34,0,1):OFFSET(U34,0,-1),"=*")&gt;0,IF($C34="К","-"," - "),IF(COUNTIF(OFFSET($E34,0,1):OFFSET(U34,0,-1),"&lt;4")&gt;0,IF(C34="К","-"," - "),(IFERROR(AVERAGE(OFFSET($E34,0,1):OFFSET(U34,0,-1)),"Очікую"))))</f>
        <v>Очікую</v>
      </c>
      <c r="V34" s="49" t="str">
        <f t="shared" ca="1" si="0"/>
        <v>Очікую</v>
      </c>
      <c r="W34" s="36"/>
      <c r="X34" s="42"/>
    </row>
    <row r="35" spans="1:24" s="12" customFormat="1" ht="15" customHeight="1" x14ac:dyDescent="0.25">
      <c r="A35" s="43"/>
      <c r="B35" s="34"/>
      <c r="C35" s="47"/>
      <c r="D35" s="47">
        <v>26</v>
      </c>
      <c r="E35" s="48"/>
      <c r="F35" s="47"/>
      <c r="G35" s="47"/>
      <c r="H35" s="47"/>
      <c r="I35" s="47"/>
      <c r="J35" s="47"/>
      <c r="K35" s="47"/>
      <c r="L35" s="47"/>
      <c r="M35" s="47"/>
      <c r="N35" s="47"/>
      <c r="O35" s="47"/>
      <c r="P35" s="47"/>
      <c r="Q35" s="47"/>
      <c r="R35" s="47"/>
      <c r="S35" s="47"/>
      <c r="T35" s="47"/>
      <c r="U35" s="49" t="str">
        <f ca="1">IF(COUNTIF(OFFSET($E35,0,1):OFFSET(U35,0,-1),"=*")&gt;0,IF($C35="К","-"," - "),IF(COUNTIF(OFFSET($E35,0,1):OFFSET(U35,0,-1),"&lt;4")&gt;0,IF(C35="К","-"," - "),(IFERROR(AVERAGE(OFFSET($E35,0,1):OFFSET(U35,0,-1)),"Очікую"))))</f>
        <v>Очікую</v>
      </c>
      <c r="V35" s="49" t="str">
        <f t="shared" ca="1" si="0"/>
        <v>Очікую</v>
      </c>
      <c r="W35" s="36"/>
      <c r="X35" s="42"/>
    </row>
    <row r="36" spans="1:24" s="12" customFormat="1" ht="15" customHeight="1" x14ac:dyDescent="0.25">
      <c r="A36" s="43"/>
      <c r="B36" s="34"/>
      <c r="C36" s="47"/>
      <c r="D36" s="47">
        <v>27</v>
      </c>
      <c r="E36" s="48"/>
      <c r="F36" s="47"/>
      <c r="G36" s="47"/>
      <c r="H36" s="47"/>
      <c r="I36" s="47"/>
      <c r="J36" s="47"/>
      <c r="K36" s="47"/>
      <c r="L36" s="47"/>
      <c r="M36" s="47"/>
      <c r="N36" s="47"/>
      <c r="O36" s="47"/>
      <c r="P36" s="47"/>
      <c r="Q36" s="47"/>
      <c r="R36" s="47"/>
      <c r="S36" s="47"/>
      <c r="T36" s="47"/>
      <c r="U36" s="49" t="str">
        <f ca="1">IF(COUNTIF(OFFSET($E36,0,1):OFFSET(U36,0,-1),"=*")&gt;0,IF($C36="К","-"," - "),IF(COUNTIF(OFFSET($E36,0,1):OFFSET(U36,0,-1),"&lt;4")&gt;0,IF(C36="К","-"," - "),(IFERROR(AVERAGE(OFFSET($E36,0,1):OFFSET(U36,0,-1)),"Очікую"))))</f>
        <v>Очікую</v>
      </c>
      <c r="V36" s="49" t="str">
        <f t="shared" ca="1" si="0"/>
        <v>Очікую</v>
      </c>
      <c r="W36" s="36"/>
      <c r="X36" s="42"/>
    </row>
    <row r="37" spans="1:24" s="12" customFormat="1" ht="15" customHeight="1" x14ac:dyDescent="0.25">
      <c r="A37" s="43"/>
      <c r="B37" s="34"/>
      <c r="C37" s="47"/>
      <c r="D37" s="47">
        <v>28</v>
      </c>
      <c r="E37" s="48"/>
      <c r="F37" s="47"/>
      <c r="G37" s="47"/>
      <c r="H37" s="47"/>
      <c r="I37" s="47"/>
      <c r="J37" s="47"/>
      <c r="K37" s="47"/>
      <c r="L37" s="47"/>
      <c r="M37" s="47"/>
      <c r="N37" s="47"/>
      <c r="O37" s="47"/>
      <c r="P37" s="47"/>
      <c r="Q37" s="47"/>
      <c r="R37" s="47"/>
      <c r="S37" s="47"/>
      <c r="T37" s="47"/>
      <c r="U37" s="49" t="str">
        <f ca="1">IF(COUNTIF(OFFSET($E37,0,1):OFFSET(U37,0,-1),"=*")&gt;0,IF($C37="К","-"," - "),IF(COUNTIF(OFFSET($E37,0,1):OFFSET(U37,0,-1),"&lt;4")&gt;0,IF(C37="К","-"," - "),(IFERROR(AVERAGE(OFFSET($E37,0,1):OFFSET(U37,0,-1)),"Очікую"))))</f>
        <v>Очікую</v>
      </c>
      <c r="V37" s="49" t="str">
        <f t="shared" ca="1" si="0"/>
        <v>Очікую</v>
      </c>
      <c r="W37" s="36"/>
      <c r="X37" s="42"/>
    </row>
    <row r="38" spans="1:24" s="12" customFormat="1" ht="15" customHeight="1" x14ac:dyDescent="0.25">
      <c r="A38" s="43"/>
      <c r="B38" s="34"/>
      <c r="C38" s="47"/>
      <c r="D38" s="47">
        <v>29</v>
      </c>
      <c r="E38" s="48"/>
      <c r="F38" s="47"/>
      <c r="G38" s="47"/>
      <c r="H38" s="47"/>
      <c r="I38" s="47"/>
      <c r="J38" s="47"/>
      <c r="K38" s="47"/>
      <c r="L38" s="47"/>
      <c r="M38" s="47"/>
      <c r="N38" s="47"/>
      <c r="O38" s="47"/>
      <c r="P38" s="47"/>
      <c r="Q38" s="47"/>
      <c r="R38" s="47"/>
      <c r="S38" s="47"/>
      <c r="T38" s="47"/>
      <c r="U38" s="49" t="str">
        <f ca="1">IF(COUNTIF(OFFSET($E38,0,1):OFFSET(U38,0,-1),"=*")&gt;0,IF($C38="К","-"," - "),IF(COUNTIF(OFFSET($E38,0,1):OFFSET(U38,0,-1),"&lt;4")&gt;0,IF(C38="К","-"," - "),(IFERROR(AVERAGE(OFFSET($E38,0,1):OFFSET(U38,0,-1)),"Очікую"))))</f>
        <v>Очікую</v>
      </c>
      <c r="V38" s="49" t="str">
        <f t="shared" ca="1" si="0"/>
        <v>Очікую</v>
      </c>
      <c r="W38" s="36"/>
      <c r="X38" s="42"/>
    </row>
    <row r="39" spans="1:24" s="12" customFormat="1" ht="15" customHeight="1" x14ac:dyDescent="0.25">
      <c r="A39" s="43"/>
      <c r="B39" s="34"/>
      <c r="C39" s="47"/>
      <c r="D39" s="47">
        <v>30</v>
      </c>
      <c r="E39" s="48"/>
      <c r="F39" s="47"/>
      <c r="G39" s="47"/>
      <c r="H39" s="47"/>
      <c r="I39" s="47"/>
      <c r="J39" s="47"/>
      <c r="K39" s="47"/>
      <c r="L39" s="47"/>
      <c r="M39" s="47"/>
      <c r="N39" s="47"/>
      <c r="O39" s="47"/>
      <c r="P39" s="47"/>
      <c r="Q39" s="47"/>
      <c r="R39" s="47"/>
      <c r="S39" s="47"/>
      <c r="T39" s="47"/>
      <c r="U39" s="49" t="str">
        <f ca="1">IF(COUNTIF(OFFSET($E39,0,1):OFFSET(U39,0,-1),"=*")&gt;0,IF($C39="К","-"," - "),IF(COUNTIF(OFFSET($E39,0,1):OFFSET(U39,0,-1),"&lt;4")&gt;0,IF(C39="К","-"," - "),(IFERROR(AVERAGE(OFFSET($E39,0,1):OFFSET(U39,0,-1)),"Очікую"))))</f>
        <v>Очікую</v>
      </c>
      <c r="V39" s="49" t="str">
        <f t="shared" ca="1" si="0"/>
        <v>Очікую</v>
      </c>
      <c r="W39" s="36"/>
      <c r="X39" s="42"/>
    </row>
    <row r="40" spans="1:24" s="12" customFormat="1" ht="15" customHeight="1" x14ac:dyDescent="0.25">
      <c r="A40" s="43"/>
      <c r="B40" s="34"/>
      <c r="C40" s="47"/>
      <c r="D40" s="47">
        <v>31</v>
      </c>
      <c r="E40" s="48"/>
      <c r="F40" s="47"/>
      <c r="G40" s="47"/>
      <c r="H40" s="47"/>
      <c r="I40" s="47"/>
      <c r="J40" s="47"/>
      <c r="K40" s="47"/>
      <c r="L40" s="47"/>
      <c r="M40" s="47"/>
      <c r="N40" s="47"/>
      <c r="O40" s="47"/>
      <c r="P40" s="47"/>
      <c r="Q40" s="47"/>
      <c r="R40" s="47"/>
      <c r="S40" s="47"/>
      <c r="T40" s="47"/>
      <c r="U40" s="49" t="str">
        <f ca="1">IF(COUNTIF(OFFSET($E40,0,1):OFFSET(U40,0,-1),"=*")&gt;0,IF($C40="К","-"," - "),IF(COUNTIF(OFFSET($E40,0,1):OFFSET(U40,0,-1),"&lt;4")&gt;0,IF(C40="К","-"," - "),(IFERROR(AVERAGE(OFFSET($E40,0,1):OFFSET(U40,0,-1)),"Очікую"))))</f>
        <v>Очікую</v>
      </c>
      <c r="V40" s="49" t="str">
        <f t="shared" ca="1" si="0"/>
        <v>Очікую</v>
      </c>
      <c r="W40" s="36"/>
      <c r="X40" s="42"/>
    </row>
    <row r="41" spans="1:24" s="12" customFormat="1" ht="15" customHeight="1" x14ac:dyDescent="0.25">
      <c r="A41" s="43"/>
      <c r="B41" s="34"/>
      <c r="C41" s="47"/>
      <c r="D41" s="47">
        <v>32</v>
      </c>
      <c r="E41" s="48"/>
      <c r="F41" s="47"/>
      <c r="G41" s="47"/>
      <c r="H41" s="47"/>
      <c r="I41" s="47"/>
      <c r="J41" s="47"/>
      <c r="K41" s="47"/>
      <c r="L41" s="47"/>
      <c r="M41" s="47"/>
      <c r="N41" s="47"/>
      <c r="O41" s="47"/>
      <c r="P41" s="47"/>
      <c r="Q41" s="47"/>
      <c r="R41" s="47"/>
      <c r="S41" s="47"/>
      <c r="T41" s="47"/>
      <c r="U41" s="49" t="str">
        <f ca="1">IF(COUNTIF(OFFSET($E41,0,1):OFFSET(U41,0,-1),"=*")&gt;0,IF($C41="К","-"," - "),IF(COUNTIF(OFFSET($E41,0,1):OFFSET(U41,0,-1),"&lt;4")&gt;0,IF(C41="К","-"," - "),(IFERROR(AVERAGE(OFFSET($E41,0,1):OFFSET(U41,0,-1)),"Очікую"))))</f>
        <v>Очікую</v>
      </c>
      <c r="V41" s="49" t="str">
        <f t="shared" ca="1" si="0"/>
        <v>Очікую</v>
      </c>
      <c r="W41" s="36"/>
      <c r="X41" s="42"/>
    </row>
    <row r="42" spans="1:24" s="12" customFormat="1" ht="15" customHeight="1" x14ac:dyDescent="0.25">
      <c r="A42" s="43"/>
      <c r="B42" s="34"/>
      <c r="C42" s="47"/>
      <c r="D42" s="47">
        <v>33</v>
      </c>
      <c r="E42" s="48"/>
      <c r="F42" s="47"/>
      <c r="G42" s="47"/>
      <c r="H42" s="47"/>
      <c r="I42" s="47"/>
      <c r="J42" s="47"/>
      <c r="K42" s="47"/>
      <c r="L42" s="47"/>
      <c r="M42" s="47"/>
      <c r="N42" s="47"/>
      <c r="O42" s="47"/>
      <c r="P42" s="47"/>
      <c r="Q42" s="47"/>
      <c r="R42" s="47"/>
      <c r="S42" s="47"/>
      <c r="T42" s="47"/>
      <c r="U42" s="49" t="str">
        <f ca="1">IF(COUNTIF(OFFSET($E42,0,1):OFFSET(U42,0,-1),"=*")&gt;0,IF($C42="К","-"," - "),IF(COUNTIF(OFFSET($E42,0,1):OFFSET(U42,0,-1),"&lt;4")&gt;0,IF(C42="К","-"," - "),(IFERROR(AVERAGE(OFFSET($E42,0,1):OFFSET(U42,0,-1)),"Очікую"))))</f>
        <v>Очікую</v>
      </c>
      <c r="V42" s="49" t="str">
        <f t="shared" ca="1" si="0"/>
        <v>Очікую</v>
      </c>
      <c r="W42" s="36"/>
      <c r="X42" s="42"/>
    </row>
    <row r="43" spans="1:24" s="12" customFormat="1" ht="15" customHeight="1" x14ac:dyDescent="0.25">
      <c r="A43" s="43"/>
      <c r="B43" s="34"/>
      <c r="C43" s="47"/>
      <c r="D43" s="47">
        <v>34</v>
      </c>
      <c r="E43" s="48"/>
      <c r="F43" s="47"/>
      <c r="G43" s="47"/>
      <c r="H43" s="47"/>
      <c r="I43" s="47"/>
      <c r="J43" s="47"/>
      <c r="K43" s="47"/>
      <c r="L43" s="47"/>
      <c r="M43" s="47"/>
      <c r="N43" s="47"/>
      <c r="O43" s="47"/>
      <c r="P43" s="47"/>
      <c r="Q43" s="47"/>
      <c r="R43" s="47"/>
      <c r="S43" s="47"/>
      <c r="T43" s="47"/>
      <c r="U43" s="49" t="str">
        <f ca="1">IF(COUNTIF(OFFSET($E43,0,1):OFFSET(U43,0,-1),"=*")&gt;0,IF($C43="К","-"," - "),IF(COUNTIF(OFFSET($E43,0,1):OFFSET(U43,0,-1),"&lt;4")&gt;0,IF(C43="К","-"," - "),(IFERROR(AVERAGE(OFFSET($E43,0,1):OFFSET(U43,0,-1)),"Очікую"))))</f>
        <v>Очікую</v>
      </c>
      <c r="V43" s="49" t="str">
        <f t="shared" ca="1" si="0"/>
        <v>Очікую</v>
      </c>
      <c r="W43" s="36"/>
      <c r="X43" s="42"/>
    </row>
    <row r="44" spans="1:24" s="12" customFormat="1" ht="15" customHeight="1" x14ac:dyDescent="0.25">
      <c r="A44" s="43"/>
      <c r="B44" s="34"/>
      <c r="C44" s="47"/>
      <c r="D44" s="47">
        <v>35</v>
      </c>
      <c r="E44" s="48"/>
      <c r="F44" s="47"/>
      <c r="G44" s="47"/>
      <c r="H44" s="47"/>
      <c r="I44" s="47"/>
      <c r="J44" s="47"/>
      <c r="K44" s="47"/>
      <c r="L44" s="47"/>
      <c r="M44" s="47"/>
      <c r="N44" s="47"/>
      <c r="O44" s="47"/>
      <c r="P44" s="47"/>
      <c r="Q44" s="47"/>
      <c r="R44" s="47"/>
      <c r="S44" s="47"/>
      <c r="T44" s="47"/>
      <c r="U44" s="49" t="str">
        <f ca="1">IF(COUNTIF(OFFSET($E44,0,1):OFFSET(U44,0,-1),"=*")&gt;0,IF($C44="К","-"," - "),IF(COUNTIF(OFFSET($E44,0,1):OFFSET(U44,0,-1),"&lt;4")&gt;0,IF(C44="К","-"," - "),(IFERROR(AVERAGE(OFFSET($E44,0,1):OFFSET(U44,0,-1)),"Очікую"))))</f>
        <v>Очікую</v>
      </c>
      <c r="V44" s="49" t="str">
        <f t="shared" ca="1" si="0"/>
        <v>Очікую</v>
      </c>
      <c r="W44" s="36"/>
      <c r="X44" s="42"/>
    </row>
    <row r="45" spans="1:24" s="12" customFormat="1" ht="15" customHeight="1" x14ac:dyDescent="0.25">
      <c r="A45" s="43"/>
      <c r="B45" s="34"/>
      <c r="C45" s="47"/>
      <c r="D45" s="47">
        <v>36</v>
      </c>
      <c r="E45" s="48"/>
      <c r="F45" s="47"/>
      <c r="G45" s="47"/>
      <c r="H45" s="47"/>
      <c r="I45" s="47"/>
      <c r="J45" s="47"/>
      <c r="K45" s="47"/>
      <c r="L45" s="47"/>
      <c r="M45" s="47"/>
      <c r="N45" s="47"/>
      <c r="O45" s="47"/>
      <c r="P45" s="47"/>
      <c r="Q45" s="47"/>
      <c r="R45" s="47"/>
      <c r="S45" s="47"/>
      <c r="T45" s="47"/>
      <c r="U45" s="49" t="str">
        <f ca="1">IF(COUNTIF(OFFSET($E45,0,1):OFFSET(U45,0,-1),"=*")&gt;0,IF($C45="К","-"," - "),IF(COUNTIF(OFFSET($E45,0,1):OFFSET(U45,0,-1),"&lt;4")&gt;0,IF(C45="К","-"," - "),(IFERROR(AVERAGE(OFFSET($E45,0,1):OFFSET(U45,0,-1)),"Очікую"))))</f>
        <v>Очікую</v>
      </c>
      <c r="V45" s="49" t="str">
        <f t="shared" ca="1" si="0"/>
        <v>Очікую</v>
      </c>
      <c r="W45" s="36"/>
      <c r="X45" s="42"/>
    </row>
    <row r="46" spans="1:24" s="12" customFormat="1" ht="15" customHeight="1" x14ac:dyDescent="0.25">
      <c r="A46" s="43"/>
      <c r="B46" s="34"/>
      <c r="C46" s="47"/>
      <c r="D46" s="47">
        <v>37</v>
      </c>
      <c r="E46" s="48"/>
      <c r="F46" s="47"/>
      <c r="G46" s="47"/>
      <c r="H46" s="47"/>
      <c r="I46" s="47"/>
      <c r="J46" s="47"/>
      <c r="K46" s="47"/>
      <c r="L46" s="47"/>
      <c r="M46" s="47"/>
      <c r="N46" s="47"/>
      <c r="O46" s="47"/>
      <c r="P46" s="47"/>
      <c r="Q46" s="47"/>
      <c r="R46" s="47"/>
      <c r="S46" s="47"/>
      <c r="T46" s="47"/>
      <c r="U46" s="49" t="str">
        <f ca="1">IF(COUNTIF(OFFSET($E46,0,1):OFFSET(U46,0,-1),"=*")&gt;0,IF($C46="К","-"," - "),IF(COUNTIF(OFFSET($E46,0,1):OFFSET(U46,0,-1),"&lt;4")&gt;0,IF(C46="К","-"," - "),(IFERROR(AVERAGE(OFFSET($E46,0,1):OFFSET(U46,0,-1)),"Очікую"))))</f>
        <v>Очікую</v>
      </c>
      <c r="V46" s="49" t="str">
        <f t="shared" ca="1" si="0"/>
        <v>Очікую</v>
      </c>
      <c r="W46" s="36"/>
      <c r="X46" s="42"/>
    </row>
    <row r="47" spans="1:24" s="12" customFormat="1" ht="15" customHeight="1" x14ac:dyDescent="0.25">
      <c r="A47" s="43"/>
      <c r="B47" s="34"/>
      <c r="C47" s="47"/>
      <c r="D47" s="47">
        <v>38</v>
      </c>
      <c r="E47" s="48"/>
      <c r="F47" s="47"/>
      <c r="G47" s="47"/>
      <c r="H47" s="47"/>
      <c r="I47" s="47"/>
      <c r="J47" s="47"/>
      <c r="K47" s="47"/>
      <c r="L47" s="47"/>
      <c r="M47" s="47"/>
      <c r="N47" s="47"/>
      <c r="O47" s="47"/>
      <c r="P47" s="47"/>
      <c r="Q47" s="47"/>
      <c r="R47" s="47"/>
      <c r="S47" s="47"/>
      <c r="T47" s="47"/>
      <c r="U47" s="49" t="str">
        <f ca="1">IF(COUNTIF(OFFSET($E47,0,1):OFFSET(U47,0,-1),"=*")&gt;0,IF($C47="К","-"," - "),IF(COUNTIF(OFFSET($E47,0,1):OFFSET(U47,0,-1),"&lt;4")&gt;0,IF(C47="К","-"," - "),(IFERROR(AVERAGE(OFFSET($E47,0,1):OFFSET(U47,0,-1)),"Очікую"))))</f>
        <v>Очікую</v>
      </c>
      <c r="V47" s="49" t="str">
        <f t="shared" ca="1" si="0"/>
        <v>Очікую</v>
      </c>
      <c r="W47" s="36"/>
      <c r="X47" s="42"/>
    </row>
    <row r="48" spans="1:24" s="12" customFormat="1" ht="15" customHeight="1" x14ac:dyDescent="0.25">
      <c r="A48" s="43"/>
      <c r="B48" s="34"/>
      <c r="C48" s="47"/>
      <c r="D48" s="47">
        <v>39</v>
      </c>
      <c r="E48" s="48"/>
      <c r="F48" s="47"/>
      <c r="G48" s="47"/>
      <c r="H48" s="47"/>
      <c r="I48" s="47"/>
      <c r="J48" s="47"/>
      <c r="K48" s="47"/>
      <c r="L48" s="47"/>
      <c r="M48" s="47"/>
      <c r="N48" s="47"/>
      <c r="O48" s="47"/>
      <c r="P48" s="47"/>
      <c r="Q48" s="47"/>
      <c r="R48" s="47"/>
      <c r="S48" s="47"/>
      <c r="T48" s="47"/>
      <c r="U48" s="49" t="str">
        <f ca="1">IF(COUNTIF(OFFSET($E48,0,1):OFFSET(U48,0,-1),"=*")&gt;0,IF($C48="К","-"," - "),IF(COUNTIF(OFFSET($E48,0,1):OFFSET(U48,0,-1),"&lt;4")&gt;0,IF(C48="К","-"," - "),(IFERROR(AVERAGE(OFFSET($E48,0,1):OFFSET(U48,0,-1)),"Очікую"))))</f>
        <v>Очікую</v>
      </c>
      <c r="V48" s="49" t="str">
        <f t="shared" ca="1" si="0"/>
        <v>Очікую</v>
      </c>
      <c r="W48" s="36"/>
      <c r="X48" s="42"/>
    </row>
    <row r="49" spans="1:24" s="12" customFormat="1" ht="15" customHeight="1" x14ac:dyDescent="0.25">
      <c r="A49" s="43"/>
      <c r="B49" s="34"/>
      <c r="C49" s="47"/>
      <c r="D49" s="47">
        <v>40</v>
      </c>
      <c r="E49" s="48"/>
      <c r="F49" s="47"/>
      <c r="G49" s="47"/>
      <c r="H49" s="47"/>
      <c r="I49" s="47"/>
      <c r="J49" s="47"/>
      <c r="K49" s="47"/>
      <c r="L49" s="47"/>
      <c r="M49" s="47"/>
      <c r="N49" s="47"/>
      <c r="O49" s="47"/>
      <c r="P49" s="47"/>
      <c r="Q49" s="47"/>
      <c r="R49" s="47"/>
      <c r="S49" s="47"/>
      <c r="T49" s="47"/>
      <c r="U49" s="49" t="str">
        <f ca="1">IF(COUNTIF(OFFSET($E49,0,1):OFFSET(U49,0,-1),"=*")&gt;0,IF($C49="К","-"," - "),IF(COUNTIF(OFFSET($E49,0,1):OFFSET(U49,0,-1),"&lt;4")&gt;0,IF(C49="К","-"," - "),(IFERROR(AVERAGE(OFFSET($E49,0,1):OFFSET(U49,0,-1)),"Очікую"))))</f>
        <v>Очікую</v>
      </c>
      <c r="V49" s="49" t="str">
        <f t="shared" ca="1" si="0"/>
        <v>Очікую</v>
      </c>
      <c r="W49" s="36"/>
      <c r="X49" s="42"/>
    </row>
    <row r="50" spans="1:24" s="12" customFormat="1" ht="15" customHeight="1" x14ac:dyDescent="0.25">
      <c r="A50" s="43"/>
      <c r="B50" s="34"/>
      <c r="C50" s="47"/>
      <c r="D50" s="47">
        <v>41</v>
      </c>
      <c r="E50" s="48"/>
      <c r="F50" s="47"/>
      <c r="G50" s="47"/>
      <c r="H50" s="47"/>
      <c r="I50" s="47"/>
      <c r="J50" s="47"/>
      <c r="K50" s="47"/>
      <c r="L50" s="47"/>
      <c r="M50" s="47"/>
      <c r="N50" s="47"/>
      <c r="O50" s="47"/>
      <c r="P50" s="47"/>
      <c r="Q50" s="47"/>
      <c r="R50" s="47"/>
      <c r="S50" s="47"/>
      <c r="T50" s="47"/>
      <c r="U50" s="49" t="str">
        <f ca="1">IF(COUNTIF(OFFSET($E50,0,1):OFFSET(U50,0,-1),"=*")&gt;0,IF($C50="К","-"," - "),IF(COUNTIF(OFFSET($E50,0,1):OFFSET(U50,0,-1),"&lt;4")&gt;0,IF(C50="К","-"," - "),(IFERROR(AVERAGE(OFFSET($E50,0,1):OFFSET(U50,0,-1)),"Очікую"))))</f>
        <v>Очікую</v>
      </c>
      <c r="V50" s="49" t="str">
        <f t="shared" ca="1" si="0"/>
        <v>Очікую</v>
      </c>
      <c r="W50" s="36"/>
      <c r="X50" s="42"/>
    </row>
    <row r="51" spans="1:24" s="12" customFormat="1" ht="15" customHeight="1" x14ac:dyDescent="0.25">
      <c r="A51" s="43"/>
      <c r="B51" s="34"/>
      <c r="C51" s="47"/>
      <c r="D51" s="47">
        <v>42</v>
      </c>
      <c r="E51" s="48"/>
      <c r="F51" s="47"/>
      <c r="G51" s="47"/>
      <c r="H51" s="47"/>
      <c r="I51" s="47"/>
      <c r="J51" s="47"/>
      <c r="K51" s="47"/>
      <c r="L51" s="47"/>
      <c r="M51" s="47"/>
      <c r="N51" s="47"/>
      <c r="O51" s="47"/>
      <c r="P51" s="47"/>
      <c r="Q51" s="47"/>
      <c r="R51" s="47"/>
      <c r="S51" s="47"/>
      <c r="T51" s="47"/>
      <c r="U51" s="49" t="str">
        <f ca="1">IF(COUNTIF(OFFSET($E51,0,1):OFFSET(U51,0,-1),"=*")&gt;0,IF($C51="К","-"," - "),IF(COUNTIF(OFFSET($E51,0,1):OFFSET(U51,0,-1),"&lt;4")&gt;0,IF(C51="К","-"," - "),(IFERROR(AVERAGE(OFFSET($E51,0,1):OFFSET(U51,0,-1)),"Очікую"))))</f>
        <v>Очікую</v>
      </c>
      <c r="V51" s="49" t="str">
        <f t="shared" ca="1" si="0"/>
        <v>Очікую</v>
      </c>
      <c r="W51" s="36"/>
      <c r="X51" s="42"/>
    </row>
    <row r="52" spans="1:24" s="12" customFormat="1" ht="15" customHeight="1" x14ac:dyDescent="0.25">
      <c r="A52" s="43"/>
      <c r="B52" s="34"/>
      <c r="C52" s="47"/>
      <c r="D52" s="47">
        <v>43</v>
      </c>
      <c r="E52" s="48"/>
      <c r="F52" s="47"/>
      <c r="G52" s="47"/>
      <c r="H52" s="47"/>
      <c r="I52" s="47"/>
      <c r="J52" s="47"/>
      <c r="K52" s="47"/>
      <c r="L52" s="47"/>
      <c r="M52" s="47"/>
      <c r="N52" s="47"/>
      <c r="O52" s="47"/>
      <c r="P52" s="47"/>
      <c r="Q52" s="47"/>
      <c r="R52" s="47"/>
      <c r="S52" s="47"/>
      <c r="T52" s="47"/>
      <c r="U52" s="49" t="str">
        <f ca="1">IF(COUNTIF(OFFSET($E52,0,1):OFFSET(U52,0,-1),"=*")&gt;0,IF($C52="К","-"," - "),IF(COUNTIF(OFFSET($E52,0,1):OFFSET(U52,0,-1),"&lt;4")&gt;0,IF(C52="К","-"," - "),(IFERROR(AVERAGE(OFFSET($E52,0,1):OFFSET(U52,0,-1)),"Очікую"))))</f>
        <v>Очікую</v>
      </c>
      <c r="V52" s="49" t="str">
        <f t="shared" ca="1" si="0"/>
        <v>Очікую</v>
      </c>
      <c r="W52" s="36"/>
      <c r="X52" s="42"/>
    </row>
    <row r="53" spans="1:24" s="12" customFormat="1" ht="15" customHeight="1" x14ac:dyDescent="0.25">
      <c r="A53" s="43"/>
      <c r="B53" s="34"/>
      <c r="C53" s="47"/>
      <c r="D53" s="47">
        <v>44</v>
      </c>
      <c r="E53" s="48"/>
      <c r="F53" s="47"/>
      <c r="G53" s="47"/>
      <c r="H53" s="47"/>
      <c r="I53" s="47"/>
      <c r="J53" s="47"/>
      <c r="K53" s="47"/>
      <c r="L53" s="47"/>
      <c r="M53" s="47"/>
      <c r="N53" s="47"/>
      <c r="O53" s="47"/>
      <c r="P53" s="47"/>
      <c r="Q53" s="47"/>
      <c r="R53" s="47"/>
      <c r="S53" s="47"/>
      <c r="T53" s="47"/>
      <c r="U53" s="49" t="str">
        <f ca="1">IF(COUNTIF(OFFSET($E53,0,1):OFFSET(U53,0,-1),"=*")&gt;0,IF($C53="К","-"," - "),IF(COUNTIF(OFFSET($E53,0,1):OFFSET(U53,0,-1),"&lt;4")&gt;0,IF(C53="К","-"," - "),(IFERROR(AVERAGE(OFFSET($E53,0,1):OFFSET(U53,0,-1)),"Очікую"))))</f>
        <v>Очікую</v>
      </c>
      <c r="V53" s="49" t="str">
        <f t="shared" ca="1" si="0"/>
        <v>Очікую</v>
      </c>
      <c r="W53" s="36"/>
      <c r="X53" s="42"/>
    </row>
    <row r="54" spans="1:24" s="12" customFormat="1" ht="15" customHeight="1" x14ac:dyDescent="0.25">
      <c r="A54" s="43"/>
      <c r="B54" s="34"/>
      <c r="C54" s="47"/>
      <c r="D54" s="47">
        <v>45</v>
      </c>
      <c r="E54" s="48"/>
      <c r="F54" s="47"/>
      <c r="G54" s="47"/>
      <c r="H54" s="47"/>
      <c r="I54" s="47"/>
      <c r="J54" s="47"/>
      <c r="K54" s="47"/>
      <c r="L54" s="47"/>
      <c r="M54" s="47"/>
      <c r="N54" s="47"/>
      <c r="O54" s="47"/>
      <c r="P54" s="47"/>
      <c r="Q54" s="47"/>
      <c r="R54" s="47"/>
      <c r="S54" s="47"/>
      <c r="T54" s="47"/>
      <c r="U54" s="49" t="str">
        <f ca="1">IF(COUNTIF(OFFSET($E54,0,1):OFFSET(U54,0,-1),"=*")&gt;0,IF($C54="К","-"," - "),IF(COUNTIF(OFFSET($E54,0,1):OFFSET(U54,0,-1),"&lt;4")&gt;0,IF(C54="К","-"," - "),(IFERROR(AVERAGE(OFFSET($E54,0,1):OFFSET(U54,0,-1)),"Очікую"))))</f>
        <v>Очікую</v>
      </c>
      <c r="V54" s="49" t="str">
        <f t="shared" ca="1" si="0"/>
        <v>Очікую</v>
      </c>
      <c r="W54" s="36"/>
      <c r="X54" s="42"/>
    </row>
    <row r="55" spans="1:24" s="12" customFormat="1" ht="15" customHeight="1" x14ac:dyDescent="0.25">
      <c r="A55" s="43"/>
      <c r="B55" s="34"/>
      <c r="C55" s="47"/>
      <c r="D55" s="47">
        <v>46</v>
      </c>
      <c r="E55" s="48"/>
      <c r="F55" s="47"/>
      <c r="G55" s="47"/>
      <c r="H55" s="47"/>
      <c r="I55" s="47"/>
      <c r="J55" s="47"/>
      <c r="K55" s="47"/>
      <c r="L55" s="47"/>
      <c r="M55" s="47"/>
      <c r="N55" s="47"/>
      <c r="O55" s="47"/>
      <c r="P55" s="47"/>
      <c r="Q55" s="47"/>
      <c r="R55" s="47"/>
      <c r="S55" s="47"/>
      <c r="T55" s="47"/>
      <c r="U55" s="49" t="str">
        <f ca="1">IF(COUNTIF(OFFSET($E55,0,1):OFFSET(U55,0,-1),"=*")&gt;0,IF($C55="К","-"," - "),IF(COUNTIF(OFFSET($E55,0,1):OFFSET(U55,0,-1),"&lt;4")&gt;0,IF(C55="К","-"," - "),(IFERROR(AVERAGE(OFFSET($E55,0,1):OFFSET(U55,0,-1)),"Очікую"))))</f>
        <v>Очікую</v>
      </c>
      <c r="V55" s="49" t="str">
        <f t="shared" ca="1" si="0"/>
        <v>Очікую</v>
      </c>
      <c r="W55" s="36"/>
      <c r="X55" s="42"/>
    </row>
    <row r="56" spans="1:24" s="12" customFormat="1" ht="15" customHeight="1" x14ac:dyDescent="0.25">
      <c r="A56" s="43"/>
      <c r="B56" s="34"/>
      <c r="C56" s="47"/>
      <c r="D56" s="47">
        <v>47</v>
      </c>
      <c r="E56" s="48"/>
      <c r="F56" s="47"/>
      <c r="G56" s="47"/>
      <c r="H56" s="47"/>
      <c r="I56" s="47"/>
      <c r="J56" s="47"/>
      <c r="K56" s="47"/>
      <c r="L56" s="47"/>
      <c r="M56" s="47"/>
      <c r="N56" s="47"/>
      <c r="O56" s="47"/>
      <c r="P56" s="47"/>
      <c r="Q56" s="47"/>
      <c r="R56" s="47"/>
      <c r="S56" s="47"/>
      <c r="T56" s="47"/>
      <c r="U56" s="49" t="str">
        <f ca="1">IF(COUNTIF(OFFSET($E56,0,1):OFFSET(U56,0,-1),"=*")&gt;0,IF($C56="К","-"," - "),IF(COUNTIF(OFFSET($E56,0,1):OFFSET(U56,0,-1),"&lt;4")&gt;0,IF(C56="К","-"," - "),(IFERROR(AVERAGE(OFFSET($E56,0,1):OFFSET(U56,0,-1)),"Очікую"))))</f>
        <v>Очікую</v>
      </c>
      <c r="V56" s="49" t="str">
        <f t="shared" ca="1" si="0"/>
        <v>Очікую</v>
      </c>
      <c r="W56" s="36"/>
      <c r="X56" s="42"/>
    </row>
    <row r="57" spans="1:24" s="12" customFormat="1" ht="15" customHeight="1" x14ac:dyDescent="0.25">
      <c r="A57" s="43"/>
      <c r="B57" s="34"/>
      <c r="C57" s="47"/>
      <c r="D57" s="47">
        <v>48</v>
      </c>
      <c r="E57" s="48"/>
      <c r="F57" s="47"/>
      <c r="G57" s="47"/>
      <c r="H57" s="47"/>
      <c r="I57" s="47"/>
      <c r="J57" s="47"/>
      <c r="K57" s="47"/>
      <c r="L57" s="47"/>
      <c r="M57" s="47"/>
      <c r="N57" s="47"/>
      <c r="O57" s="47"/>
      <c r="P57" s="47"/>
      <c r="Q57" s="47"/>
      <c r="R57" s="47"/>
      <c r="S57" s="47"/>
      <c r="T57" s="47"/>
      <c r="U57" s="49" t="str">
        <f ca="1">IF(COUNTIF(OFFSET($E57,0,1):OFFSET(U57,0,-1),"=*")&gt;0,IF($C57="К","-"," - "),IF(COUNTIF(OFFSET($E57,0,1):OFFSET(U57,0,-1),"&lt;4")&gt;0,IF(C57="К","-"," - "),(IFERROR(AVERAGE(OFFSET($E57,0,1):OFFSET(U57,0,-1)),"Очікую"))))</f>
        <v>Очікую</v>
      </c>
      <c r="V57" s="49" t="str">
        <f t="shared" ca="1" si="0"/>
        <v>Очікую</v>
      </c>
      <c r="W57" s="36"/>
      <c r="X57" s="42"/>
    </row>
    <row r="58" spans="1:24" s="12" customFormat="1" ht="15" customHeight="1" x14ac:dyDescent="0.25">
      <c r="A58" s="43"/>
      <c r="B58" s="34"/>
      <c r="C58" s="47"/>
      <c r="D58" s="47">
        <v>49</v>
      </c>
      <c r="E58" s="48"/>
      <c r="F58" s="47"/>
      <c r="G58" s="47"/>
      <c r="H58" s="47"/>
      <c r="I58" s="47"/>
      <c r="J58" s="47"/>
      <c r="K58" s="47"/>
      <c r="L58" s="47"/>
      <c r="M58" s="47"/>
      <c r="N58" s="47"/>
      <c r="O58" s="47"/>
      <c r="P58" s="47"/>
      <c r="Q58" s="47"/>
      <c r="R58" s="47"/>
      <c r="S58" s="47"/>
      <c r="T58" s="47"/>
      <c r="U58" s="49" t="str">
        <f ca="1">IF(COUNTIF(OFFSET($E58,0,1):OFFSET(U58,0,-1),"=*")&gt;0,IF($C58="К","-"," - "),IF(COUNTIF(OFFSET($E58,0,1):OFFSET(U58,0,-1),"&lt;4")&gt;0,IF(C58="К","-"," - "),(IFERROR(AVERAGE(OFFSET($E58,0,1):OFFSET(U58,0,-1)),"Очікую"))))</f>
        <v>Очікую</v>
      </c>
      <c r="V58" s="49" t="str">
        <f t="shared" ca="1" si="0"/>
        <v>Очікую</v>
      </c>
      <c r="W58" s="36"/>
      <c r="X58" s="42"/>
    </row>
    <row r="59" spans="1:24" s="12" customFormat="1" ht="15" customHeight="1" x14ac:dyDescent="0.25">
      <c r="A59" s="43"/>
      <c r="B59" s="34"/>
      <c r="C59" s="47"/>
      <c r="D59" s="47">
        <v>50</v>
      </c>
      <c r="E59" s="48"/>
      <c r="F59" s="47"/>
      <c r="G59" s="47"/>
      <c r="H59" s="47"/>
      <c r="I59" s="47"/>
      <c r="J59" s="47"/>
      <c r="K59" s="47"/>
      <c r="L59" s="47"/>
      <c r="M59" s="47"/>
      <c r="N59" s="47"/>
      <c r="O59" s="47"/>
      <c r="P59" s="47"/>
      <c r="Q59" s="47"/>
      <c r="R59" s="47"/>
      <c r="S59" s="47"/>
      <c r="T59" s="47"/>
      <c r="U59" s="49" t="str">
        <f ca="1">IF(COUNTIF(OFFSET($E59,0,1):OFFSET(U59,0,-1),"=*")&gt;0,IF($C59="К","-"," - "),IF(COUNTIF(OFFSET($E59,0,1):OFFSET(U59,0,-1),"&lt;4")&gt;0,IF(C59="К","-"," - "),(IFERROR(AVERAGE(OFFSET($E59,0,1):OFFSET(U59,0,-1)),"Очікую"))))</f>
        <v>Очікую</v>
      </c>
      <c r="V59" s="49" t="str">
        <f t="shared" ca="1" si="0"/>
        <v>Очікую</v>
      </c>
      <c r="W59" s="36"/>
      <c r="X59" s="42"/>
    </row>
    <row r="60" spans="1:24" s="12" customFormat="1" ht="15" customHeight="1" x14ac:dyDescent="0.25">
      <c r="A60" s="43"/>
      <c r="B60" s="34"/>
      <c r="C60" s="47"/>
      <c r="D60" s="47">
        <v>51</v>
      </c>
      <c r="E60" s="48"/>
      <c r="F60" s="47"/>
      <c r="G60" s="47"/>
      <c r="H60" s="47"/>
      <c r="I60" s="47"/>
      <c r="J60" s="47"/>
      <c r="K60" s="47"/>
      <c r="L60" s="47"/>
      <c r="M60" s="47"/>
      <c r="N60" s="47"/>
      <c r="O60" s="47"/>
      <c r="P60" s="47"/>
      <c r="Q60" s="47"/>
      <c r="R60" s="47"/>
      <c r="S60" s="47"/>
      <c r="T60" s="47"/>
      <c r="U60" s="49" t="str">
        <f ca="1">IF(COUNTIF(OFFSET($E60,0,1):OFFSET(U60,0,-1),"=*")&gt;0,IF($C60="К","-"," - "),IF(COUNTIF(OFFSET($E60,0,1):OFFSET(U60,0,-1),"&lt;4")&gt;0,IF(C60="К","-"," - "),(IFERROR(AVERAGE(OFFSET($E60,0,1):OFFSET(U60,0,-1)),"Очікую"))))</f>
        <v>Очікую</v>
      </c>
      <c r="V60" s="49" t="str">
        <f t="shared" ca="1" si="0"/>
        <v>Очікую</v>
      </c>
      <c r="W60" s="36"/>
      <c r="X60" s="42"/>
    </row>
    <row r="61" spans="1:24" s="12" customFormat="1" ht="15" customHeight="1" x14ac:dyDescent="0.25">
      <c r="A61" s="43"/>
      <c r="B61" s="34"/>
      <c r="C61" s="47"/>
      <c r="D61" s="47">
        <v>52</v>
      </c>
      <c r="E61" s="48"/>
      <c r="F61" s="47"/>
      <c r="G61" s="47"/>
      <c r="H61" s="47"/>
      <c r="I61" s="47"/>
      <c r="J61" s="47"/>
      <c r="K61" s="47"/>
      <c r="L61" s="47"/>
      <c r="M61" s="47"/>
      <c r="N61" s="47"/>
      <c r="O61" s="47"/>
      <c r="P61" s="47"/>
      <c r="Q61" s="47"/>
      <c r="R61" s="47"/>
      <c r="S61" s="47"/>
      <c r="T61" s="47"/>
      <c r="U61" s="49" t="str">
        <f ca="1">IF(COUNTIF(OFFSET($E61,0,1):OFFSET(U61,0,-1),"=*")&gt;0,IF($C61="К","-"," - "),IF(COUNTIF(OFFSET($E61,0,1):OFFSET(U61,0,-1),"&lt;4")&gt;0,IF(C61="К","-"," - "),(IFERROR(AVERAGE(OFFSET($E61,0,1):OFFSET(U61,0,-1)),"Очікую"))))</f>
        <v>Очікую</v>
      </c>
      <c r="V61" s="49" t="str">
        <f t="shared" ca="1" si="0"/>
        <v>Очікую</v>
      </c>
      <c r="W61" s="36"/>
      <c r="X61" s="42"/>
    </row>
    <row r="62" spans="1:24" s="12" customFormat="1" ht="15" customHeight="1" x14ac:dyDescent="0.25">
      <c r="A62" s="43"/>
      <c r="B62" s="34"/>
      <c r="C62" s="47"/>
      <c r="D62" s="47">
        <v>53</v>
      </c>
      <c r="E62" s="48"/>
      <c r="F62" s="47"/>
      <c r="G62" s="47"/>
      <c r="H62" s="47"/>
      <c r="I62" s="47"/>
      <c r="J62" s="47"/>
      <c r="K62" s="47"/>
      <c r="L62" s="47"/>
      <c r="M62" s="47"/>
      <c r="N62" s="47"/>
      <c r="O62" s="47"/>
      <c r="P62" s="47"/>
      <c r="Q62" s="47"/>
      <c r="R62" s="47"/>
      <c r="S62" s="47"/>
      <c r="T62" s="47"/>
      <c r="U62" s="49" t="str">
        <f ca="1">IF(COUNTIF(OFFSET($E62,0,1):OFFSET(U62,0,-1),"=*")&gt;0,IF($C62="К","-"," - "),IF(COUNTIF(OFFSET($E62,0,1):OFFSET(U62,0,-1),"&lt;4")&gt;0,IF(C62="К","-"," - "),(IFERROR(AVERAGE(OFFSET($E62,0,1):OFFSET(U62,0,-1)),"Очікую"))))</f>
        <v>Очікую</v>
      </c>
      <c r="V62" s="49" t="str">
        <f t="shared" ca="1" si="0"/>
        <v>Очікую</v>
      </c>
      <c r="W62" s="36"/>
      <c r="X62" s="42"/>
    </row>
    <row r="63" spans="1:24" s="12" customFormat="1" ht="15" customHeight="1" x14ac:dyDescent="0.25">
      <c r="A63" s="43"/>
      <c r="B63" s="34"/>
      <c r="C63" s="47"/>
      <c r="D63" s="47">
        <v>54</v>
      </c>
      <c r="E63" s="48"/>
      <c r="F63" s="47"/>
      <c r="G63" s="47"/>
      <c r="H63" s="47"/>
      <c r="I63" s="47"/>
      <c r="J63" s="47"/>
      <c r="K63" s="47"/>
      <c r="L63" s="47"/>
      <c r="M63" s="47"/>
      <c r="N63" s="47"/>
      <c r="O63" s="47"/>
      <c r="P63" s="47"/>
      <c r="Q63" s="47"/>
      <c r="R63" s="47"/>
      <c r="S63" s="47"/>
      <c r="T63" s="47"/>
      <c r="U63" s="49" t="str">
        <f ca="1">IF(COUNTIF(OFFSET($E63,0,1):OFFSET(U63,0,-1),"=*")&gt;0,IF($C63="К","-"," - "),IF(COUNTIF(OFFSET($E63,0,1):OFFSET(U63,0,-1),"&lt;4")&gt;0,IF(C63="К","-"," - "),(IFERROR(AVERAGE(OFFSET($E63,0,1):OFFSET(U63,0,-1)),"Очікую"))))</f>
        <v>Очікую</v>
      </c>
      <c r="V63" s="49" t="str">
        <f t="shared" ca="1" si="0"/>
        <v>Очікую</v>
      </c>
      <c r="W63" s="36"/>
      <c r="X63" s="42"/>
    </row>
    <row r="64" spans="1:24" s="12" customFormat="1" ht="15" customHeight="1" x14ac:dyDescent="0.25">
      <c r="A64" s="43"/>
      <c r="B64" s="34"/>
      <c r="C64" s="47"/>
      <c r="D64" s="47">
        <v>55</v>
      </c>
      <c r="E64" s="48"/>
      <c r="F64" s="47"/>
      <c r="G64" s="47"/>
      <c r="H64" s="47"/>
      <c r="I64" s="47"/>
      <c r="J64" s="47"/>
      <c r="K64" s="47"/>
      <c r="L64" s="47"/>
      <c r="M64" s="47"/>
      <c r="N64" s="47"/>
      <c r="O64" s="47"/>
      <c r="P64" s="47"/>
      <c r="Q64" s="47"/>
      <c r="R64" s="47"/>
      <c r="S64" s="47"/>
      <c r="T64" s="47"/>
      <c r="U64" s="49" t="str">
        <f ca="1">IF(COUNTIF(OFFSET($E64,0,1):OFFSET(U64,0,-1),"=*")&gt;0,IF($C64="К","-"," - "),IF(COUNTIF(OFFSET($E64,0,1):OFFSET(U64,0,-1),"&lt;4")&gt;0,IF(C64="К","-"," - "),(IFERROR(AVERAGE(OFFSET($E64,0,1):OFFSET(U64,0,-1)),"Очікую"))))</f>
        <v>Очікую</v>
      </c>
      <c r="V64" s="49" t="str">
        <f t="shared" ca="1" si="0"/>
        <v>Очікую</v>
      </c>
      <c r="W64" s="36"/>
      <c r="X64" s="42"/>
    </row>
    <row r="65" spans="1:24" s="12" customFormat="1" ht="15" customHeight="1" x14ac:dyDescent="0.25">
      <c r="A65" s="43"/>
      <c r="B65" s="34"/>
      <c r="C65" s="47"/>
      <c r="D65" s="47">
        <v>56</v>
      </c>
      <c r="E65" s="48"/>
      <c r="F65" s="47"/>
      <c r="G65" s="47"/>
      <c r="H65" s="47"/>
      <c r="I65" s="47"/>
      <c r="J65" s="47"/>
      <c r="K65" s="47"/>
      <c r="L65" s="47"/>
      <c r="M65" s="47"/>
      <c r="N65" s="47"/>
      <c r="O65" s="47"/>
      <c r="P65" s="47"/>
      <c r="Q65" s="47"/>
      <c r="R65" s="47"/>
      <c r="S65" s="47"/>
      <c r="T65" s="47"/>
      <c r="U65" s="49" t="str">
        <f ca="1">IF(COUNTIF(OFFSET($E65,0,1):OFFSET(U65,0,-1),"=*")&gt;0,IF($C65="К","-"," - "),IF(COUNTIF(OFFSET($E65,0,1):OFFSET(U65,0,-1),"&lt;4")&gt;0,IF(C65="К","-"," - "),(IFERROR(AVERAGE(OFFSET($E65,0,1):OFFSET(U65,0,-1)),"Очікую"))))</f>
        <v>Очікую</v>
      </c>
      <c r="V65" s="49" t="str">
        <f t="shared" ca="1" si="0"/>
        <v>Очікую</v>
      </c>
      <c r="W65" s="36"/>
      <c r="X65" s="42"/>
    </row>
    <row r="66" spans="1:24" s="12" customFormat="1" ht="15" customHeight="1" x14ac:dyDescent="0.25">
      <c r="A66" s="43"/>
      <c r="B66" s="34"/>
      <c r="C66" s="47"/>
      <c r="D66" s="47">
        <v>57</v>
      </c>
      <c r="E66" s="48"/>
      <c r="F66" s="47"/>
      <c r="G66" s="47"/>
      <c r="H66" s="47"/>
      <c r="I66" s="47"/>
      <c r="J66" s="47"/>
      <c r="K66" s="47"/>
      <c r="L66" s="47"/>
      <c r="M66" s="47"/>
      <c r="N66" s="47"/>
      <c r="O66" s="47"/>
      <c r="P66" s="47"/>
      <c r="Q66" s="47"/>
      <c r="R66" s="47"/>
      <c r="S66" s="47"/>
      <c r="T66" s="47"/>
      <c r="U66" s="49" t="str">
        <f ca="1">IF(COUNTIF(OFFSET($E66,0,1):OFFSET(U66,0,-1),"=*")&gt;0,IF($C66="К","-"," - "),IF(COUNTIF(OFFSET($E66,0,1):OFFSET(U66,0,-1),"&lt;4")&gt;0,IF(C66="К","-"," - "),(IFERROR(AVERAGE(OFFSET($E66,0,1):OFFSET(U66,0,-1)),"Очікую"))))</f>
        <v>Очікую</v>
      </c>
      <c r="V66" s="49" t="str">
        <f t="shared" ca="1" si="0"/>
        <v>Очікую</v>
      </c>
      <c r="W66" s="36"/>
      <c r="X66" s="42"/>
    </row>
    <row r="67" spans="1:24" s="12" customFormat="1" ht="15" customHeight="1" x14ac:dyDescent="0.25">
      <c r="A67" s="43"/>
      <c r="B67" s="34"/>
      <c r="C67" s="47"/>
      <c r="D67" s="47">
        <v>58</v>
      </c>
      <c r="E67" s="48"/>
      <c r="F67" s="47"/>
      <c r="G67" s="47"/>
      <c r="H67" s="47"/>
      <c r="I67" s="47"/>
      <c r="J67" s="47"/>
      <c r="K67" s="47"/>
      <c r="L67" s="47"/>
      <c r="M67" s="47"/>
      <c r="N67" s="47"/>
      <c r="O67" s="47"/>
      <c r="P67" s="47"/>
      <c r="Q67" s="47"/>
      <c r="R67" s="47"/>
      <c r="S67" s="47"/>
      <c r="T67" s="47"/>
      <c r="U67" s="49" t="str">
        <f ca="1">IF(COUNTIF(OFFSET($E67,0,1):OFFSET(U67,0,-1),"=*")&gt;0,IF($C67="К","-"," - "),IF(COUNTIF(OFFSET($E67,0,1):OFFSET(U67,0,-1),"&lt;4")&gt;0,IF(C67="К","-"," - "),(IFERROR(AVERAGE(OFFSET($E67,0,1):OFFSET(U67,0,-1)),"Очікую"))))</f>
        <v>Очікую</v>
      </c>
      <c r="V67" s="49" t="str">
        <f t="shared" ca="1" si="0"/>
        <v>Очікую</v>
      </c>
      <c r="W67" s="36"/>
      <c r="X67" s="42"/>
    </row>
    <row r="68" spans="1:24" s="12" customFormat="1" ht="15" customHeight="1" x14ac:dyDescent="0.25">
      <c r="A68" s="43"/>
      <c r="B68" s="34"/>
      <c r="C68" s="47"/>
      <c r="D68" s="47">
        <v>59</v>
      </c>
      <c r="E68" s="48"/>
      <c r="F68" s="47"/>
      <c r="G68" s="47"/>
      <c r="H68" s="47"/>
      <c r="I68" s="47"/>
      <c r="J68" s="47"/>
      <c r="K68" s="47"/>
      <c r="L68" s="47"/>
      <c r="M68" s="47"/>
      <c r="N68" s="47"/>
      <c r="O68" s="47"/>
      <c r="P68" s="47"/>
      <c r="Q68" s="47"/>
      <c r="R68" s="47"/>
      <c r="S68" s="47"/>
      <c r="T68" s="47"/>
      <c r="U68" s="49" t="str">
        <f ca="1">IF(COUNTIF(OFFSET($E68,0,1):OFFSET(U68,0,-1),"=*")&gt;0,IF($C68="К","-"," - "),IF(COUNTIF(OFFSET($E68,0,1):OFFSET(U68,0,-1),"&lt;4")&gt;0,IF(C68="К","-"," - "),(IFERROR(AVERAGE(OFFSET($E68,0,1):OFFSET(U68,0,-1)),"Очікую"))))</f>
        <v>Очікую</v>
      </c>
      <c r="V68" s="49" t="str">
        <f t="shared" ca="1" si="0"/>
        <v>Очікую</v>
      </c>
      <c r="W68" s="36"/>
      <c r="X68" s="42"/>
    </row>
    <row r="69" spans="1:24" s="12" customFormat="1" ht="15" customHeight="1" x14ac:dyDescent="0.25">
      <c r="A69" s="43"/>
      <c r="B69" s="34"/>
      <c r="C69" s="47"/>
      <c r="D69" s="47">
        <v>60</v>
      </c>
      <c r="E69" s="48"/>
      <c r="F69" s="47"/>
      <c r="G69" s="47"/>
      <c r="H69" s="47"/>
      <c r="I69" s="47"/>
      <c r="J69" s="47"/>
      <c r="K69" s="47"/>
      <c r="L69" s="47"/>
      <c r="M69" s="47"/>
      <c r="N69" s="47"/>
      <c r="O69" s="47"/>
      <c r="P69" s="47"/>
      <c r="Q69" s="47"/>
      <c r="R69" s="47"/>
      <c r="S69" s="47"/>
      <c r="T69" s="47"/>
      <c r="U69" s="49" t="str">
        <f ca="1">IF(COUNTIF(OFFSET($E69,0,1):OFFSET(U69,0,-1),"=*")&gt;0,IF($C69="К","-"," - "),IF(COUNTIF(OFFSET($E69,0,1):OFFSET(U69,0,-1),"&lt;4")&gt;0,IF(C69="К","-"," - "),(IFERROR(AVERAGE(OFFSET($E69,0,1):OFFSET(U69,0,-1)),"Очікую"))))</f>
        <v>Очікую</v>
      </c>
      <c r="V69" s="49" t="str">
        <f t="shared" ca="1" si="0"/>
        <v>Очікую</v>
      </c>
      <c r="W69" s="36"/>
      <c r="X69" s="42"/>
    </row>
    <row r="70" spans="1:24" s="12" customFormat="1" ht="15" customHeight="1" x14ac:dyDescent="0.25">
      <c r="A70" s="43"/>
      <c r="B70" s="34"/>
      <c r="C70" s="47"/>
      <c r="D70" s="47">
        <v>61</v>
      </c>
      <c r="E70" s="48"/>
      <c r="F70" s="47"/>
      <c r="G70" s="47"/>
      <c r="H70" s="47"/>
      <c r="I70" s="47"/>
      <c r="J70" s="47"/>
      <c r="K70" s="47"/>
      <c r="L70" s="47"/>
      <c r="M70" s="47"/>
      <c r="N70" s="47"/>
      <c r="O70" s="47"/>
      <c r="P70" s="47"/>
      <c r="Q70" s="47"/>
      <c r="R70" s="47"/>
      <c r="S70" s="47"/>
      <c r="T70" s="47"/>
      <c r="U70" s="49" t="str">
        <f ca="1">IF(COUNTIF(OFFSET($E70,0,1):OFFSET(U70,0,-1),"=*")&gt;0,IF($C70="К","-"," - "),IF(COUNTIF(OFFSET($E70,0,1):OFFSET(U70,0,-1),"&lt;4")&gt;0,IF(C70="К","-"," - "),(IFERROR(AVERAGE(OFFSET($E70,0,1):OFFSET(U70,0,-1)),"Очікую"))))</f>
        <v>Очікую</v>
      </c>
      <c r="V70" s="49" t="str">
        <f t="shared" ca="1" si="0"/>
        <v>Очікую</v>
      </c>
      <c r="W70" s="36"/>
      <c r="X70" s="42"/>
    </row>
    <row r="71" spans="1:24" s="12" customFormat="1" ht="15" customHeight="1" x14ac:dyDescent="0.25">
      <c r="A71" s="43"/>
      <c r="B71" s="34"/>
      <c r="C71" s="47"/>
      <c r="D71" s="47">
        <v>62</v>
      </c>
      <c r="E71" s="48"/>
      <c r="F71" s="47"/>
      <c r="G71" s="47"/>
      <c r="H71" s="47"/>
      <c r="I71" s="47"/>
      <c r="J71" s="47"/>
      <c r="K71" s="47"/>
      <c r="L71" s="47"/>
      <c r="M71" s="47"/>
      <c r="N71" s="47"/>
      <c r="O71" s="47"/>
      <c r="P71" s="47"/>
      <c r="Q71" s="47"/>
      <c r="R71" s="47"/>
      <c r="S71" s="47"/>
      <c r="T71" s="47"/>
      <c r="U71" s="49" t="str">
        <f ca="1">IF(COUNTIF(OFFSET($E71,0,1):OFFSET(U71,0,-1),"=*")&gt;0,IF($C71="К","-"," - "),IF(COUNTIF(OFFSET($E71,0,1):OFFSET(U71,0,-1),"&lt;4")&gt;0,IF(C71="К","-"," - "),(IFERROR(AVERAGE(OFFSET($E71,0,1):OFFSET(U71,0,-1)),"Очікую"))))</f>
        <v>Очікую</v>
      </c>
      <c r="V71" s="49" t="str">
        <f t="shared" ca="1" si="0"/>
        <v>Очікую</v>
      </c>
      <c r="W71" s="36"/>
      <c r="X71" s="42"/>
    </row>
    <row r="72" spans="1:24" s="12" customFormat="1" ht="15" customHeight="1" x14ac:dyDescent="0.25">
      <c r="A72" s="43"/>
      <c r="B72" s="34"/>
      <c r="C72" s="47"/>
      <c r="D72" s="47">
        <v>63</v>
      </c>
      <c r="E72" s="48"/>
      <c r="F72" s="47"/>
      <c r="G72" s="47"/>
      <c r="H72" s="47"/>
      <c r="I72" s="47"/>
      <c r="J72" s="47"/>
      <c r="K72" s="47"/>
      <c r="L72" s="47"/>
      <c r="M72" s="47"/>
      <c r="N72" s="47"/>
      <c r="O72" s="47"/>
      <c r="P72" s="47"/>
      <c r="Q72" s="47"/>
      <c r="R72" s="47"/>
      <c r="S72" s="47"/>
      <c r="T72" s="47"/>
      <c r="U72" s="49" t="str">
        <f ca="1">IF(COUNTIF(OFFSET($E72,0,1):OFFSET(U72,0,-1),"=*")&gt;0,IF($C72="К","-"," - "),IF(COUNTIF(OFFSET($E72,0,1):OFFSET(U72,0,-1),"&lt;4")&gt;0,IF(C72="К","-"," - "),(IFERROR(AVERAGE(OFFSET($E72,0,1):OFFSET(U72,0,-1)),"Очікую"))))</f>
        <v>Очікую</v>
      </c>
      <c r="V72" s="49" t="str">
        <f t="shared" ca="1" si="0"/>
        <v>Очікую</v>
      </c>
      <c r="W72" s="36"/>
      <c r="X72" s="42"/>
    </row>
    <row r="73" spans="1:24" s="12" customFormat="1" ht="15" customHeight="1" x14ac:dyDescent="0.25">
      <c r="A73" s="43"/>
      <c r="B73" s="34"/>
      <c r="C73" s="47"/>
      <c r="D73" s="47">
        <v>64</v>
      </c>
      <c r="E73" s="48"/>
      <c r="F73" s="47"/>
      <c r="G73" s="47"/>
      <c r="H73" s="47"/>
      <c r="I73" s="47"/>
      <c r="J73" s="47"/>
      <c r="K73" s="47"/>
      <c r="L73" s="47"/>
      <c r="M73" s="47"/>
      <c r="N73" s="47"/>
      <c r="O73" s="47"/>
      <c r="P73" s="47"/>
      <c r="Q73" s="47"/>
      <c r="R73" s="47"/>
      <c r="S73" s="47"/>
      <c r="T73" s="47"/>
      <c r="U73" s="49" t="str">
        <f ca="1">IF(COUNTIF(OFFSET($E73,0,1):OFFSET(U73,0,-1),"=*")&gt;0,IF($C73="К","-"," - "),IF(COUNTIF(OFFSET($E73,0,1):OFFSET(U73,0,-1),"&lt;4")&gt;0,IF(C73="К","-"," - "),(IFERROR(AVERAGE(OFFSET($E73,0,1):OFFSET(U73,0,-1)),"Очікую"))))</f>
        <v>Очікую</v>
      </c>
      <c r="V73" s="49" t="str">
        <f t="shared" ca="1" si="0"/>
        <v>Очікую</v>
      </c>
      <c r="W73" s="36"/>
      <c r="X73" s="42"/>
    </row>
    <row r="74" spans="1:24" s="12" customFormat="1" ht="15" customHeight="1" x14ac:dyDescent="0.25">
      <c r="A74" s="43"/>
      <c r="B74" s="34"/>
      <c r="C74" s="47"/>
      <c r="D74" s="47">
        <v>65</v>
      </c>
      <c r="E74" s="48"/>
      <c r="F74" s="47"/>
      <c r="G74" s="47"/>
      <c r="H74" s="47"/>
      <c r="I74" s="47"/>
      <c r="J74" s="47"/>
      <c r="K74" s="47"/>
      <c r="L74" s="47"/>
      <c r="M74" s="47"/>
      <c r="N74" s="47"/>
      <c r="O74" s="47"/>
      <c r="P74" s="47"/>
      <c r="Q74" s="47"/>
      <c r="R74" s="47"/>
      <c r="S74" s="47"/>
      <c r="T74" s="47"/>
      <c r="U74" s="49" t="str">
        <f ca="1">IF(COUNTIF(OFFSET($E74,0,1):OFFSET(U74,0,-1),"=*")&gt;0,IF($C74="К","-"," - "),IF(COUNTIF(OFFSET($E74,0,1):OFFSET(U74,0,-1),"&lt;4")&gt;0,IF(C74="К","-"," - "),(IFERROR(AVERAGE(OFFSET($E74,0,1):OFFSET(U74,0,-1)),"Очікую"))))</f>
        <v>Очікую</v>
      </c>
      <c r="V74" s="49" t="str">
        <f t="shared" ca="1" si="0"/>
        <v>Очікую</v>
      </c>
      <c r="W74" s="36"/>
      <c r="X74" s="42"/>
    </row>
    <row r="75" spans="1:24" s="12" customFormat="1" ht="15" customHeight="1" x14ac:dyDescent="0.25">
      <c r="A75" s="43"/>
      <c r="B75" s="34"/>
      <c r="C75" s="47"/>
      <c r="D75" s="47">
        <v>66</v>
      </c>
      <c r="E75" s="48"/>
      <c r="F75" s="47"/>
      <c r="G75" s="47"/>
      <c r="H75" s="47"/>
      <c r="I75" s="47"/>
      <c r="J75" s="47"/>
      <c r="K75" s="47"/>
      <c r="L75" s="47"/>
      <c r="M75" s="47"/>
      <c r="N75" s="47"/>
      <c r="O75" s="47"/>
      <c r="P75" s="47"/>
      <c r="Q75" s="47"/>
      <c r="R75" s="47"/>
      <c r="S75" s="47"/>
      <c r="T75" s="47"/>
      <c r="U75" s="49" t="str">
        <f ca="1">IF(COUNTIF(OFFSET($E75,0,1):OFFSET(U75,0,-1),"=*")&gt;0,IF($C75="К","-"," - "),IF(COUNTIF(OFFSET($E75,0,1):OFFSET(U75,0,-1),"&lt;4")&gt;0,IF(C75="К","-"," - "),(IFERROR(AVERAGE(OFFSET($E75,0,1):OFFSET(U75,0,-1)),"Очікую"))))</f>
        <v>Очікую</v>
      </c>
      <c r="V75" s="49" t="str">
        <f t="shared" ref="V75:V109" ca="1" si="1">IFERROR(U75/12*90,"Очікую")</f>
        <v>Очікую</v>
      </c>
      <c r="W75" s="36"/>
      <c r="X75" s="42"/>
    </row>
    <row r="76" spans="1:24" s="12" customFormat="1" ht="15" customHeight="1" x14ac:dyDescent="0.25">
      <c r="A76" s="43"/>
      <c r="B76" s="34"/>
      <c r="C76" s="47"/>
      <c r="D76" s="47">
        <v>67</v>
      </c>
      <c r="E76" s="48"/>
      <c r="F76" s="47"/>
      <c r="G76" s="47"/>
      <c r="H76" s="47"/>
      <c r="I76" s="47"/>
      <c r="J76" s="47"/>
      <c r="K76" s="47"/>
      <c r="L76" s="47"/>
      <c r="M76" s="47"/>
      <c r="N76" s="47"/>
      <c r="O76" s="47"/>
      <c r="P76" s="47"/>
      <c r="Q76" s="47"/>
      <c r="R76" s="47"/>
      <c r="S76" s="47"/>
      <c r="T76" s="47"/>
      <c r="U76" s="49" t="str">
        <f ca="1">IF(COUNTIF(OFFSET($E76,0,1):OFFSET(U76,0,-1),"=*")&gt;0,IF($C76="К","-"," - "),IF(COUNTIF(OFFSET($E76,0,1):OFFSET(U76,0,-1),"&lt;4")&gt;0,IF(C76="К","-"," - "),(IFERROR(AVERAGE(OFFSET($E76,0,1):OFFSET(U76,0,-1)),"Очікую"))))</f>
        <v>Очікую</v>
      </c>
      <c r="V76" s="49" t="str">
        <f t="shared" ca="1" si="1"/>
        <v>Очікую</v>
      </c>
      <c r="W76" s="36"/>
      <c r="X76" s="42"/>
    </row>
    <row r="77" spans="1:24" s="12" customFormat="1" ht="15" customHeight="1" x14ac:dyDescent="0.25">
      <c r="A77" s="43"/>
      <c r="B77" s="34"/>
      <c r="C77" s="47"/>
      <c r="D77" s="47">
        <v>68</v>
      </c>
      <c r="E77" s="48"/>
      <c r="F77" s="47"/>
      <c r="G77" s="47"/>
      <c r="H77" s="47"/>
      <c r="I77" s="47"/>
      <c r="J77" s="47"/>
      <c r="K77" s="47"/>
      <c r="L77" s="47"/>
      <c r="M77" s="47"/>
      <c r="N77" s="47"/>
      <c r="O77" s="47"/>
      <c r="P77" s="47"/>
      <c r="Q77" s="47"/>
      <c r="R77" s="47"/>
      <c r="S77" s="47"/>
      <c r="T77" s="47"/>
      <c r="U77" s="49" t="str">
        <f ca="1">IF(COUNTIF(OFFSET($E77,0,1):OFFSET(U77,0,-1),"=*")&gt;0,IF($C77="К","-"," - "),IF(COUNTIF(OFFSET($E77,0,1):OFFSET(U77,0,-1),"&lt;4")&gt;0,IF(C77="К","-"," - "),(IFERROR(AVERAGE(OFFSET($E77,0,1):OFFSET(U77,0,-1)),"Очікую"))))</f>
        <v>Очікую</v>
      </c>
      <c r="V77" s="49" t="str">
        <f t="shared" ca="1" si="1"/>
        <v>Очікую</v>
      </c>
      <c r="W77" s="36"/>
      <c r="X77" s="42"/>
    </row>
    <row r="78" spans="1:24" s="12" customFormat="1" ht="15" customHeight="1" x14ac:dyDescent="0.25">
      <c r="A78" s="43"/>
      <c r="B78" s="34"/>
      <c r="C78" s="47"/>
      <c r="D78" s="47">
        <v>69</v>
      </c>
      <c r="E78" s="48"/>
      <c r="F78" s="47"/>
      <c r="G78" s="47"/>
      <c r="H78" s="47"/>
      <c r="I78" s="47"/>
      <c r="J78" s="47"/>
      <c r="K78" s="47"/>
      <c r="L78" s="47"/>
      <c r="M78" s="47"/>
      <c r="N78" s="47"/>
      <c r="O78" s="47"/>
      <c r="P78" s="47"/>
      <c r="Q78" s="47"/>
      <c r="R78" s="47"/>
      <c r="S78" s="47"/>
      <c r="T78" s="47"/>
      <c r="U78" s="49" t="str">
        <f ca="1">IF(COUNTIF(OFFSET($E78,0,1):OFFSET(U78,0,-1),"=*")&gt;0,IF($C78="К","-"," - "),IF(COUNTIF(OFFSET($E78,0,1):OFFSET(U78,0,-1),"&lt;4")&gt;0,IF(C78="К","-"," - "),(IFERROR(AVERAGE(OFFSET($E78,0,1):OFFSET(U78,0,-1)),"Очікую"))))</f>
        <v>Очікую</v>
      </c>
      <c r="V78" s="49" t="str">
        <f t="shared" ca="1" si="1"/>
        <v>Очікую</v>
      </c>
      <c r="W78" s="36"/>
      <c r="X78" s="42"/>
    </row>
    <row r="79" spans="1:24" s="12" customFormat="1" ht="15" customHeight="1" x14ac:dyDescent="0.25">
      <c r="A79" s="43"/>
      <c r="B79" s="34"/>
      <c r="C79" s="47"/>
      <c r="D79" s="47">
        <v>70</v>
      </c>
      <c r="E79" s="48"/>
      <c r="F79" s="47"/>
      <c r="G79" s="47"/>
      <c r="H79" s="47"/>
      <c r="I79" s="47"/>
      <c r="J79" s="47"/>
      <c r="K79" s="47"/>
      <c r="L79" s="47"/>
      <c r="M79" s="47"/>
      <c r="N79" s="47"/>
      <c r="O79" s="47"/>
      <c r="P79" s="47"/>
      <c r="Q79" s="47"/>
      <c r="R79" s="47"/>
      <c r="S79" s="47"/>
      <c r="T79" s="47"/>
      <c r="U79" s="49" t="str">
        <f ca="1">IF(COUNTIF(OFFSET($E79,0,1):OFFSET(U79,0,-1),"=*")&gt;0,IF($C79="К","-"," - "),IF(COUNTIF(OFFSET($E79,0,1):OFFSET(U79,0,-1),"&lt;4")&gt;0,IF(C79="К","-"," - "),(IFERROR(AVERAGE(OFFSET($E79,0,1):OFFSET(U79,0,-1)),"Очікую"))))</f>
        <v>Очікую</v>
      </c>
      <c r="V79" s="49" t="str">
        <f t="shared" ca="1" si="1"/>
        <v>Очікую</v>
      </c>
      <c r="W79" s="36"/>
      <c r="X79" s="42"/>
    </row>
    <row r="80" spans="1:24" s="12" customFormat="1" ht="15" customHeight="1" x14ac:dyDescent="0.25">
      <c r="A80" s="43"/>
      <c r="B80" s="34"/>
      <c r="C80" s="47"/>
      <c r="D80" s="47">
        <v>71</v>
      </c>
      <c r="E80" s="48"/>
      <c r="F80" s="47"/>
      <c r="G80" s="47"/>
      <c r="H80" s="47"/>
      <c r="I80" s="47"/>
      <c r="J80" s="47"/>
      <c r="K80" s="47"/>
      <c r="L80" s="47"/>
      <c r="M80" s="47"/>
      <c r="N80" s="47"/>
      <c r="O80" s="47"/>
      <c r="P80" s="47"/>
      <c r="Q80" s="47"/>
      <c r="R80" s="47"/>
      <c r="S80" s="47"/>
      <c r="T80" s="47"/>
      <c r="U80" s="49" t="str">
        <f ca="1">IF(COUNTIF(OFFSET($E80,0,1):OFFSET(U80,0,-1),"=*")&gt;0,IF($C80="К","-"," - "),IF(COUNTIF(OFFSET($E80,0,1):OFFSET(U80,0,-1),"&lt;4")&gt;0,IF(C80="К","-"," - "),(IFERROR(AVERAGE(OFFSET($E80,0,1):OFFSET(U80,0,-1)),"Очікую"))))</f>
        <v>Очікую</v>
      </c>
      <c r="V80" s="49" t="str">
        <f t="shared" ca="1" si="1"/>
        <v>Очікую</v>
      </c>
      <c r="W80" s="36"/>
      <c r="X80" s="42"/>
    </row>
    <row r="81" spans="1:24" s="12" customFormat="1" ht="15" customHeight="1" x14ac:dyDescent="0.25">
      <c r="A81" s="43"/>
      <c r="B81" s="34"/>
      <c r="C81" s="47"/>
      <c r="D81" s="47">
        <v>72</v>
      </c>
      <c r="E81" s="48"/>
      <c r="F81" s="47"/>
      <c r="G81" s="47"/>
      <c r="H81" s="47"/>
      <c r="I81" s="47"/>
      <c r="J81" s="47"/>
      <c r="K81" s="47"/>
      <c r="L81" s="47"/>
      <c r="M81" s="47"/>
      <c r="N81" s="47"/>
      <c r="O81" s="47"/>
      <c r="P81" s="47"/>
      <c r="Q81" s="47"/>
      <c r="R81" s="47"/>
      <c r="S81" s="47"/>
      <c r="T81" s="47"/>
      <c r="U81" s="49" t="str">
        <f ca="1">IF(COUNTIF(OFFSET($E81,0,1):OFFSET(U81,0,-1),"=*")&gt;0,IF($C81="К","-"," - "),IF(COUNTIF(OFFSET($E81,0,1):OFFSET(U81,0,-1),"&lt;4")&gt;0,IF(C81="К","-"," - "),(IFERROR(AVERAGE(OFFSET($E81,0,1):OFFSET(U81,0,-1)),"Очікую"))))</f>
        <v>Очікую</v>
      </c>
      <c r="V81" s="49" t="str">
        <f t="shared" ca="1" si="1"/>
        <v>Очікую</v>
      </c>
      <c r="W81" s="36"/>
      <c r="X81" s="42"/>
    </row>
    <row r="82" spans="1:24" s="12" customFormat="1" ht="15" customHeight="1" x14ac:dyDescent="0.25">
      <c r="A82" s="43"/>
      <c r="B82" s="34"/>
      <c r="C82" s="47"/>
      <c r="D82" s="47">
        <v>73</v>
      </c>
      <c r="E82" s="48"/>
      <c r="F82" s="47"/>
      <c r="G82" s="47"/>
      <c r="H82" s="47"/>
      <c r="I82" s="47"/>
      <c r="J82" s="47"/>
      <c r="K82" s="47"/>
      <c r="L82" s="47"/>
      <c r="M82" s="47"/>
      <c r="N82" s="47"/>
      <c r="O82" s="47"/>
      <c r="P82" s="47"/>
      <c r="Q82" s="47"/>
      <c r="R82" s="47"/>
      <c r="S82" s="47"/>
      <c r="T82" s="47"/>
      <c r="U82" s="49" t="str">
        <f ca="1">IF(COUNTIF(OFFSET($E82,0,1):OFFSET(U82,0,-1),"=*")&gt;0,IF($C82="К","-"," - "),IF(COUNTIF(OFFSET($E82,0,1):OFFSET(U82,0,-1),"&lt;4")&gt;0,IF(C82="К","-"," - "),(IFERROR(AVERAGE(OFFSET($E82,0,1):OFFSET(U82,0,-1)),"Очікую"))))</f>
        <v>Очікую</v>
      </c>
      <c r="V82" s="49" t="str">
        <f t="shared" ca="1" si="1"/>
        <v>Очікую</v>
      </c>
      <c r="W82" s="36"/>
      <c r="X82" s="42"/>
    </row>
    <row r="83" spans="1:24" s="12" customFormat="1" ht="15" customHeight="1" x14ac:dyDescent="0.25">
      <c r="A83" s="43"/>
      <c r="B83" s="34"/>
      <c r="C83" s="47"/>
      <c r="D83" s="47">
        <v>74</v>
      </c>
      <c r="E83" s="48"/>
      <c r="F83" s="47"/>
      <c r="G83" s="47"/>
      <c r="H83" s="47"/>
      <c r="I83" s="47"/>
      <c r="J83" s="47"/>
      <c r="K83" s="47"/>
      <c r="L83" s="47"/>
      <c r="M83" s="47"/>
      <c r="N83" s="47"/>
      <c r="O83" s="47"/>
      <c r="P83" s="47"/>
      <c r="Q83" s="47"/>
      <c r="R83" s="47"/>
      <c r="S83" s="47"/>
      <c r="T83" s="47"/>
      <c r="U83" s="49" t="str">
        <f ca="1">IF(COUNTIF(OFFSET($E83,0,1):OFFSET(U83,0,-1),"=*")&gt;0,IF($C83="К","-"," - "),IF(COUNTIF(OFFSET($E83,0,1):OFFSET(U83,0,-1),"&lt;4")&gt;0,IF(C83="К","-"," - "),(IFERROR(AVERAGE(OFFSET($E83,0,1):OFFSET(U83,0,-1)),"Очікую"))))</f>
        <v>Очікую</v>
      </c>
      <c r="V83" s="49" t="str">
        <f t="shared" ca="1" si="1"/>
        <v>Очікую</v>
      </c>
      <c r="W83" s="36"/>
      <c r="X83" s="42"/>
    </row>
    <row r="84" spans="1:24" s="12" customFormat="1" ht="15" customHeight="1" x14ac:dyDescent="0.25">
      <c r="A84" s="43"/>
      <c r="B84" s="34"/>
      <c r="C84" s="47"/>
      <c r="D84" s="47">
        <v>75</v>
      </c>
      <c r="E84" s="48"/>
      <c r="F84" s="47"/>
      <c r="G84" s="47"/>
      <c r="H84" s="47"/>
      <c r="I84" s="47"/>
      <c r="J84" s="47"/>
      <c r="K84" s="47"/>
      <c r="L84" s="47"/>
      <c r="M84" s="47"/>
      <c r="N84" s="47"/>
      <c r="O84" s="47"/>
      <c r="P84" s="47"/>
      <c r="Q84" s="47"/>
      <c r="R84" s="47"/>
      <c r="S84" s="47"/>
      <c r="T84" s="47"/>
      <c r="U84" s="49" t="str">
        <f ca="1">IF(COUNTIF(OFFSET($E84,0,1):OFFSET(U84,0,-1),"=*")&gt;0,IF($C84="К","-"," - "),IF(COUNTIF(OFFSET($E84,0,1):OFFSET(U84,0,-1),"&lt;4")&gt;0,IF(C84="К","-"," - "),(IFERROR(AVERAGE(OFFSET($E84,0,1):OFFSET(U84,0,-1)),"Очікую"))))</f>
        <v>Очікую</v>
      </c>
      <c r="V84" s="49" t="str">
        <f t="shared" ca="1" si="1"/>
        <v>Очікую</v>
      </c>
      <c r="W84" s="36"/>
      <c r="X84" s="42"/>
    </row>
    <row r="85" spans="1:24" s="12" customFormat="1" ht="15" customHeight="1" x14ac:dyDescent="0.25">
      <c r="A85" s="43"/>
      <c r="B85" s="34"/>
      <c r="C85" s="47"/>
      <c r="D85" s="47">
        <v>76</v>
      </c>
      <c r="E85" s="48"/>
      <c r="F85" s="47"/>
      <c r="G85" s="47"/>
      <c r="H85" s="47"/>
      <c r="I85" s="47"/>
      <c r="J85" s="47"/>
      <c r="K85" s="47"/>
      <c r="L85" s="47"/>
      <c r="M85" s="47"/>
      <c r="N85" s="47"/>
      <c r="O85" s="47"/>
      <c r="P85" s="47"/>
      <c r="Q85" s="47"/>
      <c r="R85" s="47"/>
      <c r="S85" s="47"/>
      <c r="T85" s="47"/>
      <c r="U85" s="49" t="str">
        <f ca="1">IF(COUNTIF(OFFSET($E85,0,1):OFFSET(U85,0,-1),"=*")&gt;0,IF($C85="К","-"," - "),IF(COUNTIF(OFFSET($E85,0,1):OFFSET(U85,0,-1),"&lt;4")&gt;0,IF(C85="К","-"," - "),(IFERROR(AVERAGE(OFFSET($E85,0,1):OFFSET(U85,0,-1)),"Очікую"))))</f>
        <v>Очікую</v>
      </c>
      <c r="V85" s="49" t="str">
        <f t="shared" ca="1" si="1"/>
        <v>Очікую</v>
      </c>
      <c r="W85" s="36"/>
      <c r="X85" s="42"/>
    </row>
    <row r="86" spans="1:24" s="12" customFormat="1" ht="15" customHeight="1" x14ac:dyDescent="0.25">
      <c r="A86" s="43"/>
      <c r="B86" s="34"/>
      <c r="C86" s="47"/>
      <c r="D86" s="47">
        <v>77</v>
      </c>
      <c r="E86" s="48"/>
      <c r="F86" s="47"/>
      <c r="G86" s="47"/>
      <c r="H86" s="47"/>
      <c r="I86" s="47"/>
      <c r="J86" s="47"/>
      <c r="K86" s="47"/>
      <c r="L86" s="47"/>
      <c r="M86" s="47"/>
      <c r="N86" s="47"/>
      <c r="O86" s="47"/>
      <c r="P86" s="47"/>
      <c r="Q86" s="47"/>
      <c r="R86" s="47"/>
      <c r="S86" s="47"/>
      <c r="T86" s="47"/>
      <c r="U86" s="49" t="str">
        <f ca="1">IF(COUNTIF(OFFSET($E86,0,1):OFFSET(U86,0,-1),"=*")&gt;0,IF($C86="К","-"," - "),IF(COUNTIF(OFFSET($E86,0,1):OFFSET(U86,0,-1),"&lt;4")&gt;0,IF(C86="К","-"," - "),(IFERROR(AVERAGE(OFFSET($E86,0,1):OFFSET(U86,0,-1)),"Очікую"))))</f>
        <v>Очікую</v>
      </c>
      <c r="V86" s="49" t="str">
        <f t="shared" ca="1" si="1"/>
        <v>Очікую</v>
      </c>
      <c r="W86" s="36"/>
      <c r="X86" s="42"/>
    </row>
    <row r="87" spans="1:24" s="12" customFormat="1" ht="15" customHeight="1" x14ac:dyDescent="0.25">
      <c r="A87" s="43"/>
      <c r="B87" s="34"/>
      <c r="C87" s="47"/>
      <c r="D87" s="47">
        <v>78</v>
      </c>
      <c r="E87" s="48"/>
      <c r="F87" s="47"/>
      <c r="G87" s="47"/>
      <c r="H87" s="47"/>
      <c r="I87" s="47"/>
      <c r="J87" s="47"/>
      <c r="K87" s="47"/>
      <c r="L87" s="47"/>
      <c r="M87" s="47"/>
      <c r="N87" s="47"/>
      <c r="O87" s="47"/>
      <c r="P87" s="47"/>
      <c r="Q87" s="47"/>
      <c r="R87" s="47"/>
      <c r="S87" s="47"/>
      <c r="T87" s="47"/>
      <c r="U87" s="49" t="str">
        <f ca="1">IF(COUNTIF(OFFSET($E87,0,1):OFFSET(U87,0,-1),"=*")&gt;0,IF($C87="К","-"," - "),IF(COUNTIF(OFFSET($E87,0,1):OFFSET(U87,0,-1),"&lt;4")&gt;0,IF(C87="К","-"," - "),(IFERROR(AVERAGE(OFFSET($E87,0,1):OFFSET(U87,0,-1)),"Очікую"))))</f>
        <v>Очікую</v>
      </c>
      <c r="V87" s="49" t="str">
        <f t="shared" ca="1" si="1"/>
        <v>Очікую</v>
      </c>
      <c r="W87" s="36"/>
      <c r="X87" s="42"/>
    </row>
    <row r="88" spans="1:24" s="12" customFormat="1" ht="15" customHeight="1" x14ac:dyDescent="0.25">
      <c r="A88" s="43"/>
      <c r="B88" s="34"/>
      <c r="C88" s="47"/>
      <c r="D88" s="47">
        <v>79</v>
      </c>
      <c r="E88" s="48"/>
      <c r="F88" s="47"/>
      <c r="G88" s="47"/>
      <c r="H88" s="47"/>
      <c r="I88" s="47"/>
      <c r="J88" s="47"/>
      <c r="K88" s="47"/>
      <c r="L88" s="47"/>
      <c r="M88" s="47"/>
      <c r="N88" s="47"/>
      <c r="O88" s="47"/>
      <c r="P88" s="47"/>
      <c r="Q88" s="47"/>
      <c r="R88" s="47"/>
      <c r="S88" s="47"/>
      <c r="T88" s="47"/>
      <c r="U88" s="49" t="str">
        <f ca="1">IF(COUNTIF(OFFSET($E88,0,1):OFFSET(U88,0,-1),"=*")&gt;0,IF($C88="К","-"," - "),IF(COUNTIF(OFFSET($E88,0,1):OFFSET(U88,0,-1),"&lt;4")&gt;0,IF(C88="К","-"," - "),(IFERROR(AVERAGE(OFFSET($E88,0,1):OFFSET(U88,0,-1)),"Очікую"))))</f>
        <v>Очікую</v>
      </c>
      <c r="V88" s="49" t="str">
        <f t="shared" ca="1" si="1"/>
        <v>Очікую</v>
      </c>
      <c r="W88" s="36"/>
      <c r="X88" s="42"/>
    </row>
    <row r="89" spans="1:24" s="12" customFormat="1" ht="15" customHeight="1" x14ac:dyDescent="0.25">
      <c r="A89" s="43"/>
      <c r="B89" s="34"/>
      <c r="C89" s="47"/>
      <c r="D89" s="47">
        <v>80</v>
      </c>
      <c r="E89" s="48"/>
      <c r="F89" s="47"/>
      <c r="G89" s="47"/>
      <c r="H89" s="47"/>
      <c r="I89" s="47"/>
      <c r="J89" s="47"/>
      <c r="K89" s="47"/>
      <c r="L89" s="47"/>
      <c r="M89" s="47"/>
      <c r="N89" s="47"/>
      <c r="O89" s="47"/>
      <c r="P89" s="47"/>
      <c r="Q89" s="47"/>
      <c r="R89" s="47"/>
      <c r="S89" s="47"/>
      <c r="T89" s="47"/>
      <c r="U89" s="49" t="str">
        <f ca="1">IF(COUNTIF(OFFSET($E89,0,1):OFFSET(U89,0,-1),"=*")&gt;0,IF($C89="К","-"," - "),IF(COUNTIF(OFFSET($E89,0,1):OFFSET(U89,0,-1),"&lt;4")&gt;0,IF(C89="К","-"," - "),(IFERROR(AVERAGE(OFFSET($E89,0,1):OFFSET(U89,0,-1)),"Очікую"))))</f>
        <v>Очікую</v>
      </c>
      <c r="V89" s="49" t="str">
        <f t="shared" ca="1" si="1"/>
        <v>Очікую</v>
      </c>
      <c r="W89" s="36"/>
      <c r="X89" s="42"/>
    </row>
    <row r="90" spans="1:24" s="12" customFormat="1" ht="15" customHeight="1" x14ac:dyDescent="0.25">
      <c r="A90" s="43"/>
      <c r="B90" s="34"/>
      <c r="C90" s="47"/>
      <c r="D90" s="47">
        <v>81</v>
      </c>
      <c r="E90" s="48"/>
      <c r="F90" s="47"/>
      <c r="G90" s="47"/>
      <c r="H90" s="47"/>
      <c r="I90" s="47"/>
      <c r="J90" s="47"/>
      <c r="K90" s="47"/>
      <c r="L90" s="47"/>
      <c r="M90" s="47"/>
      <c r="N90" s="47"/>
      <c r="O90" s="47"/>
      <c r="P90" s="47"/>
      <c r="Q90" s="47"/>
      <c r="R90" s="47"/>
      <c r="S90" s="47"/>
      <c r="T90" s="47"/>
      <c r="U90" s="49" t="str">
        <f ca="1">IF(COUNTIF(OFFSET($E90,0,1):OFFSET(U90,0,-1),"=*")&gt;0,IF($C90="К","-"," - "),IF(COUNTIF(OFFSET($E90,0,1):OFFSET(U90,0,-1),"&lt;4")&gt;0,IF(C90="К","-"," - "),(IFERROR(AVERAGE(OFFSET($E90,0,1):OFFSET(U90,0,-1)),"Очікую"))))</f>
        <v>Очікую</v>
      </c>
      <c r="V90" s="49" t="str">
        <f t="shared" ca="1" si="1"/>
        <v>Очікую</v>
      </c>
      <c r="W90" s="36"/>
      <c r="X90" s="42"/>
    </row>
    <row r="91" spans="1:24" s="12" customFormat="1" ht="15" customHeight="1" x14ac:dyDescent="0.25">
      <c r="A91" s="43"/>
      <c r="B91" s="34"/>
      <c r="C91" s="47"/>
      <c r="D91" s="47">
        <v>82</v>
      </c>
      <c r="E91" s="48"/>
      <c r="F91" s="47"/>
      <c r="G91" s="47"/>
      <c r="H91" s="47"/>
      <c r="I91" s="47"/>
      <c r="J91" s="47"/>
      <c r="K91" s="47"/>
      <c r="L91" s="47"/>
      <c r="M91" s="47"/>
      <c r="N91" s="47"/>
      <c r="O91" s="47"/>
      <c r="P91" s="47"/>
      <c r="Q91" s="47"/>
      <c r="R91" s="47"/>
      <c r="S91" s="47"/>
      <c r="T91" s="47"/>
      <c r="U91" s="49" t="str">
        <f ca="1">IF(COUNTIF(OFFSET($E91,0,1):OFFSET(U91,0,-1),"=*")&gt;0,IF($C91="К","-"," - "),IF(COUNTIF(OFFSET($E91,0,1):OFFSET(U91,0,-1),"&lt;4")&gt;0,IF(C91="К","-"," - "),(IFERROR(AVERAGE(OFFSET($E91,0,1):OFFSET(U91,0,-1)),"Очікую"))))</f>
        <v>Очікую</v>
      </c>
      <c r="V91" s="49" t="str">
        <f t="shared" ca="1" si="1"/>
        <v>Очікую</v>
      </c>
      <c r="W91" s="36"/>
      <c r="X91" s="42"/>
    </row>
    <row r="92" spans="1:24" s="12" customFormat="1" ht="15" customHeight="1" x14ac:dyDescent="0.25">
      <c r="A92" s="43"/>
      <c r="B92" s="34"/>
      <c r="C92" s="47"/>
      <c r="D92" s="47">
        <v>83</v>
      </c>
      <c r="E92" s="48"/>
      <c r="F92" s="47"/>
      <c r="G92" s="47"/>
      <c r="H92" s="47"/>
      <c r="I92" s="47"/>
      <c r="J92" s="47"/>
      <c r="K92" s="47"/>
      <c r="L92" s="47"/>
      <c r="M92" s="47"/>
      <c r="N92" s="47"/>
      <c r="O92" s="47"/>
      <c r="P92" s="47"/>
      <c r="Q92" s="47"/>
      <c r="R92" s="47"/>
      <c r="S92" s="47"/>
      <c r="T92" s="47"/>
      <c r="U92" s="49" t="str">
        <f ca="1">IF(COUNTIF(OFFSET($E92,0,1):OFFSET(U92,0,-1),"=*")&gt;0,IF($C92="К","-"," - "),IF(COUNTIF(OFFSET($E92,0,1):OFFSET(U92,0,-1),"&lt;4")&gt;0,IF(C92="К","-"," - "),(IFERROR(AVERAGE(OFFSET($E92,0,1):OFFSET(U92,0,-1)),"Очікую"))))</f>
        <v>Очікую</v>
      </c>
      <c r="V92" s="49" t="str">
        <f t="shared" ca="1" si="1"/>
        <v>Очікую</v>
      </c>
      <c r="W92" s="36"/>
      <c r="X92" s="42"/>
    </row>
    <row r="93" spans="1:24" s="12" customFormat="1" ht="15" customHeight="1" x14ac:dyDescent="0.25">
      <c r="A93" s="43"/>
      <c r="B93" s="34"/>
      <c r="C93" s="47"/>
      <c r="D93" s="47">
        <v>84</v>
      </c>
      <c r="E93" s="48"/>
      <c r="F93" s="47"/>
      <c r="G93" s="47"/>
      <c r="H93" s="47"/>
      <c r="I93" s="47"/>
      <c r="J93" s="47"/>
      <c r="K93" s="47"/>
      <c r="L93" s="47"/>
      <c r="M93" s="47"/>
      <c r="N93" s="47"/>
      <c r="O93" s="47"/>
      <c r="P93" s="47"/>
      <c r="Q93" s="47"/>
      <c r="R93" s="47"/>
      <c r="S93" s="47"/>
      <c r="T93" s="47"/>
      <c r="U93" s="49" t="str">
        <f ca="1">IF(COUNTIF(OFFSET($E93,0,1):OFFSET(U93,0,-1),"=*")&gt;0,IF($C93="К","-"," - "),IF(COUNTIF(OFFSET($E93,0,1):OFFSET(U93,0,-1),"&lt;4")&gt;0,IF(C93="К","-"," - "),(IFERROR(AVERAGE(OFFSET($E93,0,1):OFFSET(U93,0,-1)),"Очікую"))))</f>
        <v>Очікую</v>
      </c>
      <c r="V93" s="49" t="str">
        <f t="shared" ca="1" si="1"/>
        <v>Очікую</v>
      </c>
      <c r="W93" s="36"/>
      <c r="X93" s="42"/>
    </row>
    <row r="94" spans="1:24" s="12" customFormat="1" ht="15" customHeight="1" x14ac:dyDescent="0.25">
      <c r="A94" s="43"/>
      <c r="B94" s="34"/>
      <c r="C94" s="47"/>
      <c r="D94" s="47">
        <v>85</v>
      </c>
      <c r="E94" s="48"/>
      <c r="F94" s="47"/>
      <c r="G94" s="47"/>
      <c r="H94" s="47"/>
      <c r="I94" s="47"/>
      <c r="J94" s="47"/>
      <c r="K94" s="47"/>
      <c r="L94" s="47"/>
      <c r="M94" s="47"/>
      <c r="N94" s="47"/>
      <c r="O94" s="47"/>
      <c r="P94" s="47"/>
      <c r="Q94" s="47"/>
      <c r="R94" s="47"/>
      <c r="S94" s="47"/>
      <c r="T94" s="47"/>
      <c r="U94" s="49" t="str">
        <f ca="1">IF(COUNTIF(OFFSET($E94,0,1):OFFSET(U94,0,-1),"=*")&gt;0,IF($C94="К","-"," - "),IF(COUNTIF(OFFSET($E94,0,1):OFFSET(U94,0,-1),"&lt;4")&gt;0,IF(C94="К","-"," - "),(IFERROR(AVERAGE(OFFSET($E94,0,1):OFFSET(U94,0,-1)),"Очікую"))))</f>
        <v>Очікую</v>
      </c>
      <c r="V94" s="49" t="str">
        <f t="shared" ca="1" si="1"/>
        <v>Очікую</v>
      </c>
      <c r="W94" s="36"/>
      <c r="X94" s="42"/>
    </row>
    <row r="95" spans="1:24" s="12" customFormat="1" ht="15" customHeight="1" x14ac:dyDescent="0.25">
      <c r="A95" s="43"/>
      <c r="B95" s="34"/>
      <c r="C95" s="47"/>
      <c r="D95" s="47">
        <v>86</v>
      </c>
      <c r="E95" s="48"/>
      <c r="F95" s="47"/>
      <c r="G95" s="47"/>
      <c r="H95" s="47"/>
      <c r="I95" s="47"/>
      <c r="J95" s="47"/>
      <c r="K95" s="47"/>
      <c r="L95" s="47"/>
      <c r="M95" s="47"/>
      <c r="N95" s="47"/>
      <c r="O95" s="47"/>
      <c r="P95" s="47"/>
      <c r="Q95" s="47"/>
      <c r="R95" s="47"/>
      <c r="S95" s="47"/>
      <c r="T95" s="47"/>
      <c r="U95" s="49" t="str">
        <f ca="1">IF(COUNTIF(OFFSET($E95,0,1):OFFSET(U95,0,-1),"=*")&gt;0,IF($C95="К","-"," - "),IF(COUNTIF(OFFSET($E95,0,1):OFFSET(U95,0,-1),"&lt;4")&gt;0,IF(C95="К","-"," - "),(IFERROR(AVERAGE(OFFSET($E95,0,1):OFFSET(U95,0,-1)),"Очікую"))))</f>
        <v>Очікую</v>
      </c>
      <c r="V95" s="49" t="str">
        <f t="shared" ca="1" si="1"/>
        <v>Очікую</v>
      </c>
      <c r="W95" s="36"/>
      <c r="X95" s="42"/>
    </row>
    <row r="96" spans="1:24" s="12" customFormat="1" ht="15" customHeight="1" x14ac:dyDescent="0.25">
      <c r="A96" s="43"/>
      <c r="B96" s="34"/>
      <c r="C96" s="47"/>
      <c r="D96" s="47">
        <v>87</v>
      </c>
      <c r="E96" s="48"/>
      <c r="F96" s="47"/>
      <c r="G96" s="47"/>
      <c r="H96" s="47"/>
      <c r="I96" s="47"/>
      <c r="J96" s="47"/>
      <c r="K96" s="47"/>
      <c r="L96" s="47"/>
      <c r="M96" s="47"/>
      <c r="N96" s="47"/>
      <c r="O96" s="47"/>
      <c r="P96" s="47"/>
      <c r="Q96" s="47"/>
      <c r="R96" s="47"/>
      <c r="S96" s="47"/>
      <c r="T96" s="47"/>
      <c r="U96" s="49" t="str">
        <f ca="1">IF(COUNTIF(OFFSET($E96,0,1):OFFSET(U96,0,-1),"=*")&gt;0,IF($C96="К","-"," - "),IF(COUNTIF(OFFSET($E96,0,1):OFFSET(U96,0,-1),"&lt;4")&gt;0,IF(C96="К","-"," - "),(IFERROR(AVERAGE(OFFSET($E96,0,1):OFFSET(U96,0,-1)),"Очікую"))))</f>
        <v>Очікую</v>
      </c>
      <c r="V96" s="49" t="str">
        <f t="shared" ca="1" si="1"/>
        <v>Очікую</v>
      </c>
      <c r="W96" s="36"/>
      <c r="X96" s="42"/>
    </row>
    <row r="97" spans="1:24" s="12" customFormat="1" ht="15" customHeight="1" x14ac:dyDescent="0.25">
      <c r="A97" s="43"/>
      <c r="B97" s="34"/>
      <c r="C97" s="47"/>
      <c r="D97" s="47">
        <v>88</v>
      </c>
      <c r="E97" s="48"/>
      <c r="F97" s="47"/>
      <c r="G97" s="47"/>
      <c r="H97" s="47"/>
      <c r="I97" s="47"/>
      <c r="J97" s="47"/>
      <c r="K97" s="47"/>
      <c r="L97" s="47"/>
      <c r="M97" s="47"/>
      <c r="N97" s="47"/>
      <c r="O97" s="47"/>
      <c r="P97" s="47"/>
      <c r="Q97" s="47"/>
      <c r="R97" s="47"/>
      <c r="S97" s="47"/>
      <c r="T97" s="47"/>
      <c r="U97" s="49" t="str">
        <f ca="1">IF(COUNTIF(OFFSET($E97,0,1):OFFSET(U97,0,-1),"=*")&gt;0,IF($C97="К","-"," - "),IF(COUNTIF(OFFSET($E97,0,1):OFFSET(U97,0,-1),"&lt;4")&gt;0,IF(C97="К","-"," - "),(IFERROR(AVERAGE(OFFSET($E97,0,1):OFFSET(U97,0,-1)),"Очікую"))))</f>
        <v>Очікую</v>
      </c>
      <c r="V97" s="49" t="str">
        <f t="shared" ca="1" si="1"/>
        <v>Очікую</v>
      </c>
      <c r="W97" s="36"/>
      <c r="X97" s="42"/>
    </row>
    <row r="98" spans="1:24" s="12" customFormat="1" ht="15" customHeight="1" x14ac:dyDescent="0.25">
      <c r="A98" s="43"/>
      <c r="B98" s="34"/>
      <c r="C98" s="47"/>
      <c r="D98" s="47">
        <v>89</v>
      </c>
      <c r="E98" s="48"/>
      <c r="F98" s="47"/>
      <c r="G98" s="47"/>
      <c r="H98" s="47"/>
      <c r="I98" s="47"/>
      <c r="J98" s="47"/>
      <c r="K98" s="47"/>
      <c r="L98" s="47"/>
      <c r="M98" s="47"/>
      <c r="N98" s="47"/>
      <c r="O98" s="47"/>
      <c r="P98" s="47"/>
      <c r="Q98" s="47"/>
      <c r="R98" s="47"/>
      <c r="S98" s="47"/>
      <c r="T98" s="47"/>
      <c r="U98" s="49" t="str">
        <f ca="1">IF(COUNTIF(OFFSET($E98,0,1):OFFSET(U98,0,-1),"=*")&gt;0,IF($C98="К","-"," - "),IF(COUNTIF(OFFSET($E98,0,1):OFFSET(U98,0,-1),"&lt;4")&gt;0,IF(C98="К","-"," - "),(IFERROR(AVERAGE(OFFSET($E98,0,1):OFFSET(U98,0,-1)),"Очікую"))))</f>
        <v>Очікую</v>
      </c>
      <c r="V98" s="49" t="str">
        <f t="shared" ca="1" si="1"/>
        <v>Очікую</v>
      </c>
      <c r="W98" s="36"/>
      <c r="X98" s="42"/>
    </row>
    <row r="99" spans="1:24" s="12" customFormat="1" ht="15" customHeight="1" x14ac:dyDescent="0.25">
      <c r="A99" s="43"/>
      <c r="B99" s="34"/>
      <c r="C99" s="47"/>
      <c r="D99" s="47">
        <v>90</v>
      </c>
      <c r="E99" s="48"/>
      <c r="F99" s="47"/>
      <c r="G99" s="47"/>
      <c r="H99" s="47"/>
      <c r="I99" s="47"/>
      <c r="J99" s="47"/>
      <c r="K99" s="47"/>
      <c r="L99" s="47"/>
      <c r="M99" s="47"/>
      <c r="N99" s="47"/>
      <c r="O99" s="47"/>
      <c r="P99" s="47"/>
      <c r="Q99" s="47"/>
      <c r="R99" s="47"/>
      <c r="S99" s="47"/>
      <c r="T99" s="47"/>
      <c r="U99" s="49" t="str">
        <f ca="1">IF(COUNTIF(OFFSET($E99,0,1):OFFSET(U99,0,-1),"=*")&gt;0,IF($C99="К","-"," - "),IF(COUNTIF(OFFSET($E99,0,1):OFFSET(U99,0,-1),"&lt;4")&gt;0,IF(C99="К","-"," - "),(IFERROR(AVERAGE(OFFSET($E99,0,1):OFFSET(U99,0,-1)),"Очікую"))))</f>
        <v>Очікую</v>
      </c>
      <c r="V99" s="49" t="str">
        <f t="shared" ca="1" si="1"/>
        <v>Очікую</v>
      </c>
      <c r="W99" s="36"/>
      <c r="X99" s="42"/>
    </row>
    <row r="100" spans="1:24" s="12" customFormat="1" ht="15" customHeight="1" x14ac:dyDescent="0.25">
      <c r="A100" s="43"/>
      <c r="B100" s="34"/>
      <c r="C100" s="47"/>
      <c r="D100" s="47">
        <v>91</v>
      </c>
      <c r="E100" s="48"/>
      <c r="F100" s="47"/>
      <c r="G100" s="47"/>
      <c r="H100" s="47"/>
      <c r="I100" s="47"/>
      <c r="J100" s="47"/>
      <c r="K100" s="47"/>
      <c r="L100" s="47"/>
      <c r="M100" s="47"/>
      <c r="N100" s="47"/>
      <c r="O100" s="47"/>
      <c r="P100" s="47"/>
      <c r="Q100" s="47"/>
      <c r="R100" s="47"/>
      <c r="S100" s="47"/>
      <c r="T100" s="47"/>
      <c r="U100" s="49" t="str">
        <f ca="1">IF(COUNTIF(OFFSET($E100,0,1):OFFSET(U100,0,-1),"=*")&gt;0,IF($C100="К","-"," - "),IF(COUNTIF(OFFSET($E100,0,1):OFFSET(U100,0,-1),"&lt;4")&gt;0,IF(C100="К","-"," - "),(IFERROR(AVERAGE(OFFSET($E100,0,1):OFFSET(U100,0,-1)),"Очікую"))))</f>
        <v>Очікую</v>
      </c>
      <c r="V100" s="49" t="str">
        <f t="shared" ca="1" si="1"/>
        <v>Очікую</v>
      </c>
      <c r="W100" s="36"/>
      <c r="X100" s="42"/>
    </row>
    <row r="101" spans="1:24" s="12" customFormat="1" ht="15" customHeight="1" x14ac:dyDescent="0.25">
      <c r="A101" s="43"/>
      <c r="B101" s="34"/>
      <c r="C101" s="47"/>
      <c r="D101" s="47">
        <v>92</v>
      </c>
      <c r="E101" s="48"/>
      <c r="F101" s="47"/>
      <c r="G101" s="47"/>
      <c r="H101" s="47"/>
      <c r="I101" s="47"/>
      <c r="J101" s="47"/>
      <c r="K101" s="47"/>
      <c r="L101" s="47"/>
      <c r="M101" s="47"/>
      <c r="N101" s="47"/>
      <c r="O101" s="47"/>
      <c r="P101" s="47"/>
      <c r="Q101" s="47"/>
      <c r="R101" s="47"/>
      <c r="S101" s="47"/>
      <c r="T101" s="47"/>
      <c r="U101" s="49" t="str">
        <f ca="1">IF(COUNTIF(OFFSET($E101,0,1):OFFSET(U101,0,-1),"=*")&gt;0,IF($C101="К","-"," - "),IF(COUNTIF(OFFSET($E101,0,1):OFFSET(U101,0,-1),"&lt;4")&gt;0,IF(C101="К","-"," - "),(IFERROR(AVERAGE(OFFSET($E101,0,1):OFFSET(U101,0,-1)),"Очікую"))))</f>
        <v>Очікую</v>
      </c>
      <c r="V101" s="49" t="str">
        <f t="shared" ca="1" si="1"/>
        <v>Очікую</v>
      </c>
      <c r="W101" s="36"/>
      <c r="X101" s="42"/>
    </row>
    <row r="102" spans="1:24" s="12" customFormat="1" ht="15" customHeight="1" x14ac:dyDescent="0.25">
      <c r="A102" s="43"/>
      <c r="B102" s="34"/>
      <c r="C102" s="47"/>
      <c r="D102" s="47">
        <v>93</v>
      </c>
      <c r="E102" s="48"/>
      <c r="F102" s="47"/>
      <c r="G102" s="47"/>
      <c r="H102" s="47"/>
      <c r="I102" s="47"/>
      <c r="J102" s="47"/>
      <c r="K102" s="47"/>
      <c r="L102" s="47"/>
      <c r="M102" s="47"/>
      <c r="N102" s="47"/>
      <c r="O102" s="47"/>
      <c r="P102" s="47"/>
      <c r="Q102" s="47"/>
      <c r="R102" s="47"/>
      <c r="S102" s="47"/>
      <c r="T102" s="47"/>
      <c r="U102" s="49" t="str">
        <f ca="1">IF(COUNTIF(OFFSET($E102,0,1):OFFSET(U102,0,-1),"=*")&gt;0,IF($C102="К","-"," - "),IF(COUNTIF(OFFSET($E102,0,1):OFFSET(U102,0,-1),"&lt;4")&gt;0,IF(C102="К","-"," - "),(IFERROR(AVERAGE(OFFSET($E102,0,1):OFFSET(U102,0,-1)),"Очікую"))))</f>
        <v>Очікую</v>
      </c>
      <c r="V102" s="49" t="str">
        <f t="shared" ca="1" si="1"/>
        <v>Очікую</v>
      </c>
      <c r="W102" s="36"/>
      <c r="X102" s="42"/>
    </row>
    <row r="103" spans="1:24" s="12" customFormat="1" ht="15" customHeight="1" x14ac:dyDescent="0.25">
      <c r="A103" s="43"/>
      <c r="B103" s="34"/>
      <c r="C103" s="47"/>
      <c r="D103" s="47">
        <v>94</v>
      </c>
      <c r="E103" s="48"/>
      <c r="F103" s="47"/>
      <c r="G103" s="47"/>
      <c r="H103" s="47"/>
      <c r="I103" s="47"/>
      <c r="J103" s="47"/>
      <c r="K103" s="47"/>
      <c r="L103" s="47"/>
      <c r="M103" s="47"/>
      <c r="N103" s="47"/>
      <c r="O103" s="47"/>
      <c r="P103" s="47"/>
      <c r="Q103" s="47"/>
      <c r="R103" s="47"/>
      <c r="S103" s="47"/>
      <c r="T103" s="47"/>
      <c r="U103" s="49" t="str">
        <f ca="1">IF(COUNTIF(OFFSET($E103,0,1):OFFSET(U103,0,-1),"=*")&gt;0,IF($C103="К","-"," - "),IF(COUNTIF(OFFSET($E103,0,1):OFFSET(U103,0,-1),"&lt;4")&gt;0,IF(C103="К","-"," - "),(IFERROR(AVERAGE(OFFSET($E103,0,1):OFFSET(U103,0,-1)),"Очікую"))))</f>
        <v>Очікую</v>
      </c>
      <c r="V103" s="49" t="str">
        <f t="shared" ca="1" si="1"/>
        <v>Очікую</v>
      </c>
      <c r="W103" s="36"/>
      <c r="X103" s="42"/>
    </row>
    <row r="104" spans="1:24" s="12" customFormat="1" ht="15" customHeight="1" x14ac:dyDescent="0.25">
      <c r="A104" s="43"/>
      <c r="B104" s="34"/>
      <c r="C104" s="47"/>
      <c r="D104" s="47">
        <v>95</v>
      </c>
      <c r="E104" s="48"/>
      <c r="F104" s="47"/>
      <c r="G104" s="47"/>
      <c r="H104" s="47"/>
      <c r="I104" s="47"/>
      <c r="J104" s="47"/>
      <c r="K104" s="47"/>
      <c r="L104" s="47"/>
      <c r="M104" s="47"/>
      <c r="N104" s="47"/>
      <c r="O104" s="47"/>
      <c r="P104" s="47"/>
      <c r="Q104" s="47"/>
      <c r="R104" s="47"/>
      <c r="S104" s="47"/>
      <c r="T104" s="47"/>
      <c r="U104" s="49" t="str">
        <f ca="1">IF(COUNTIF(OFFSET($E104,0,1):OFFSET(U104,0,-1),"=*")&gt;0,IF($C104="К","-"," - "),IF(COUNTIF(OFFSET($E104,0,1):OFFSET(U104,0,-1),"&lt;4")&gt;0,IF(C104="К","-"," - "),(IFERROR(AVERAGE(OFFSET($E104,0,1):OFFSET(U104,0,-1)),"Очікую"))))</f>
        <v>Очікую</v>
      </c>
      <c r="V104" s="49" t="str">
        <f t="shared" ca="1" si="1"/>
        <v>Очікую</v>
      </c>
      <c r="W104" s="36"/>
      <c r="X104" s="42"/>
    </row>
    <row r="105" spans="1:24" s="12" customFormat="1" ht="15" customHeight="1" x14ac:dyDescent="0.25">
      <c r="A105" s="43"/>
      <c r="B105" s="34"/>
      <c r="C105" s="47"/>
      <c r="D105" s="47">
        <v>96</v>
      </c>
      <c r="E105" s="48"/>
      <c r="F105" s="47"/>
      <c r="G105" s="47"/>
      <c r="H105" s="47"/>
      <c r="I105" s="47"/>
      <c r="J105" s="47"/>
      <c r="K105" s="47"/>
      <c r="L105" s="47"/>
      <c r="M105" s="47"/>
      <c r="N105" s="47"/>
      <c r="O105" s="47"/>
      <c r="P105" s="47"/>
      <c r="Q105" s="47"/>
      <c r="R105" s="47"/>
      <c r="S105" s="47"/>
      <c r="T105" s="47"/>
      <c r="U105" s="49" t="str">
        <f ca="1">IF(COUNTIF(OFFSET($E105,0,1):OFFSET(U105,0,-1),"=*")&gt;0,IF($C105="К","-"," - "),IF(COUNTIF(OFFSET($E105,0,1):OFFSET(U105,0,-1),"&lt;4")&gt;0,IF(C105="К","-"," - "),(IFERROR(AVERAGE(OFFSET($E105,0,1):OFFSET(U105,0,-1)),"Очікую"))))</f>
        <v>Очікую</v>
      </c>
      <c r="V105" s="49" t="str">
        <f t="shared" ca="1" si="1"/>
        <v>Очікую</v>
      </c>
      <c r="W105" s="36"/>
      <c r="X105" s="42"/>
    </row>
    <row r="106" spans="1:24" s="12" customFormat="1" ht="15" customHeight="1" x14ac:dyDescent="0.25">
      <c r="A106" s="43"/>
      <c r="B106" s="34"/>
      <c r="C106" s="47"/>
      <c r="D106" s="47">
        <v>97</v>
      </c>
      <c r="E106" s="48"/>
      <c r="F106" s="47"/>
      <c r="G106" s="47"/>
      <c r="H106" s="47"/>
      <c r="I106" s="47"/>
      <c r="J106" s="47"/>
      <c r="K106" s="47"/>
      <c r="L106" s="47"/>
      <c r="M106" s="47"/>
      <c r="N106" s="47"/>
      <c r="O106" s="47"/>
      <c r="P106" s="47"/>
      <c r="Q106" s="47"/>
      <c r="R106" s="47"/>
      <c r="S106" s="47"/>
      <c r="T106" s="47"/>
      <c r="U106" s="49" t="str">
        <f ca="1">IF(COUNTIF(OFFSET($E106,0,1):OFFSET(U106,0,-1),"=*")&gt;0,IF($C106="К","-"," - "),IF(COUNTIF(OFFSET($E106,0,1):OFFSET(U106,0,-1),"&lt;4")&gt;0,IF(C106="К","-"," - "),(IFERROR(AVERAGE(OFFSET($E106,0,1):OFFSET(U106,0,-1)),"Очікую"))))</f>
        <v>Очікую</v>
      </c>
      <c r="V106" s="49" t="str">
        <f t="shared" ca="1" si="1"/>
        <v>Очікую</v>
      </c>
      <c r="W106" s="36"/>
      <c r="X106" s="42"/>
    </row>
    <row r="107" spans="1:24" s="12" customFormat="1" ht="15" customHeight="1" x14ac:dyDescent="0.25">
      <c r="A107" s="43"/>
      <c r="B107" s="34"/>
      <c r="C107" s="47"/>
      <c r="D107" s="47">
        <v>98</v>
      </c>
      <c r="E107" s="48"/>
      <c r="F107" s="47"/>
      <c r="G107" s="47"/>
      <c r="H107" s="47"/>
      <c r="I107" s="47"/>
      <c r="J107" s="47"/>
      <c r="K107" s="47"/>
      <c r="L107" s="47"/>
      <c r="M107" s="47"/>
      <c r="N107" s="47"/>
      <c r="O107" s="47"/>
      <c r="P107" s="47"/>
      <c r="Q107" s="47"/>
      <c r="R107" s="47"/>
      <c r="S107" s="47"/>
      <c r="T107" s="47"/>
      <c r="U107" s="49" t="str">
        <f ca="1">IF(COUNTIF(OFFSET($E107,0,1):OFFSET(U107,0,-1),"=*")&gt;0,IF($C107="К","-"," - "),IF(COUNTIF(OFFSET($E107,0,1):OFFSET(U107,0,-1),"&lt;4")&gt;0,IF(C107="К","-"," - "),(IFERROR(AVERAGE(OFFSET($E107,0,1):OFFSET(U107,0,-1)),"Очікую"))))</f>
        <v>Очікую</v>
      </c>
      <c r="V107" s="49" t="str">
        <f t="shared" ca="1" si="1"/>
        <v>Очікую</v>
      </c>
      <c r="W107" s="36"/>
      <c r="X107" s="42"/>
    </row>
    <row r="108" spans="1:24" s="12" customFormat="1" ht="15" customHeight="1" x14ac:dyDescent="0.25">
      <c r="A108" s="43"/>
      <c r="B108" s="34"/>
      <c r="C108" s="47"/>
      <c r="D108" s="47">
        <v>99</v>
      </c>
      <c r="E108" s="48"/>
      <c r="F108" s="47"/>
      <c r="G108" s="47"/>
      <c r="H108" s="47"/>
      <c r="I108" s="47"/>
      <c r="J108" s="47"/>
      <c r="K108" s="47"/>
      <c r="L108" s="47"/>
      <c r="M108" s="47"/>
      <c r="N108" s="47"/>
      <c r="O108" s="47"/>
      <c r="P108" s="47"/>
      <c r="Q108" s="47"/>
      <c r="R108" s="47"/>
      <c r="S108" s="47"/>
      <c r="T108" s="47"/>
      <c r="U108" s="49" t="str">
        <f ca="1">IF(COUNTIF(OFFSET($E108,0,1):OFFSET(U108,0,-1),"=*")&gt;0,IF($C108="К","-"," - "),IF(COUNTIF(OFFSET($E108,0,1):OFFSET(U108,0,-1),"&lt;4")&gt;0,IF(C108="К","-"," - "),(IFERROR(AVERAGE(OFFSET($E108,0,1):OFFSET(U108,0,-1)),"Очікую"))))</f>
        <v>Очікую</v>
      </c>
      <c r="V108" s="49" t="str">
        <f t="shared" ca="1" si="1"/>
        <v>Очікую</v>
      </c>
      <c r="W108" s="36"/>
      <c r="X108" s="42"/>
    </row>
    <row r="109" spans="1:24" s="12" customFormat="1" ht="15" customHeight="1" x14ac:dyDescent="0.25">
      <c r="A109" s="43"/>
      <c r="B109" s="34"/>
      <c r="C109" s="47"/>
      <c r="D109" s="47">
        <v>100</v>
      </c>
      <c r="E109" s="48"/>
      <c r="F109" s="47"/>
      <c r="G109" s="47"/>
      <c r="H109" s="47"/>
      <c r="I109" s="47"/>
      <c r="J109" s="47"/>
      <c r="K109" s="47"/>
      <c r="L109" s="47"/>
      <c r="M109" s="47"/>
      <c r="N109" s="47"/>
      <c r="O109" s="47"/>
      <c r="P109" s="47"/>
      <c r="Q109" s="47"/>
      <c r="R109" s="47"/>
      <c r="S109" s="47"/>
      <c r="T109" s="47"/>
      <c r="U109" s="49" t="str">
        <f ca="1">IF(COUNTIF(OFFSET($E109,0,1):OFFSET(U109,0,-1),"=*")&gt;0,IF($C109="К","-"," - "),IF(COUNTIF(OFFSET($E109,0,1):OFFSET(U109,0,-1),"&lt;4")&gt;0,IF(C109="К","-"," - "),(IFERROR(AVERAGE(OFFSET($E109,0,1):OFFSET(U109,0,-1)),"Очікую"))))</f>
        <v>Очікую</v>
      </c>
      <c r="V109" s="49" t="str">
        <f t="shared" ca="1" si="1"/>
        <v>Очікую</v>
      </c>
      <c r="W109" s="36"/>
      <c r="X109" s="42"/>
    </row>
    <row r="110" spans="1:24" ht="15" customHeight="1" x14ac:dyDescent="0.25">
      <c r="A110" s="43"/>
      <c r="B110" s="34"/>
      <c r="C110" s="27"/>
      <c r="D110" s="27"/>
      <c r="E110" s="28" t="s">
        <v>9</v>
      </c>
      <c r="F110" s="5" t="str">
        <f ca="1">З9!F115</f>
        <v>Очікую</v>
      </c>
      <c r="G110" s="27"/>
      <c r="H110" s="29"/>
      <c r="I110" s="27"/>
      <c r="J110" s="27"/>
      <c r="K110" s="27"/>
      <c r="L110" s="27"/>
      <c r="M110" s="27"/>
      <c r="N110" s="27"/>
      <c r="O110" s="27"/>
      <c r="P110" s="30"/>
      <c r="Q110" s="29"/>
      <c r="R110" s="27"/>
      <c r="S110" s="27"/>
      <c r="T110" s="27"/>
      <c r="U110" s="27"/>
      <c r="V110" s="27"/>
      <c r="W110" s="35"/>
      <c r="X110" s="42"/>
    </row>
    <row r="111" spans="1:24" ht="15" customHeight="1" x14ac:dyDescent="0.25">
      <c r="A111" s="43"/>
      <c r="B111" s="34"/>
      <c r="C111" s="27"/>
      <c r="D111" s="27"/>
      <c r="E111" s="28" t="s">
        <v>10</v>
      </c>
      <c r="F111" s="5" t="str">
        <f ca="1">З9!F116</f>
        <v>Очікую</v>
      </c>
      <c r="G111" s="27"/>
      <c r="H111" s="78" t="s">
        <v>11</v>
      </c>
      <c r="I111" s="78"/>
      <c r="J111" s="78"/>
      <c r="K111" s="78"/>
      <c r="L111" s="78"/>
      <c r="M111" s="7"/>
      <c r="N111" s="7"/>
      <c r="O111" s="7"/>
      <c r="P111" s="79" t="s">
        <v>81</v>
      </c>
      <c r="Q111" s="79"/>
      <c r="R111" s="79"/>
      <c r="S111" s="79"/>
      <c r="T111" s="79"/>
      <c r="U111" s="79"/>
      <c r="V111" s="27"/>
      <c r="W111" s="35"/>
      <c r="X111" s="42"/>
    </row>
    <row r="112" spans="1:24" ht="15" customHeight="1" x14ac:dyDescent="0.25">
      <c r="A112" s="43"/>
      <c r="B112" s="34"/>
      <c r="C112" s="27"/>
      <c r="D112" s="27"/>
      <c r="E112" s="28" t="s">
        <v>12</v>
      </c>
      <c r="F112" s="5">
        <f>З9!F117</f>
        <v>0</v>
      </c>
      <c r="G112" s="27"/>
      <c r="H112" s="11"/>
      <c r="I112" s="7"/>
      <c r="J112" s="7"/>
      <c r="K112" s="7"/>
      <c r="L112" s="7"/>
      <c r="M112" s="7"/>
      <c r="N112" s="7"/>
      <c r="O112" s="7"/>
      <c r="P112" s="11"/>
      <c r="Q112" s="11"/>
      <c r="R112" s="7"/>
      <c r="S112" s="7"/>
      <c r="T112" s="7"/>
      <c r="U112" s="7"/>
      <c r="V112" s="27"/>
      <c r="W112" s="35"/>
      <c r="X112" s="42"/>
    </row>
    <row r="113" spans="1:24" ht="15" customHeight="1" x14ac:dyDescent="0.25">
      <c r="A113" s="43"/>
      <c r="B113" s="34"/>
      <c r="C113" s="27"/>
      <c r="D113" s="27"/>
      <c r="E113" s="28" t="s">
        <v>13</v>
      </c>
      <c r="F113" s="5" t="str">
        <f ca="1">З9!F118</f>
        <v>Очікую</v>
      </c>
      <c r="G113" s="27"/>
      <c r="H113" s="79" t="s">
        <v>14</v>
      </c>
      <c r="I113" s="79"/>
      <c r="J113" s="79"/>
      <c r="K113" s="79"/>
      <c r="L113" s="79"/>
      <c r="M113" s="7"/>
      <c r="N113" s="7"/>
      <c r="O113" s="7"/>
      <c r="P113" s="79" t="s">
        <v>15</v>
      </c>
      <c r="Q113" s="79"/>
      <c r="R113" s="79"/>
      <c r="S113" s="79"/>
      <c r="T113" s="79"/>
      <c r="U113" s="79"/>
      <c r="V113" s="27"/>
      <c r="W113" s="35"/>
      <c r="X113" s="42"/>
    </row>
    <row r="114" spans="1:24" ht="12" customHeight="1" thickBot="1" x14ac:dyDescent="0.3">
      <c r="A114" s="43"/>
      <c r="B114" s="37"/>
      <c r="C114" s="38"/>
      <c r="D114" s="38"/>
      <c r="E114" s="38"/>
      <c r="F114" s="38"/>
      <c r="G114" s="38"/>
      <c r="H114" s="38"/>
      <c r="I114" s="38"/>
      <c r="J114" s="38"/>
      <c r="K114" s="38"/>
      <c r="L114" s="38"/>
      <c r="M114" s="38"/>
      <c r="N114" s="38"/>
      <c r="O114" s="38"/>
      <c r="P114" s="38"/>
      <c r="Q114" s="38"/>
      <c r="R114" s="38"/>
      <c r="S114" s="38"/>
      <c r="T114" s="38"/>
      <c r="U114" s="38"/>
      <c r="V114" s="38"/>
      <c r="W114" s="39"/>
      <c r="X114" s="42"/>
    </row>
    <row r="115" spans="1:24" ht="12" customHeight="1" x14ac:dyDescent="0.25">
      <c r="A115" s="41"/>
      <c r="B115" s="17"/>
      <c r="C115" s="17"/>
      <c r="D115" s="17"/>
      <c r="E115" s="17"/>
      <c r="F115" s="17"/>
      <c r="G115" s="17"/>
      <c r="H115" s="17"/>
      <c r="I115" s="17"/>
      <c r="J115" s="17"/>
      <c r="K115" s="17"/>
      <c r="L115" s="17"/>
      <c r="M115" s="17"/>
      <c r="N115" s="17"/>
      <c r="O115" s="17"/>
      <c r="P115" s="17"/>
      <c r="Q115" s="17"/>
      <c r="R115" s="17"/>
      <c r="S115" s="17"/>
      <c r="T115" s="17"/>
      <c r="U115" s="17"/>
      <c r="V115" s="17"/>
      <c r="W115" s="17"/>
      <c r="X115" s="42"/>
    </row>
    <row r="116" spans="1:24" ht="0" hidden="1" customHeight="1" x14ac:dyDescent="0.25">
      <c r="A116" s="44"/>
      <c r="X116" s="44"/>
    </row>
    <row r="117" spans="1:24" ht="0" hidden="1" customHeight="1" x14ac:dyDescent="0.25">
      <c r="A117" s="44"/>
      <c r="X117" s="44"/>
    </row>
    <row r="118" spans="1:24" ht="0" hidden="1" customHeight="1" x14ac:dyDescent="0.25">
      <c r="A118" s="44"/>
      <c r="X118" s="44"/>
    </row>
    <row r="119" spans="1:24" ht="0" hidden="1" customHeight="1" x14ac:dyDescent="0.25">
      <c r="A119" s="44"/>
      <c r="X119" s="44"/>
    </row>
    <row r="120" spans="1:24" ht="0" hidden="1"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row>
  </sheetData>
  <sheetProtection insertRows="0" deleteRows="0"/>
  <mergeCells count="13">
    <mergeCell ref="H111:L111"/>
    <mergeCell ref="P111:U111"/>
    <mergeCell ref="H113:L113"/>
    <mergeCell ref="P113:U113"/>
    <mergeCell ref="C8:C9"/>
    <mergeCell ref="D8:D9"/>
    <mergeCell ref="E8:E9"/>
    <mergeCell ref="F8:V8"/>
    <mergeCell ref="C3:V3"/>
    <mergeCell ref="C4:V4"/>
    <mergeCell ref="C5:V5"/>
    <mergeCell ref="C6:V6"/>
    <mergeCell ref="C7:V7"/>
  </mergeCells>
  <printOptions horizontalCentered="1"/>
  <pageMargins left="0.19685039370078741" right="0.19685039370078741" top="0.19685039370078741" bottom="0.19685039370078741" header="0" footer="0"/>
  <pageSetup paperSize="9" scale="3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20</vt:i4>
      </vt:variant>
      <vt:variant>
        <vt:lpstr>Именованные диапазоны</vt:lpstr>
      </vt:variant>
      <vt:variant>
        <vt:i4>20</vt:i4>
      </vt:variant>
    </vt:vector>
  </HeadingPairs>
  <TitlesOfParts>
    <vt:vector size="40" baseType="lpstr">
      <vt:lpstr>Приклад</vt:lpstr>
      <vt:lpstr>З0</vt:lpstr>
      <vt:lpstr>З1</vt:lpstr>
      <vt:lpstr>З2</vt:lpstr>
      <vt:lpstr>З3</vt:lpstr>
      <vt:lpstr>З4</vt:lpstr>
      <vt:lpstr>З5</vt:lpstr>
      <vt:lpstr>З6</vt:lpstr>
      <vt:lpstr>З7</vt:lpstr>
      <vt:lpstr>З8</vt:lpstr>
      <vt:lpstr>З9</vt:lpstr>
      <vt:lpstr>Р1</vt:lpstr>
      <vt:lpstr>Р2</vt:lpstr>
      <vt:lpstr>Р3</vt:lpstr>
      <vt:lpstr>Р4</vt:lpstr>
      <vt:lpstr>Р5</vt:lpstr>
      <vt:lpstr>Р6</vt:lpstr>
      <vt:lpstr>Р7</vt:lpstr>
      <vt:lpstr>Р8</vt:lpstr>
      <vt:lpstr>Р9</vt:lpstr>
      <vt:lpstr>З0!Область_печати</vt:lpstr>
      <vt:lpstr>З1!Область_печати</vt:lpstr>
      <vt:lpstr>З2!Область_печати</vt:lpstr>
      <vt:lpstr>З3!Область_печати</vt:lpstr>
      <vt:lpstr>З4!Область_печати</vt:lpstr>
      <vt:lpstr>З5!Область_печати</vt:lpstr>
      <vt:lpstr>З6!Область_печати</vt:lpstr>
      <vt:lpstr>З7!Область_печати</vt:lpstr>
      <vt:lpstr>З8!Область_печати</vt:lpstr>
      <vt:lpstr>З9!Область_печати</vt:lpstr>
      <vt:lpstr>Приклад!Область_печати</vt:lpstr>
      <vt:lpstr>Р1!Область_печати</vt:lpstr>
      <vt:lpstr>Р2!Область_печати</vt:lpstr>
      <vt:lpstr>Р3!Область_печати</vt:lpstr>
      <vt:lpstr>Р4!Область_печати</vt:lpstr>
      <vt:lpstr>Р5!Область_печати</vt:lpstr>
      <vt:lpstr>Р6!Область_печати</vt:lpstr>
      <vt:lpstr>Р7!Область_печати</vt:lpstr>
      <vt:lpstr>Р8!Область_печати</vt:lpstr>
      <vt:lpstr>Р9!Область_печати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37063</dc:creator>
  <cp:keywords/>
  <dc:description/>
  <cp:lastModifiedBy>Maxim Surkov</cp:lastModifiedBy>
  <cp:lastPrinted>2025-10-11T09:22:51Z</cp:lastPrinted>
  <dcterms:created xsi:type="dcterms:W3CDTF">2006-09-28T05:33:49Z</dcterms:created>
  <dcterms:modified xsi:type="dcterms:W3CDTF">2025-12-27T13:07:28Z</dcterms:modified>
  <cp:category/>
  <cp:contentStatus/>
</cp:coreProperties>
</file>