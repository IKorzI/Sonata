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ЭтаКнига"/>
  <bookViews>
    <workbookView visibility="visible" minimized="0" showHorizontalScroll="1" showVerticalScroll="1" showSheetTabs="1" xWindow="-120" yWindow="-120" windowWidth="38640" windowHeight="21120" tabRatio="796" firstSheet="0" activeTab="0" autoFilterDateGrouping="1"/>
  </bookViews>
  <sheets>
    <sheet xmlns:r="http://schemas.openxmlformats.org/officeDocument/2006/relationships" name="25-1" sheetId="1" state="visible" r:id="rId1"/>
    <sheet xmlns:r="http://schemas.openxmlformats.org/officeDocument/2006/relationships" name="25-2" sheetId="2" state="visible" r:id="rId2"/>
    <sheet xmlns:r="http://schemas.openxmlformats.org/officeDocument/2006/relationships" name="25-3" sheetId="3" state="visible" r:id="rId3"/>
    <sheet xmlns:r="http://schemas.openxmlformats.org/officeDocument/2006/relationships" name="25-4" sheetId="4" state="visible" r:id="rId4"/>
    <sheet xmlns:r="http://schemas.openxmlformats.org/officeDocument/2006/relationships" name="25-5" sheetId="5" state="visible" r:id="rId5"/>
    <sheet xmlns:r="http://schemas.openxmlformats.org/officeDocument/2006/relationships" name="Зведена" sheetId="6" state="visible" r:id="rId6"/>
  </sheets>
  <definedNames>
    <definedName name="A1048577">#REF!</definedName>
    <definedName name="Ф80">#REF!</definedName>
    <definedName name="A1048577" localSheetId="0">#REF!</definedName>
    <definedName name="Ф80" localSheetId="0">#REF!</definedName>
    <definedName name="_xlnm.Print_Area" localSheetId="0">'25-1'!$C$3:$AF$30</definedName>
    <definedName name="A1048577" localSheetId="1">#REF!</definedName>
    <definedName name="Ф80" localSheetId="1">#REF!</definedName>
    <definedName name="_xlnm.Print_Area" localSheetId="1">'25-2'!$C$3:$AF$30</definedName>
    <definedName name="A1048577" localSheetId="2">#REF!</definedName>
    <definedName name="Ф80" localSheetId="2">#REF!</definedName>
    <definedName name="_xlnm.Print_Area" localSheetId="2">'25-3'!$C$3:$AF$30</definedName>
    <definedName name="A1048577" localSheetId="3">#REF!</definedName>
    <definedName name="Ф80" localSheetId="3">#REF!</definedName>
    <definedName name="_xlnm.Print_Area" localSheetId="3">'25-4'!$C$3:$AF$30</definedName>
    <definedName name="A1048577" localSheetId="4">#REF!</definedName>
    <definedName name="Ф80" localSheetId="4">#REF!</definedName>
    <definedName name="_xlnm.Print_Area" localSheetId="4">'25-5'!$C$3:$AF$30</definedName>
    <definedName name="A1048577" localSheetId="5">#REF!</definedName>
    <definedName name="Ф80" localSheetId="5">#REF!</definedName>
    <definedName name="_xlnm.Print_Area" localSheetId="5">'Зведена'!$C$3:$J$31</definedName>
  </definedNames>
  <calcPr calcId="191029" calcMode="autoNoTable" fullCalcOnLoad="1"/>
</workbook>
</file>

<file path=xl/styles.xml><?xml version="1.0" encoding="utf-8"?>
<styleSheet xmlns="http://schemas.openxmlformats.org/spreadsheetml/2006/main">
  <numFmts count="0"/>
  <fonts count="19">
    <font>
      <name val="Arial"/>
      <charset val="204"/>
      <family val="2"/>
      <color theme="1"/>
      <sz val="14"/>
    </font>
    <font>
      <name val="Calibri"/>
      <charset val="204"/>
      <family val="2"/>
      <color theme="1"/>
      <sz val="11"/>
      <scheme val="minor"/>
    </font>
    <font>
      <name val="Calibri"/>
      <charset val="204"/>
      <family val="2"/>
      <color theme="1"/>
      <sz val="11"/>
      <scheme val="minor"/>
    </font>
    <font>
      <name val="Calibri"/>
      <charset val="204"/>
      <family val="2"/>
      <color theme="1"/>
      <sz val="11"/>
      <scheme val="minor"/>
    </font>
    <font>
      <name val="Arial Cyr"/>
      <charset val="204"/>
      <sz val="10"/>
    </font>
    <font>
      <name val="Times New Roman"/>
      <charset val="204"/>
      <family val="1"/>
      <sz val="10"/>
    </font>
    <font>
      <name val="Calibri"/>
      <charset val="204"/>
      <family val="2"/>
      <color theme="1"/>
      <sz val="11"/>
      <scheme val="minor"/>
    </font>
    <font>
      <name val="Times New Roman"/>
      <charset val="204"/>
      <family val="1"/>
      <color theme="1"/>
      <sz val="11"/>
    </font>
    <font>
      <name val="Calibri"/>
      <family val="2"/>
      <color theme="1"/>
      <sz val="11"/>
      <scheme val="minor"/>
    </font>
    <font>
      <name val="Times New Roman"/>
      <charset val="204"/>
      <family val="1"/>
      <b val="1"/>
      <sz val="12"/>
    </font>
    <font>
      <name val="Times New Roman"/>
      <charset val="204"/>
      <family val="1"/>
      <sz val="12"/>
    </font>
    <font>
      <name val="Times New Roman"/>
      <charset val="204"/>
      <family val="1"/>
      <sz val="7"/>
    </font>
    <font>
      <name val="Calibri"/>
      <charset val="204"/>
      <family val="2"/>
      <color rgb="FF000000"/>
      <sz val="11"/>
    </font>
    <font>
      <name val="Times New Roman"/>
      <charset val="204"/>
      <family val="1"/>
      <b val="1"/>
      <color rgb="FFFF0000"/>
      <sz val="11"/>
    </font>
    <font>
      <name val="Times New Roman"/>
      <charset val="204"/>
      <family val="1"/>
      <b val="1"/>
      <color rgb="FF000000"/>
      <sz val="12"/>
    </font>
    <font>
      <name val="Times New Roman"/>
      <charset val="204"/>
      <family val="1"/>
      <sz val="14"/>
    </font>
    <font>
      <name val="Times New Roman"/>
      <charset val="204"/>
      <family val="1"/>
      <b val="1"/>
      <sz val="16"/>
    </font>
    <font>
      <name val="Times New Roman"/>
      <charset val="204"/>
      <family val="1"/>
      <b val="1"/>
      <sz val="14"/>
    </font>
    <font>
      <name val="Times New Roman"/>
      <charset val="204"/>
      <family val="1"/>
      <color theme="1"/>
      <sz val="14"/>
    </font>
  </fonts>
  <fills count="7">
    <fill>
      <patternFill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BFBFBF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00BFBFBF"/>
        <bgColor rgb="00BFBFBF"/>
      </patternFill>
    </fill>
  </fills>
  <borders count="15">
    <border>
      <left/>
      <right/>
      <top/>
      <bottom/>
      <diagonal/>
    </border>
    <border>
      <left/>
      <right/>
      <top/>
      <bottom style="mediumDashed">
        <color auto="1"/>
      </bottom>
      <diagonal/>
    </border>
    <border>
      <left/>
      <right style="mediumDashed">
        <color auto="1"/>
      </right>
      <top/>
      <bottom/>
      <diagonal/>
    </border>
    <border>
      <left style="mediumDashed">
        <color auto="1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Dashed">
        <color auto="1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3">
    <xf numFmtId="0" fontId="0" fillId="0" borderId="0"/>
    <xf numFmtId="0" fontId="4" fillId="0" borderId="0"/>
    <xf numFmtId="0" fontId="6" fillId="0" borderId="0"/>
    <xf numFmtId="0" fontId="8" fillId="0" borderId="0"/>
    <xf numFmtId="0" fontId="8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6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8" fillId="0" borderId="0"/>
    <xf numFmtId="0" fontId="12" fillId="0" borderId="0"/>
    <xf numFmtId="0" fontId="8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6" fillId="0" borderId="0"/>
    <xf numFmtId="0" fontId="6" fillId="0" borderId="0"/>
    <xf numFmtId="0" fontId="6" fillId="0" borderId="0"/>
  </cellStyleXfs>
  <cellXfs count="62">
    <xf numFmtId="0" fontId="0" fillId="0" borderId="0" pivotButton="0" quotePrefix="0" xfId="0"/>
    <xf numFmtId="0" fontId="5" fillId="2" borderId="0" applyAlignment="1" pivotButton="0" quotePrefix="0" xfId="1">
      <alignment horizontal="center" vertical="center"/>
    </xf>
    <xf numFmtId="0" fontId="5" fillId="3" borderId="0" applyAlignment="1" pivotButton="0" quotePrefix="0" xfId="1">
      <alignment horizontal="center" vertical="center"/>
    </xf>
    <xf numFmtId="0" fontId="10" fillId="2" borderId="0" applyAlignment="1" applyProtection="1" pivotButton="0" quotePrefix="0" xfId="8">
      <alignment horizontal="center" vertical="center"/>
      <protection locked="1" hidden="1"/>
    </xf>
    <xf numFmtId="0" fontId="7" fillId="5" borderId="0" applyAlignment="1" pivotButton="0" quotePrefix="0" xfId="2">
      <alignment vertical="center"/>
    </xf>
    <xf numFmtId="0" fontId="5" fillId="5" borderId="0" applyAlignment="1" pivotButton="0" quotePrefix="0" xfId="1">
      <alignment vertical="center"/>
    </xf>
    <xf numFmtId="0" fontId="5" fillId="5" borderId="0" applyAlignment="1" pivotButton="0" quotePrefix="0" xfId="1">
      <alignment horizontal="center" vertical="center"/>
    </xf>
    <xf numFmtId="0" fontId="9" fillId="5" borderId="0" applyAlignment="1" pivotButton="0" quotePrefix="0" xfId="1">
      <alignment horizontal="center" vertical="center"/>
    </xf>
    <xf numFmtId="0" fontId="5" fillId="5" borderId="5" applyAlignment="1" pivotButton="0" quotePrefix="0" xfId="1">
      <alignment horizontal="center" vertical="center" wrapText="1"/>
    </xf>
    <xf numFmtId="0" fontId="5" fillId="5" borderId="5" applyAlignment="1" pivotButton="0" quotePrefix="0" xfId="1">
      <alignment horizontal="center" vertical="center"/>
    </xf>
    <xf numFmtId="0" fontId="11" fillId="5" borderId="0" applyAlignment="1" pivotButton="0" quotePrefix="0" xfId="1">
      <alignment horizontal="center" vertical="center"/>
    </xf>
    <xf numFmtId="0" fontId="10" fillId="4" borderId="0" applyAlignment="1" applyProtection="1" pivotButton="0" quotePrefix="0" xfId="8">
      <alignment horizontal="center" vertical="center"/>
      <protection locked="1" hidden="1"/>
    </xf>
    <xf numFmtId="0" fontId="13" fillId="4" borderId="0" applyAlignment="1" applyProtection="1" pivotButton="0" quotePrefix="0" xfId="8">
      <alignment horizontal="center" vertical="center"/>
      <protection locked="1" hidden="1"/>
    </xf>
    <xf numFmtId="0" fontId="5" fillId="4" borderId="0" applyAlignment="1" pivotButton="0" quotePrefix="0" xfId="1">
      <alignment horizontal="center" vertical="center"/>
    </xf>
    <xf numFmtId="0" fontId="5" fillId="4" borderId="6" applyAlignment="1" pivotButton="0" quotePrefix="0" xfId="1">
      <alignment vertical="center"/>
    </xf>
    <xf numFmtId="0" fontId="5" fillId="4" borderId="2" applyAlignment="1" pivotButton="0" quotePrefix="0" xfId="1">
      <alignment vertical="center"/>
    </xf>
    <xf numFmtId="0" fontId="14" fillId="4" borderId="1" applyAlignment="1" applyProtection="1" pivotButton="0" quotePrefix="0" xfId="8">
      <alignment vertical="top" wrapText="1"/>
      <protection locked="1" hidden="1"/>
    </xf>
    <xf numFmtId="0" fontId="5" fillId="4" borderId="3" applyAlignment="1" pivotButton="0" quotePrefix="0" xfId="1">
      <alignment vertical="center"/>
    </xf>
    <xf numFmtId="0" fontId="7" fillId="3" borderId="0" applyAlignment="1" pivotButton="0" quotePrefix="0" xfId="32">
      <alignment vertical="center"/>
    </xf>
    <xf numFmtId="0" fontId="15" fillId="3" borderId="0" applyAlignment="1" pivotButton="0" quotePrefix="0" xfId="32">
      <alignment horizontal="center" vertical="center"/>
    </xf>
    <xf numFmtId="0" fontId="10" fillId="3" borderId="0" applyAlignment="1" pivotButton="0" quotePrefix="0" xfId="32">
      <alignment horizontal="center" vertical="center" wrapText="1"/>
    </xf>
    <xf numFmtId="0" fontId="16" fillId="3" borderId="4" applyAlignment="1" pivotButton="0" quotePrefix="0" xfId="32">
      <alignment horizontal="center" vertical="center" wrapText="1"/>
    </xf>
    <xf numFmtId="0" fontId="17" fillId="3" borderId="5" applyAlignment="1" pivotButton="0" quotePrefix="0" xfId="32">
      <alignment horizontal="center" vertical="center"/>
    </xf>
    <xf numFmtId="0" fontId="17" fillId="3" borderId="5" applyAlignment="1" pivotButton="0" quotePrefix="0" xfId="32">
      <alignment horizontal="center" vertical="center" wrapText="1"/>
    </xf>
    <xf numFmtId="0" fontId="15" fillId="3" borderId="5" applyAlignment="1" pivotButton="0" quotePrefix="0" xfId="32">
      <alignment horizontal="center" vertical="center" wrapText="1"/>
    </xf>
    <xf numFmtId="0" fontId="15" fillId="3" borderId="5" applyAlignment="1" pivotButton="0" quotePrefix="0" xfId="32">
      <alignment horizontal="center" vertical="center"/>
    </xf>
    <xf numFmtId="0" fontId="15" fillId="3" borderId="5" applyAlignment="1" pivotButton="0" quotePrefix="0" xfId="32">
      <alignment vertical="center" wrapText="1"/>
    </xf>
    <xf numFmtId="2" fontId="15" fillId="3" borderId="5" applyAlignment="1" pivotButton="0" quotePrefix="0" xfId="32">
      <alignment horizontal="center" vertical="center"/>
    </xf>
    <xf numFmtId="2" fontId="17" fillId="3" borderId="5" applyAlignment="1" pivotButton="0" quotePrefix="0" xfId="32">
      <alignment horizontal="center" vertical="center" wrapText="1"/>
    </xf>
    <xf numFmtId="0" fontId="18" fillId="3" borderId="5" applyAlignment="1" pivotButton="0" quotePrefix="0" xfId="32">
      <alignment vertical="center"/>
    </xf>
    <xf numFmtId="2" fontId="18" fillId="3" borderId="5" applyAlignment="1" pivotButton="0" quotePrefix="0" xfId="32">
      <alignment horizontal="center" vertical="center"/>
    </xf>
    <xf numFmtId="2" fontId="15" fillId="3" borderId="5" applyAlignment="1" pivotButton="0" quotePrefix="0" xfId="32">
      <alignment horizontal="center" vertical="center" wrapText="1"/>
    </xf>
    <xf numFmtId="0" fontId="15" fillId="3" borderId="5" applyAlignment="1" pivotButton="0" quotePrefix="0" xfId="32">
      <alignment horizontal="left" vertical="center"/>
    </xf>
    <xf numFmtId="0" fontId="15" fillId="3" borderId="0" applyAlignment="1" pivotButton="0" quotePrefix="0" xfId="32">
      <alignment vertical="center"/>
    </xf>
    <xf numFmtId="2" fontId="7" fillId="3" borderId="0" applyAlignment="1" pivotButton="0" quotePrefix="0" xfId="32">
      <alignment horizontal="center" vertical="center"/>
    </xf>
    <xf numFmtId="0" fontId="15" fillId="3" borderId="0" applyAlignment="1" pivotButton="0" quotePrefix="0" xfId="32">
      <alignment horizontal="left" vertical="center" wrapText="1"/>
    </xf>
    <xf numFmtId="2" fontId="7" fillId="3" borderId="0" applyAlignment="1" pivotButton="0" quotePrefix="0" xfId="32">
      <alignment vertical="center"/>
    </xf>
    <xf numFmtId="0" fontId="5" fillId="5" borderId="5" applyAlignment="1" pivotButton="0" quotePrefix="0" xfId="4">
      <alignment vertical="center" wrapText="1"/>
    </xf>
    <xf numFmtId="0" fontId="5" fillId="5" borderId="5" applyAlignment="1" pivotButton="0" quotePrefix="0" xfId="0">
      <alignment horizontal="center" vertical="center"/>
    </xf>
    <xf numFmtId="0" fontId="5" fillId="5" borderId="5" applyAlignment="1" pivotButton="0" quotePrefix="0" xfId="4">
      <alignment vertical="center"/>
    </xf>
    <xf numFmtId="0" fontId="10" fillId="5" borderId="0" applyAlignment="1" pivotButton="0" quotePrefix="0" xfId="1">
      <alignment horizontal="center" vertical="center"/>
    </xf>
    <xf numFmtId="0" fontId="5" fillId="5" borderId="4" applyAlignment="1" pivotButton="0" quotePrefix="0" xfId="1">
      <alignment horizontal="center" vertical="center"/>
    </xf>
    <xf numFmtId="0" fontId="5" fillId="5" borderId="0" applyAlignment="1" pivotButton="0" quotePrefix="0" xfId="3">
      <alignment horizontal="center" vertical="center"/>
    </xf>
    <xf numFmtId="0" fontId="5" fillId="5" borderId="0" applyAlignment="1" pivotButton="0" quotePrefix="0" xfId="3">
      <alignment horizontal="center" vertical="top" wrapText="1"/>
    </xf>
    <xf numFmtId="0" fontId="9" fillId="5" borderId="0" applyAlignment="1" pivotButton="0" quotePrefix="0" xfId="1">
      <alignment horizontal="center" vertical="center"/>
    </xf>
    <xf numFmtId="0" fontId="5" fillId="5" borderId="0" applyAlignment="1" pivotButton="0" quotePrefix="0" xfId="1">
      <alignment horizontal="center" vertical="center"/>
    </xf>
    <xf numFmtId="0" fontId="5" fillId="5" borderId="5" applyAlignment="1" pivotButton="0" quotePrefix="0" xfId="1">
      <alignment horizontal="center" vertical="center"/>
    </xf>
    <xf numFmtId="0" fontId="5" fillId="5" borderId="5" applyAlignment="1" pivotButton="0" quotePrefix="0" xfId="1">
      <alignment horizontal="center" vertical="center" wrapText="1"/>
    </xf>
    <xf numFmtId="0" fontId="14" fillId="4" borderId="1" applyAlignment="1" applyProtection="1" pivotButton="0" quotePrefix="0" xfId="8">
      <alignment horizontal="left" vertical="top" wrapText="1"/>
      <protection locked="1" hidden="1"/>
    </xf>
    <xf numFmtId="0" fontId="5" fillId="4" borderId="2" applyAlignment="1" pivotButton="0" quotePrefix="0" xfId="1">
      <alignment horizontal="center" vertical="center"/>
    </xf>
    <xf numFmtId="0" fontId="5" fillId="4" borderId="3" applyAlignment="1" pivotButton="0" quotePrefix="0" xfId="1">
      <alignment horizontal="center" vertical="center"/>
    </xf>
    <xf numFmtId="0" fontId="15" fillId="3" borderId="0" applyAlignment="1" pivotButton="0" quotePrefix="0" xfId="32">
      <alignment horizontal="center" vertical="center"/>
    </xf>
    <xf numFmtId="0" fontId="15" fillId="3" borderId="0" applyAlignment="1" pivotButton="0" quotePrefix="0" xfId="32">
      <alignment horizontal="center" vertical="top" wrapText="1"/>
    </xf>
    <xf numFmtId="0" fontId="16" fillId="3" borderId="0" applyAlignment="1" pivotButton="0" quotePrefix="0" xfId="32">
      <alignment horizontal="center" vertical="center" wrapText="1"/>
    </xf>
    <xf numFmtId="0" fontId="17" fillId="3" borderId="7" applyAlignment="1" pivotButton="0" quotePrefix="0" xfId="32">
      <alignment horizontal="center" vertical="center"/>
    </xf>
    <xf numFmtId="0" fontId="17" fillId="3" borderId="8" applyAlignment="1" pivotButton="0" quotePrefix="0" xfId="32">
      <alignment horizontal="center" vertical="center"/>
    </xf>
    <xf numFmtId="0" fontId="17" fillId="3" borderId="9" applyAlignment="1" pivotButton="0" quotePrefix="0" xfId="32">
      <alignment horizontal="center" vertical="center"/>
    </xf>
    <xf numFmtId="0" fontId="0" fillId="0" borderId="4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4" pivotButton="0" quotePrefix="0" xfId="0"/>
    <xf numFmtId="0" fontId="5" fillId="6" borderId="5" applyAlignment="1" pivotButton="0" quotePrefix="0" xfId="0">
      <alignment horizontal="center" vertical="center"/>
    </xf>
  </cellXfs>
  <cellStyles count="33">
    <cellStyle name="Обычный" xfId="0" builtinId="0"/>
    <cellStyle name="Обычный 14" xfId="1"/>
    <cellStyle name="Обычный 13 2 2" xfId="2"/>
    <cellStyle name="Обычный 2" xfId="3"/>
    <cellStyle name="Обычный 2 6" xfId="4"/>
    <cellStyle name="Обычный 10" xfId="5"/>
    <cellStyle name="Обычный 10 2" xfId="6"/>
    <cellStyle name="Обычный 11" xfId="7"/>
    <cellStyle name="Обычный 11 2" xfId="8"/>
    <cellStyle name="Обычный 12" xfId="9"/>
    <cellStyle name="Обычный 13" xfId="10"/>
    <cellStyle name="Обычный 13 2" xfId="11"/>
    <cellStyle name="Обычный 2 2" xfId="12"/>
    <cellStyle name="Обычный 2 3" xfId="13"/>
    <cellStyle name="Обычный 2 3 2" xfId="14"/>
    <cellStyle name="Обычный 2 4" xfId="15"/>
    <cellStyle name="Обычный 2 4 2" xfId="16"/>
    <cellStyle name="Обычный 2 5" xfId="17"/>
    <cellStyle name="Обычный 3" xfId="18"/>
    <cellStyle name="Обычный 3 2" xfId="19"/>
    <cellStyle name="Обычный 4" xfId="20"/>
    <cellStyle name="Обычный 4 2" xfId="21"/>
    <cellStyle name="Обычный 5" xfId="22"/>
    <cellStyle name="Обычный 6" xfId="23"/>
    <cellStyle name="Обычный 7" xfId="24"/>
    <cellStyle name="Обычный 8" xfId="25"/>
    <cellStyle name="Обычный 8 2" xfId="26"/>
    <cellStyle name="Обычный 9" xfId="27"/>
    <cellStyle name="Обычный 9 2" xfId="28"/>
    <cellStyle name="Обычный 13 2 2 2" xfId="29"/>
    <cellStyle name="Обычный 13 2 2 3" xfId="30"/>
    <cellStyle name="Обычный 13 2 2 4" xfId="31"/>
    <cellStyle name="Обычный 13 2 2 3 2" xfId="32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0070C0"/>
    <outlinePr summaryBelow="1" summaryRight="1"/>
    <pageSetUpPr fitToPage="1"/>
  </sheetPr>
  <dimension ref="A1:AI32"/>
  <sheetViews>
    <sheetView tabSelected="1" zoomScaleNormal="100" workbookViewId="0">
      <selection activeCell="A1" sqref="A1"/>
    </sheetView>
  </sheetViews>
  <sheetFormatPr baseColWidth="8" defaultColWidth="0" defaultRowHeight="12" customHeight="1" zeroHeight="1"/>
  <cols>
    <col width="1.453125" customWidth="1" style="2" min="1" max="2"/>
    <col width="2.36328125" customWidth="1" style="2" min="3" max="3"/>
    <col width="12.54296875" customWidth="1" style="2" min="4" max="4"/>
    <col width="11.90625" customWidth="1" style="2" min="5" max="5"/>
    <col width="2.08984375" customWidth="1" style="2" min="6" max="36"/>
    <col width="4.05" customWidth="1" min="32" max="32"/>
    <col width="5.55" customWidth="1" min="33" max="33"/>
    <col width="1.5" customWidth="1" min="34" max="34"/>
    <col width="1.5" customWidth="1" min="35" max="35"/>
    <col hidden="1" width="13" customWidth="1" min="36" max="36"/>
    <col hidden="1" width="4" customWidth="1" style="2" min="37" max="37"/>
    <col hidden="1" width="5.54296875" customWidth="1" style="2" min="38" max="38"/>
    <col hidden="1" width="1.453125" customWidth="1" style="2" min="39" max="40"/>
    <col hidden="1" width="13" customWidth="1" min="40" max="40"/>
    <col hidden="1" width="5.81640625" customWidth="1" style="2" min="41" max="16384"/>
  </cols>
  <sheetData>
    <row r="1" ht="12" customFormat="1" customHeight="1" s="3" thickBot="1">
      <c r="A1" s="12" t="inlineStr">
        <is>
          <t>S</t>
        </is>
      </c>
      <c r="B1" s="16" t="n"/>
      <c r="C1" s="16" t="n"/>
      <c r="D1" s="16" t="n"/>
      <c r="E1" s="16" t="n"/>
      <c r="F1" s="16" t="n"/>
      <c r="G1" s="16" t="n"/>
      <c r="H1" s="16" t="n"/>
      <c r="I1" s="16" t="n"/>
      <c r="J1" s="16" t="n"/>
      <c r="K1" s="16" t="n"/>
      <c r="L1" s="16" t="n"/>
      <c r="M1" s="16" t="n"/>
      <c r="N1" s="16" t="n"/>
      <c r="O1" s="16" t="n"/>
      <c r="P1" s="16" t="n"/>
      <c r="Q1" s="16" t="n"/>
      <c r="R1" s="16" t="n"/>
      <c r="S1" s="16" t="n"/>
      <c r="T1" s="16" t="n"/>
      <c r="U1" s="16" t="n"/>
      <c r="V1" s="16" t="n"/>
      <c r="W1" s="16" t="n"/>
      <c r="X1" s="16" t="n"/>
      <c r="Y1" s="16" t="n"/>
      <c r="Z1" s="16" t="n"/>
      <c r="AA1" s="16" t="n"/>
      <c r="AB1" s="16" t="n"/>
      <c r="AC1" s="16" t="n"/>
      <c r="AD1" s="16" t="n"/>
      <c r="AE1" s="16" t="n"/>
      <c r="AF1" s="16" t="n"/>
      <c r="AG1" s="16" t="n"/>
      <c r="AH1" s="16" t="n"/>
      <c r="AI1" s="11" t="n"/>
    </row>
    <row r="2" ht="12" customFormat="1" customHeight="1" s="1">
      <c r="A2" s="15" t="n"/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  <c r="AA2" s="4" t="n"/>
      <c r="AB2" s="4" t="n"/>
      <c r="AC2" s="4" t="n"/>
      <c r="AD2" s="4" t="n"/>
      <c r="AE2" s="4" t="n"/>
      <c r="AF2" s="4" t="n"/>
      <c r="AG2" s="4" t="n"/>
      <c r="AH2" s="4" t="n"/>
      <c r="AI2" s="17" t="n"/>
    </row>
    <row r="3" ht="15" customHeight="1">
      <c r="A3" s="15" t="n"/>
      <c r="B3" s="4" t="n"/>
      <c r="C3" s="5" t="n"/>
      <c r="D3" s="42" t="inlineStr">
        <is>
          <t>Міністерство освіти і науки України</t>
        </is>
      </c>
      <c r="F3" s="5" t="n"/>
      <c r="G3" s="5" t="n"/>
      <c r="H3" s="5" t="n"/>
      <c r="I3" s="5" t="n"/>
      <c r="J3" s="5" t="n"/>
      <c r="K3" s="5" t="n"/>
      <c r="L3" s="5" t="n"/>
      <c r="M3" s="5" t="n"/>
      <c r="N3" s="5" t="n"/>
      <c r="O3" s="5" t="n"/>
      <c r="P3" s="5" t="n"/>
      <c r="Q3" s="5" t="n"/>
      <c r="R3" s="5" t="n"/>
      <c r="S3" s="5" t="n"/>
      <c r="T3" s="5" t="n"/>
      <c r="U3" s="5" t="n"/>
      <c r="V3" s="5" t="n"/>
      <c r="W3" s="5" t="n"/>
      <c r="X3" s="5" t="n"/>
      <c r="Y3" s="5" t="n"/>
      <c r="Z3" s="5" t="n"/>
      <c r="AA3" s="5" t="n"/>
      <c r="AB3" s="5" t="n"/>
      <c r="AC3" s="5" t="n"/>
      <c r="AD3" s="5" t="n"/>
      <c r="AE3" s="5" t="n"/>
      <c r="AF3" s="5" t="n"/>
      <c r="AG3" s="5" t="n"/>
      <c r="AH3" s="4" t="n"/>
      <c r="AI3" s="17" t="n"/>
    </row>
    <row r="4" ht="65.09999999999999" customHeight="1">
      <c r="A4" s="15" t="n"/>
      <c r="B4" s="4" t="n"/>
      <c r="C4" s="45" t="n"/>
      <c r="D4" s="43" t="inlineStr">
        <is>
          <t>Відокремлений структурний підрозділ "Фаховий коледж нафтогазових технологій, інженерії та інфраструктури сервісу Одеського національного технологічного університету"</t>
        </is>
      </c>
      <c r="F4" s="44" t="n"/>
      <c r="G4" s="44" t="n"/>
      <c r="H4" s="44" t="n"/>
      <c r="I4" s="44" t="n"/>
      <c r="J4" s="44" t="n"/>
      <c r="K4" s="44" t="n"/>
      <c r="L4" s="44" t="n"/>
      <c r="M4" s="44" t="n"/>
      <c r="N4" s="44" t="n"/>
      <c r="O4" s="44" t="n"/>
      <c r="P4" s="44" t="n"/>
      <c r="Q4" s="44" t="n"/>
      <c r="R4" s="44" t="n"/>
      <c r="S4" s="44" t="n"/>
      <c r="T4" s="44" t="n"/>
      <c r="U4" s="44" t="n"/>
      <c r="V4" s="44" t="n"/>
      <c r="W4" s="44" t="n"/>
      <c r="X4" s="44" t="n"/>
      <c r="Y4" s="44" t="n"/>
      <c r="Z4" s="44" t="n"/>
      <c r="AA4" s="44" t="n"/>
      <c r="AB4" s="44" t="n"/>
      <c r="AC4" s="44" t="n"/>
      <c r="AD4" s="44" t="n"/>
      <c r="AE4" s="44" t="n"/>
      <c r="AF4" s="45" t="n"/>
      <c r="AG4" s="45" t="n"/>
      <c r="AH4" s="4" t="n"/>
      <c r="AI4" s="17" t="n"/>
    </row>
    <row r="5" ht="15" customHeight="1">
      <c r="A5" s="15" t="n"/>
      <c r="B5" s="4" t="n"/>
      <c r="C5" s="44" t="inlineStr">
        <is>
          <t>ВІДОМІСТЬ ОБЛІКУ ГОДИН РОБОТИ ВИКЛАДАЧА</t>
        </is>
      </c>
      <c r="AH5" s="4" t="n"/>
      <c r="AI5" s="17" t="n"/>
    </row>
    <row r="6" ht="15" customHeight="1">
      <c r="A6" s="15" t="n"/>
      <c r="B6" s="4" t="n"/>
      <c r="C6" s="45" t="inlineStr">
        <is>
          <t xml:space="preserve"> </t>
        </is>
      </c>
      <c r="AH6" s="4" t="n"/>
      <c r="AI6" s="17" t="n"/>
    </row>
    <row r="7" ht="15" customHeight="1">
      <c r="A7" s="15" t="n"/>
      <c r="B7" s="4" t="n"/>
      <c r="C7" s="44" t="inlineStr">
        <is>
          <t>за вересень 2025 р.</t>
        </is>
      </c>
      <c r="AH7" s="4" t="n"/>
      <c r="AI7" s="17" t="n"/>
    </row>
    <row r="8" ht="15" customHeight="1">
      <c r="A8" s="15" t="n"/>
      <c r="B8" s="4" t="n"/>
      <c r="C8" s="40" t="inlineStr">
        <is>
          <t>Спеціальнiсть 1 курс І група 25-1</t>
        </is>
      </c>
      <c r="AH8" s="4" t="n"/>
      <c r="AI8" s="17" t="n"/>
    </row>
    <row r="9" ht="15" customHeight="1">
      <c r="A9" s="15" t="n"/>
      <c r="B9" s="4" t="n"/>
      <c r="C9" s="41" t="n"/>
      <c r="D9" s="57" t="n"/>
      <c r="E9" s="57" t="n"/>
      <c r="F9" s="57" t="n"/>
      <c r="G9" s="57" t="n"/>
      <c r="H9" s="57" t="n"/>
      <c r="I9" s="57" t="n"/>
      <c r="J9" s="57" t="n"/>
      <c r="K9" s="57" t="n"/>
      <c r="L9" s="57" t="n"/>
      <c r="M9" s="57" t="n"/>
      <c r="N9" s="57" t="n"/>
      <c r="O9" s="57" t="n"/>
      <c r="P9" s="57" t="n"/>
      <c r="Q9" s="57" t="n"/>
      <c r="R9" s="57" t="n"/>
      <c r="S9" s="57" t="n"/>
      <c r="T9" s="57" t="n"/>
      <c r="U9" s="57" t="n"/>
      <c r="V9" s="57" t="n"/>
      <c r="W9" s="57" t="n"/>
      <c r="X9" s="57" t="n"/>
      <c r="Y9" s="57" t="n"/>
      <c r="Z9" s="57" t="n"/>
      <c r="AA9" s="57" t="n"/>
      <c r="AB9" s="57" t="n"/>
      <c r="AC9" s="57" t="n"/>
      <c r="AD9" s="57" t="n"/>
      <c r="AE9" s="57" t="n"/>
      <c r="AF9" s="57" t="n"/>
      <c r="AG9" s="57" t="n"/>
      <c r="AH9" s="4" t="n"/>
      <c r="AI9" s="17" t="n"/>
    </row>
    <row r="10" ht="12.95" customHeight="1">
      <c r="A10" s="15" t="n"/>
      <c r="B10" s="4" t="n"/>
      <c r="C10" s="47" t="inlineStr">
        <is>
          <t>№</t>
        </is>
      </c>
      <c r="D10" s="46" t="inlineStr">
        <is>
          <t>Предмети</t>
        </is>
      </c>
      <c r="E10" s="47" t="inlineStr">
        <is>
          <t>Прізвище та ініціали викладача</t>
        </is>
      </c>
      <c r="F10" s="46" t="inlineStr">
        <is>
          <t>Числа місяця</t>
        </is>
      </c>
      <c r="G10" s="58" t="n"/>
      <c r="H10" s="58" t="n"/>
      <c r="I10" s="58" t="n"/>
      <c r="J10" s="58" t="n"/>
      <c r="K10" s="58" t="n"/>
      <c r="L10" s="58" t="n"/>
      <c r="M10" s="58" t="n"/>
      <c r="N10" s="58" t="n"/>
      <c r="O10" s="58" t="n"/>
      <c r="P10" s="58" t="n"/>
      <c r="Q10" s="58" t="n"/>
      <c r="R10" s="58" t="n"/>
      <c r="S10" s="58" t="n"/>
      <c r="T10" s="58" t="n"/>
      <c r="U10" s="58" t="n"/>
      <c r="V10" s="58" t="n"/>
      <c r="W10" s="58" t="n"/>
      <c r="X10" s="58" t="n"/>
      <c r="Y10" s="58" t="n"/>
      <c r="Z10" s="58" t="n"/>
      <c r="AA10" s="58" t="n"/>
      <c r="AB10" s="58" t="n"/>
      <c r="AC10" s="58" t="n"/>
      <c r="AD10" s="58" t="n"/>
      <c r="AE10" s="59" t="n"/>
      <c r="AF10" s="47" t="inlineStr">
        <is>
          <t>Дано годин</t>
        </is>
      </c>
      <c r="AG10" s="46" t="inlineStr">
        <is>
          <t>Примітка</t>
        </is>
      </c>
      <c r="AH10" s="4" t="n"/>
      <c r="AI10" s="17" t="n"/>
    </row>
    <row r="11" ht="12.95" customHeight="1">
      <c r="A11" s="15" t="n"/>
      <c r="B11" s="4" t="n"/>
      <c r="C11" s="60" t="n"/>
      <c r="D11" s="60" t="n"/>
      <c r="E11" s="60" t="n"/>
      <c r="F11" s="46" t="n">
        <v>1</v>
      </c>
      <c r="G11" s="46" t="n">
        <v>2</v>
      </c>
      <c r="H11" s="46" t="n">
        <v>3</v>
      </c>
      <c r="I11" s="46" t="n">
        <v>4</v>
      </c>
      <c r="J11" s="46" t="n">
        <v>5</v>
      </c>
      <c r="K11" s="46" t="n">
        <v>6</v>
      </c>
      <c r="L11" s="46" t="n">
        <v>7</v>
      </c>
      <c r="M11" s="46" t="n">
        <v>8</v>
      </c>
      <c r="N11" s="46" t="n">
        <v>9</v>
      </c>
      <c r="O11" s="46" t="n">
        <v>10</v>
      </c>
      <c r="P11" s="46" t="n">
        <v>11</v>
      </c>
      <c r="Q11" s="46" t="n">
        <v>12</v>
      </c>
      <c r="R11" s="46" t="n">
        <v>13</v>
      </c>
      <c r="S11" s="46" t="n">
        <v>14</v>
      </c>
      <c r="T11" s="46" t="n">
        <v>15</v>
      </c>
      <c r="U11" s="46" t="n">
        <v>16</v>
      </c>
      <c r="V11" s="46" t="n">
        <v>17</v>
      </c>
      <c r="W11" s="46" t="n">
        <v>18</v>
      </c>
      <c r="X11" s="46" t="n">
        <v>19</v>
      </c>
      <c r="Y11" s="46" t="n">
        <v>20</v>
      </c>
      <c r="Z11" s="46" t="n">
        <v>21</v>
      </c>
      <c r="AA11" s="46" t="n">
        <v>22</v>
      </c>
      <c r="AB11" s="46" t="n">
        <v>23</v>
      </c>
      <c r="AC11" s="46" t="n">
        <v>24</v>
      </c>
      <c r="AD11" s="46" t="n">
        <v>25</v>
      </c>
      <c r="AE11" s="46" t="n">
        <v>26</v>
      </c>
      <c r="AF11" s="60" t="n"/>
      <c r="AG11" s="60" t="n"/>
      <c r="AH11" s="4" t="n"/>
      <c r="AI11" s="17" t="n"/>
    </row>
    <row r="12" ht="12.95" customHeight="1">
      <c r="A12" s="15" t="n"/>
      <c r="B12" s="4" t="n"/>
      <c r="C12" s="47" t="n">
        <v>1</v>
      </c>
      <c r="D12" s="37" t="inlineStr">
        <is>
          <t>Астрономія</t>
        </is>
      </c>
      <c r="E12" s="37" t="inlineStr">
        <is>
          <t>Наговська Т.С.</t>
        </is>
      </c>
      <c r="F12" s="38" t="n"/>
      <c r="G12" s="38" t="n">
        <v>2</v>
      </c>
      <c r="H12" s="38" t="n"/>
      <c r="I12" s="38" t="n">
        <v>2</v>
      </c>
      <c r="J12" s="38" t="n"/>
      <c r="K12" s="61" t="n"/>
      <c r="L12" s="61" t="n"/>
      <c r="M12" s="38" t="n"/>
      <c r="N12" s="38" t="n">
        <v>2</v>
      </c>
      <c r="O12" s="38" t="n"/>
      <c r="P12" s="38" t="n">
        <v>2</v>
      </c>
      <c r="Q12" s="38" t="n"/>
      <c r="R12" s="61" t="n"/>
      <c r="S12" s="61" t="n"/>
      <c r="T12" s="38" t="n"/>
      <c r="U12" s="38" t="n">
        <v>2</v>
      </c>
      <c r="V12" s="38" t="n"/>
      <c r="W12" s="38" t="n">
        <v>2</v>
      </c>
      <c r="X12" s="38" t="n"/>
      <c r="Y12" s="61" t="n"/>
      <c r="Z12" s="61" t="n"/>
      <c r="AA12" s="38" t="n"/>
      <c r="AB12" s="38" t="n">
        <v>2</v>
      </c>
      <c r="AC12" s="38" t="n"/>
      <c r="AD12" s="38" t="n">
        <v>2</v>
      </c>
      <c r="AE12" s="38" t="n"/>
      <c r="AF12" s="46">
        <f>IF(SUM(F12:AE12)=0,"Очікую",SUM(F12:AE12))</f>
        <v/>
      </c>
      <c r="AG12" s="46" t="n"/>
      <c r="AH12" s="4" t="n"/>
      <c r="AI12" s="17" t="n"/>
    </row>
    <row r="13" ht="12.95" customHeight="1">
      <c r="A13" s="15" t="n"/>
      <c r="B13" s="4" t="n"/>
      <c r="C13" s="47" t="n">
        <v>2</v>
      </c>
      <c r="D13" s="37" t="inlineStr">
        <is>
          <t>Біологія</t>
        </is>
      </c>
      <c r="E13" s="37" t="inlineStr">
        <is>
          <t>Богданенко О.В.</t>
        </is>
      </c>
      <c r="F13" s="38" t="n"/>
      <c r="G13" s="38" t="n"/>
      <c r="H13" s="38" t="n"/>
      <c r="I13" s="38" t="n"/>
      <c r="J13" s="38" t="n">
        <v>2</v>
      </c>
      <c r="K13" s="61" t="n"/>
      <c r="L13" s="61" t="n"/>
      <c r="M13" s="38" t="n"/>
      <c r="N13" s="38" t="n"/>
      <c r="O13" s="38" t="n"/>
      <c r="P13" s="38" t="n"/>
      <c r="Q13" s="38" t="n">
        <v>2</v>
      </c>
      <c r="R13" s="61" t="n"/>
      <c r="S13" s="61" t="n"/>
      <c r="T13" s="38" t="n"/>
      <c r="U13" s="38" t="n"/>
      <c r="V13" s="38" t="n"/>
      <c r="W13" s="38" t="n"/>
      <c r="X13" s="38" t="n">
        <v>2</v>
      </c>
      <c r="Y13" s="61" t="n"/>
      <c r="Z13" s="61" t="n"/>
      <c r="AA13" s="38" t="n"/>
      <c r="AB13" s="38" t="n"/>
      <c r="AC13" s="38" t="n"/>
      <c r="AD13" s="38" t="n"/>
      <c r="AE13" s="38" t="n">
        <v>2</v>
      </c>
      <c r="AF13" s="46">
        <f>IF(SUM(F13:AE13)=0,"Очікую",SUM(F13:AE13))</f>
        <v/>
      </c>
      <c r="AG13" s="46" t="n"/>
      <c r="AH13" s="4" t="n"/>
      <c r="AI13" s="17" t="n"/>
    </row>
    <row r="14" ht="12.95" customHeight="1">
      <c r="A14" s="15" t="n"/>
      <c r="B14" s="4" t="n"/>
      <c r="C14" s="47" t="n">
        <v>3</v>
      </c>
      <c r="D14" s="37" t="inlineStr">
        <is>
          <t>Всесвітня історія</t>
        </is>
      </c>
      <c r="E14" s="37" t="inlineStr">
        <is>
          <t>Мельничук С.А.</t>
        </is>
      </c>
      <c r="F14" s="38" t="n">
        <v>2</v>
      </c>
      <c r="G14" s="38" t="n"/>
      <c r="H14" s="38" t="n"/>
      <c r="I14" s="38" t="n"/>
      <c r="J14" s="38" t="n"/>
      <c r="K14" s="61" t="n"/>
      <c r="L14" s="61" t="n"/>
      <c r="M14" s="38" t="n">
        <v>2</v>
      </c>
      <c r="N14" s="38" t="n"/>
      <c r="O14" s="38" t="n"/>
      <c r="P14" s="38" t="n"/>
      <c r="Q14" s="38" t="n"/>
      <c r="R14" s="61" t="n"/>
      <c r="S14" s="61" t="n"/>
      <c r="T14" s="38" t="n">
        <v>2</v>
      </c>
      <c r="U14" s="38" t="n"/>
      <c r="V14" s="38" t="n"/>
      <c r="W14" s="38" t="n"/>
      <c r="X14" s="38" t="n"/>
      <c r="Y14" s="61" t="n"/>
      <c r="Z14" s="61" t="n"/>
      <c r="AA14" s="38" t="n">
        <v>2</v>
      </c>
      <c r="AB14" s="38" t="n"/>
      <c r="AC14" s="38" t="n"/>
      <c r="AD14" s="38" t="n"/>
      <c r="AE14" s="38" t="n"/>
      <c r="AF14" s="46">
        <f>IF(SUM(F14:AE14)=0,"Очікую",SUM(F14:AE14))</f>
        <v/>
      </c>
      <c r="AG14" s="46" t="n"/>
      <c r="AH14" s="4" t="n"/>
      <c r="AI14" s="17" t="n"/>
    </row>
    <row r="15" ht="12.95" customHeight="1">
      <c r="A15" s="15" t="n"/>
      <c r="B15" s="4" t="n"/>
      <c r="C15" s="47" t="n">
        <v>4</v>
      </c>
      <c r="D15" s="39" t="inlineStr">
        <is>
          <t>Географія</t>
        </is>
      </c>
      <c r="E15" s="39" t="inlineStr">
        <is>
          <t>Наговська Т.С.</t>
        </is>
      </c>
      <c r="F15" s="38" t="n"/>
      <c r="G15" s="38" t="n"/>
      <c r="H15" s="38" t="n">
        <v>2</v>
      </c>
      <c r="I15" s="38" t="n"/>
      <c r="J15" s="38" t="n"/>
      <c r="K15" s="61" t="n"/>
      <c r="L15" s="61" t="n"/>
      <c r="M15" s="38" t="n"/>
      <c r="N15" s="38" t="n"/>
      <c r="O15" s="38" t="n">
        <v>2</v>
      </c>
      <c r="P15" s="38" t="n"/>
      <c r="Q15" s="38" t="n"/>
      <c r="R15" s="61" t="n"/>
      <c r="S15" s="61" t="n"/>
      <c r="T15" s="38" t="n"/>
      <c r="U15" s="38" t="n"/>
      <c r="V15" s="38" t="n">
        <v>2</v>
      </c>
      <c r="W15" s="38" t="n"/>
      <c r="X15" s="38" t="n"/>
      <c r="Y15" s="61" t="n"/>
      <c r="Z15" s="61" t="n"/>
      <c r="AA15" s="38" t="n"/>
      <c r="AB15" s="38" t="n"/>
      <c r="AC15" s="38" t="n">
        <v>2</v>
      </c>
      <c r="AD15" s="38" t="n"/>
      <c r="AE15" s="38" t="n"/>
      <c r="AF15" s="46">
        <f>IF(SUM(F15:AE15)=0,"Очікую",SUM(F15:AE15))</f>
        <v/>
      </c>
      <c r="AG15" s="46" t="n"/>
      <c r="AH15" s="4" t="n"/>
      <c r="AI15" s="17" t="n"/>
    </row>
    <row r="16" ht="12.95" customHeight="1">
      <c r="A16" s="15" t="n"/>
      <c r="B16" s="4" t="n"/>
      <c r="C16" s="47" t="n">
        <v>5</v>
      </c>
      <c r="D16" s="37" t="inlineStr">
        <is>
          <t>Зарубіжна література</t>
        </is>
      </c>
      <c r="E16" s="37" t="inlineStr">
        <is>
          <t>Бабенко Л.Е.</t>
        </is>
      </c>
      <c r="F16" s="38" t="n"/>
      <c r="G16" s="38" t="n"/>
      <c r="H16" s="38" t="n"/>
      <c r="I16" s="38" t="n"/>
      <c r="J16" s="38" t="n"/>
      <c r="K16" s="61" t="n"/>
      <c r="L16" s="61" t="n"/>
      <c r="M16" s="38" t="n"/>
      <c r="N16" s="38" t="n"/>
      <c r="O16" s="38" t="n"/>
      <c r="P16" s="38" t="n"/>
      <c r="Q16" s="38" t="n"/>
      <c r="R16" s="61" t="n"/>
      <c r="S16" s="61" t="n"/>
      <c r="T16" s="38" t="n"/>
      <c r="U16" s="38" t="n">
        <v>2</v>
      </c>
      <c r="V16" s="38" t="n"/>
      <c r="W16" s="38" t="n"/>
      <c r="X16" s="38" t="n"/>
      <c r="Y16" s="61" t="n"/>
      <c r="Z16" s="61" t="n"/>
      <c r="AA16" s="38" t="n"/>
      <c r="AB16" s="38" t="n">
        <v>2</v>
      </c>
      <c r="AC16" s="38" t="n"/>
      <c r="AD16" s="38" t="n"/>
      <c r="AE16" s="38" t="n"/>
      <c r="AF16" s="46">
        <f>IF(SUM(F16:AE16)=0,"Очікую",SUM(F16:AE16))</f>
        <v/>
      </c>
      <c r="AG16" s="46" t="n"/>
      <c r="AH16" s="4" t="n"/>
      <c r="AI16" s="17" t="n"/>
    </row>
    <row r="17" ht="12.95" customHeight="1">
      <c r="A17" s="15" t="n"/>
      <c r="B17" s="4" t="n"/>
      <c r="C17" s="47" t="n">
        <v>6</v>
      </c>
      <c r="D17" s="39" t="inlineStr">
        <is>
          <t>Захист України</t>
        </is>
      </c>
      <c r="E17" s="39" t="inlineStr">
        <is>
          <t>Лазар В.І.</t>
        </is>
      </c>
      <c r="F17" s="38" t="n"/>
      <c r="G17" s="38" t="n"/>
      <c r="H17" s="38" t="n">
        <v>2</v>
      </c>
      <c r="I17" s="38" t="n"/>
      <c r="J17" s="38" t="n"/>
      <c r="K17" s="61" t="n"/>
      <c r="L17" s="61" t="n"/>
      <c r="M17" s="38" t="n"/>
      <c r="N17" s="38" t="n"/>
      <c r="O17" s="38" t="n">
        <v>2</v>
      </c>
      <c r="P17" s="38" t="n"/>
      <c r="Q17" s="38" t="n"/>
      <c r="R17" s="61" t="n"/>
      <c r="S17" s="61" t="n"/>
      <c r="T17" s="38" t="n"/>
      <c r="U17" s="38" t="n"/>
      <c r="V17" s="38" t="n">
        <v>2</v>
      </c>
      <c r="W17" s="38" t="n"/>
      <c r="X17" s="38" t="n"/>
      <c r="Y17" s="61" t="n"/>
      <c r="Z17" s="61" t="n"/>
      <c r="AA17" s="38" t="n"/>
      <c r="AB17" s="38" t="n"/>
      <c r="AC17" s="38" t="n">
        <v>2</v>
      </c>
      <c r="AD17" s="38" t="n"/>
      <c r="AE17" s="38" t="n"/>
      <c r="AF17" s="46">
        <f>IF(SUM(F17:AE17)=0,"Очікую",SUM(F17:AE17))</f>
        <v/>
      </c>
      <c r="AG17" s="46" t="n"/>
      <c r="AH17" s="4" t="n"/>
      <c r="AI17" s="17" t="n"/>
    </row>
    <row r="18" ht="12.95" customHeight="1">
      <c r="A18" s="15" t="n"/>
      <c r="B18" s="4" t="n"/>
      <c r="C18" s="47" t="n">
        <v>7</v>
      </c>
      <c r="D18" s="37" t="inlineStr">
        <is>
          <t>Іноземна мова</t>
        </is>
      </c>
      <c r="E18" s="37" t="inlineStr">
        <is>
          <t>Нічик Н.О.</t>
        </is>
      </c>
      <c r="F18" s="38" t="n"/>
      <c r="G18" s="38" t="n"/>
      <c r="H18" s="38" t="n">
        <v>2</v>
      </c>
      <c r="I18" s="38" t="n"/>
      <c r="J18" s="38" t="n"/>
      <c r="K18" s="61" t="n"/>
      <c r="L18" s="61" t="n"/>
      <c r="M18" s="38" t="n"/>
      <c r="N18" s="38" t="n"/>
      <c r="O18" s="38" t="n">
        <v>2</v>
      </c>
      <c r="P18" s="38" t="n"/>
      <c r="Q18" s="38" t="n"/>
      <c r="R18" s="61" t="n"/>
      <c r="S18" s="61" t="n"/>
      <c r="T18" s="38" t="n"/>
      <c r="U18" s="38" t="n"/>
      <c r="V18" s="38" t="n">
        <v>2</v>
      </c>
      <c r="W18" s="38" t="n"/>
      <c r="X18" s="38" t="n"/>
      <c r="Y18" s="61" t="n"/>
      <c r="Z18" s="61" t="n"/>
      <c r="AA18" s="38" t="n"/>
      <c r="AB18" s="38" t="n"/>
      <c r="AC18" s="38" t="n">
        <v>2</v>
      </c>
      <c r="AD18" s="38" t="n"/>
      <c r="AE18" s="38" t="n"/>
      <c r="AF18" s="46">
        <f>IF(SUM(F18:AE18)=0,"Очікую",SUM(F18:AE18))</f>
        <v/>
      </c>
      <c r="AG18" s="46" t="n"/>
      <c r="AH18" s="4" t="n"/>
      <c r="AI18" s="17" t="n"/>
    </row>
    <row r="19" ht="12.95" customHeight="1">
      <c r="A19" s="15" t="n"/>
      <c r="B19" s="4" t="n"/>
      <c r="C19" s="47" t="n">
        <v>8</v>
      </c>
      <c r="D19" s="37" t="inlineStr">
        <is>
          <t>Інформатика</t>
        </is>
      </c>
      <c r="E19" s="37" t="inlineStr">
        <is>
          <t>Андрльє І.О.</t>
        </is>
      </c>
      <c r="F19" s="38" t="n"/>
      <c r="G19" s="38" t="n"/>
      <c r="H19" s="38" t="n"/>
      <c r="I19" s="38" t="n">
        <v>2</v>
      </c>
      <c r="J19" s="38" t="n"/>
      <c r="K19" s="61" t="n"/>
      <c r="L19" s="61" t="n"/>
      <c r="M19" s="38" t="n"/>
      <c r="N19" s="38" t="n"/>
      <c r="O19" s="38" t="n"/>
      <c r="P19" s="38" t="n">
        <v>2</v>
      </c>
      <c r="Q19" s="38" t="n"/>
      <c r="R19" s="61" t="n"/>
      <c r="S19" s="61" t="n"/>
      <c r="T19" s="38" t="n"/>
      <c r="U19" s="38" t="n"/>
      <c r="V19" s="38" t="n"/>
      <c r="W19" s="38" t="n">
        <v>2</v>
      </c>
      <c r="X19" s="38" t="n"/>
      <c r="Y19" s="61" t="n"/>
      <c r="Z19" s="61" t="n"/>
      <c r="AA19" s="38" t="n"/>
      <c r="AB19" s="38" t="n"/>
      <c r="AC19" s="38" t="n"/>
      <c r="AD19" s="38" t="n">
        <v>2</v>
      </c>
      <c r="AE19" s="38" t="n"/>
      <c r="AF19" s="46">
        <f>IF(SUM(F19:AE19)=0,"Очікую",SUM(F19:AE19))</f>
        <v/>
      </c>
      <c r="AG19" s="46" t="n"/>
      <c r="AH19" s="4" t="n"/>
      <c r="AI19" s="17" t="n"/>
    </row>
    <row r="20" ht="12.95" customHeight="1">
      <c r="A20" s="15" t="n"/>
      <c r="B20" s="4" t="n"/>
      <c r="C20" s="47" t="n">
        <v>9</v>
      </c>
      <c r="D20" s="37" t="inlineStr">
        <is>
          <t>Історія України</t>
        </is>
      </c>
      <c r="E20" s="37" t="inlineStr">
        <is>
          <t>Левчук Т.Г.</t>
        </is>
      </c>
      <c r="F20" s="38" t="n"/>
      <c r="G20" s="38" t="n">
        <v>2</v>
      </c>
      <c r="H20" s="38" t="n"/>
      <c r="I20" s="38" t="n"/>
      <c r="J20" s="38" t="n"/>
      <c r="K20" s="61" t="n"/>
      <c r="L20" s="61" t="n"/>
      <c r="M20" s="38" t="n"/>
      <c r="N20" s="38" t="n">
        <v>2</v>
      </c>
      <c r="O20" s="38" t="n"/>
      <c r="P20" s="38" t="n"/>
      <c r="Q20" s="38" t="n"/>
      <c r="R20" s="61" t="n"/>
      <c r="S20" s="61" t="n"/>
      <c r="T20" s="38" t="n"/>
      <c r="U20" s="38" t="n">
        <v>2</v>
      </c>
      <c r="V20" s="38" t="n"/>
      <c r="W20" s="38" t="n"/>
      <c r="X20" s="38" t="n"/>
      <c r="Y20" s="61" t="n"/>
      <c r="Z20" s="61" t="n"/>
      <c r="AA20" s="38" t="n"/>
      <c r="AB20" s="38" t="n">
        <v>2</v>
      </c>
      <c r="AC20" s="38" t="n"/>
      <c r="AD20" s="38" t="n"/>
      <c r="AE20" s="38" t="n"/>
      <c r="AF20" s="46">
        <f>IF(SUM(F20:AE20)=0,"Очікую",SUM(F20:AE20))</f>
        <v/>
      </c>
      <c r="AG20" s="46" t="n"/>
      <c r="AH20" s="4" t="n"/>
      <c r="AI20" s="17" t="n"/>
    </row>
    <row r="21" ht="12.95" customHeight="1">
      <c r="A21" s="15" t="n"/>
      <c r="B21" s="4" t="n"/>
      <c r="C21" s="47" t="n">
        <v>10</v>
      </c>
      <c r="D21" s="37" t="inlineStr">
        <is>
          <t>Математика</t>
        </is>
      </c>
      <c r="E21" s="37" t="inlineStr">
        <is>
          <t>Бондаренко О.С.</t>
        </is>
      </c>
      <c r="F21" s="38" t="n">
        <v>2</v>
      </c>
      <c r="G21" s="38" t="n">
        <v>2</v>
      </c>
      <c r="H21" s="38" t="n">
        <v>2</v>
      </c>
      <c r="I21" s="38" t="n"/>
      <c r="J21" s="38" t="n"/>
      <c r="K21" s="61" t="n"/>
      <c r="L21" s="61" t="n"/>
      <c r="M21" s="38" t="n">
        <v>2</v>
      </c>
      <c r="N21" s="38" t="n">
        <v>2</v>
      </c>
      <c r="O21" s="38" t="n">
        <v>2</v>
      </c>
      <c r="P21" s="38" t="n"/>
      <c r="Q21" s="38" t="n"/>
      <c r="R21" s="61" t="n"/>
      <c r="S21" s="61" t="n"/>
      <c r="T21" s="38" t="n">
        <v>2</v>
      </c>
      <c r="U21" s="38" t="n"/>
      <c r="V21" s="38" t="n">
        <v>2</v>
      </c>
      <c r="W21" s="38" t="n"/>
      <c r="X21" s="38" t="n"/>
      <c r="Y21" s="61" t="n"/>
      <c r="Z21" s="61" t="n"/>
      <c r="AA21" s="38" t="n">
        <v>2</v>
      </c>
      <c r="AB21" s="38" t="n"/>
      <c r="AC21" s="38" t="n">
        <v>2</v>
      </c>
      <c r="AD21" s="38" t="n"/>
      <c r="AE21" s="38" t="n"/>
      <c r="AF21" s="46">
        <f>IF(SUM(F21:AE21)=0,"Очікую",SUM(F21:AE21))</f>
        <v/>
      </c>
      <c r="AG21" s="46" t="n"/>
      <c r="AH21" s="4" t="n"/>
      <c r="AI21" s="17" t="n"/>
    </row>
    <row r="22" ht="12.95" customHeight="1">
      <c r="A22" s="15" t="n"/>
      <c r="B22" s="4" t="n"/>
      <c r="C22" s="47" t="n">
        <v>11</v>
      </c>
      <c r="D22" s="37" t="inlineStr">
        <is>
          <t>Українська література</t>
        </is>
      </c>
      <c r="E22" s="37" t="inlineStr">
        <is>
          <t>Юрченко О.Б.</t>
        </is>
      </c>
      <c r="F22" s="38" t="n"/>
      <c r="G22" s="38" t="n"/>
      <c r="H22" s="38" t="n"/>
      <c r="I22" s="38" t="n">
        <v>2</v>
      </c>
      <c r="J22" s="38" t="n"/>
      <c r="K22" s="61" t="n"/>
      <c r="L22" s="61" t="n"/>
      <c r="M22" s="38" t="n"/>
      <c r="N22" s="38" t="n"/>
      <c r="O22" s="38" t="n"/>
      <c r="P22" s="38" t="n">
        <v>2</v>
      </c>
      <c r="Q22" s="38" t="n"/>
      <c r="R22" s="61" t="n"/>
      <c r="S22" s="61" t="n"/>
      <c r="T22" s="38" t="n"/>
      <c r="U22" s="38" t="n"/>
      <c r="V22" s="38" t="n"/>
      <c r="W22" s="38" t="n">
        <v>2</v>
      </c>
      <c r="X22" s="38" t="n"/>
      <c r="Y22" s="61" t="n"/>
      <c r="Z22" s="61" t="n"/>
      <c r="AA22" s="38" t="n"/>
      <c r="AB22" s="38" t="n"/>
      <c r="AC22" s="38" t="n"/>
      <c r="AD22" s="38" t="n">
        <v>2</v>
      </c>
      <c r="AE22" s="38" t="n"/>
      <c r="AF22" s="46">
        <f>IF(SUM(F22:AE22)=0,"Очікую",SUM(F22:AE22))</f>
        <v/>
      </c>
      <c r="AG22" s="46" t="n"/>
      <c r="AH22" s="4" t="n"/>
      <c r="AI22" s="17" t="n"/>
    </row>
    <row r="23" ht="12.95" customHeight="1">
      <c r="A23" s="15" t="n"/>
      <c r="B23" s="4" t="n"/>
      <c r="C23" s="47" t="n">
        <v>12</v>
      </c>
      <c r="D23" s="37" t="inlineStr">
        <is>
          <t>Українська мова</t>
        </is>
      </c>
      <c r="E23" s="37" t="inlineStr">
        <is>
          <t>Юрченко О.Б.</t>
        </is>
      </c>
      <c r="F23" s="38" t="n"/>
      <c r="G23" s="38" t="n"/>
      <c r="H23" s="38" t="n"/>
      <c r="I23" s="38" t="n"/>
      <c r="J23" s="38" t="n">
        <v>2</v>
      </c>
      <c r="K23" s="61" t="n"/>
      <c r="L23" s="61" t="n"/>
      <c r="M23" s="38" t="n"/>
      <c r="N23" s="38" t="n"/>
      <c r="O23" s="38" t="n"/>
      <c r="P23" s="38" t="n"/>
      <c r="Q23" s="38" t="n">
        <v>2</v>
      </c>
      <c r="R23" s="61" t="n"/>
      <c r="S23" s="61" t="n"/>
      <c r="T23" s="38" t="n"/>
      <c r="U23" s="38" t="n"/>
      <c r="V23" s="38" t="n"/>
      <c r="W23" s="38" t="n"/>
      <c r="X23" s="38" t="n">
        <v>2</v>
      </c>
      <c r="Y23" s="61" t="n"/>
      <c r="Z23" s="61" t="n"/>
      <c r="AA23" s="38" t="n"/>
      <c r="AB23" s="38" t="n"/>
      <c r="AC23" s="38" t="n"/>
      <c r="AD23" s="38" t="n"/>
      <c r="AE23" s="38" t="n">
        <v>2</v>
      </c>
      <c r="AF23" s="46">
        <f>IF(SUM(F23:AE23)=0,"Очікую",SUM(F23:AE23))</f>
        <v/>
      </c>
      <c r="AG23" s="46" t="n"/>
      <c r="AH23" s="4" t="n"/>
      <c r="AI23" s="17" t="n"/>
    </row>
    <row r="24" ht="12.95" customHeight="1">
      <c r="A24" s="15" t="n"/>
      <c r="B24" s="4" t="n"/>
      <c r="C24" s="47" t="n">
        <v>13</v>
      </c>
      <c r="D24" s="37" t="inlineStr">
        <is>
          <t>Фізика</t>
        </is>
      </c>
      <c r="E24" s="37" t="inlineStr">
        <is>
          <t>Калюта Н.М.</t>
        </is>
      </c>
      <c r="F24" s="38" t="n"/>
      <c r="G24" s="38" t="n">
        <v>2</v>
      </c>
      <c r="H24" s="38" t="n"/>
      <c r="I24" s="38" t="n">
        <v>2</v>
      </c>
      <c r="J24" s="38" t="n"/>
      <c r="K24" s="61" t="n"/>
      <c r="L24" s="61" t="n"/>
      <c r="M24" s="38" t="n"/>
      <c r="N24" s="38" t="n">
        <v>2</v>
      </c>
      <c r="O24" s="38" t="n"/>
      <c r="P24" s="38" t="n">
        <v>2</v>
      </c>
      <c r="Q24" s="38" t="n"/>
      <c r="R24" s="61" t="n"/>
      <c r="S24" s="61" t="n"/>
      <c r="T24" s="38" t="n"/>
      <c r="U24" s="38" t="n">
        <v>2</v>
      </c>
      <c r="V24" s="38" t="n"/>
      <c r="W24" s="38" t="n">
        <v>2</v>
      </c>
      <c r="X24" s="38" t="n"/>
      <c r="Y24" s="61" t="n"/>
      <c r="Z24" s="61" t="n"/>
      <c r="AA24" s="38" t="n"/>
      <c r="AB24" s="38" t="n">
        <v>2</v>
      </c>
      <c r="AC24" s="38" t="n"/>
      <c r="AD24" s="38" t="n">
        <v>2</v>
      </c>
      <c r="AE24" s="38" t="n"/>
      <c r="AF24" s="46">
        <f>IF(SUM(F24:AE24)=0,"Очікую",SUM(F24:AE24))</f>
        <v/>
      </c>
      <c r="AG24" s="46" t="n"/>
      <c r="AH24" s="4" t="n"/>
      <c r="AI24" s="17" t="n"/>
    </row>
    <row r="25" ht="12.95" customHeight="1">
      <c r="A25" s="15" t="n"/>
      <c r="B25" s="4" t="n"/>
      <c r="C25" s="47" t="n">
        <v>14</v>
      </c>
      <c r="D25" s="37" t="inlineStr">
        <is>
          <t>Фізична культура</t>
        </is>
      </c>
      <c r="E25" s="37" t="inlineStr">
        <is>
          <t>Возіян О.Г.</t>
        </is>
      </c>
      <c r="F25" s="38" t="n">
        <v>2</v>
      </c>
      <c r="G25" s="38" t="n"/>
      <c r="H25" s="38" t="n"/>
      <c r="I25" s="38" t="n"/>
      <c r="J25" s="38" t="n"/>
      <c r="K25" s="61" t="n"/>
      <c r="L25" s="61" t="n"/>
      <c r="M25" s="38" t="n">
        <v>2</v>
      </c>
      <c r="N25" s="38" t="n"/>
      <c r="O25" s="38" t="n"/>
      <c r="P25" s="38" t="n"/>
      <c r="Q25" s="38" t="n">
        <v>2</v>
      </c>
      <c r="R25" s="61" t="n"/>
      <c r="S25" s="61" t="n"/>
      <c r="T25" s="38" t="n">
        <v>2</v>
      </c>
      <c r="U25" s="38" t="n"/>
      <c r="V25" s="38" t="n"/>
      <c r="W25" s="38" t="n"/>
      <c r="X25" s="38" t="n"/>
      <c r="Y25" s="61" t="n"/>
      <c r="Z25" s="61" t="n"/>
      <c r="AA25" s="38" t="n">
        <v>2</v>
      </c>
      <c r="AB25" s="38" t="n"/>
      <c r="AC25" s="38" t="n"/>
      <c r="AD25" s="38" t="n"/>
      <c r="AE25" s="38" t="n">
        <v>2</v>
      </c>
      <c r="AF25" s="46">
        <f>IF(SUM(F25:AE25)=0,"Очікую",SUM(F25:AE25))</f>
        <v/>
      </c>
      <c r="AG25" s="46" t="n"/>
      <c r="AH25" s="4" t="n"/>
      <c r="AI25" s="17" t="n"/>
    </row>
    <row r="26" ht="12.95" customHeight="1">
      <c r="A26" s="15" t="n"/>
      <c r="B26" s="4" t="n"/>
      <c r="C26" s="47" t="n">
        <v>15</v>
      </c>
      <c r="D26" s="37" t="inlineStr">
        <is>
          <t>Хімія</t>
        </is>
      </c>
      <c r="E26" s="37" t="inlineStr">
        <is>
          <t>Сахно Н.О.</t>
        </is>
      </c>
      <c r="F26" s="38" t="n"/>
      <c r="G26" s="38" t="n">
        <v>2</v>
      </c>
      <c r="H26" s="38" t="n"/>
      <c r="I26" s="38" t="n"/>
      <c r="J26" s="38" t="n"/>
      <c r="K26" s="61" t="n"/>
      <c r="L26" s="61" t="n"/>
      <c r="M26" s="38" t="n"/>
      <c r="N26" s="38" t="n">
        <v>2</v>
      </c>
      <c r="O26" s="38" t="n"/>
      <c r="P26" s="38" t="n"/>
      <c r="Q26" s="38" t="n"/>
      <c r="R26" s="61" t="n"/>
      <c r="S26" s="61" t="n"/>
      <c r="T26" s="38" t="n"/>
      <c r="U26" s="38" t="n">
        <v>2</v>
      </c>
      <c r="V26" s="38" t="n"/>
      <c r="W26" s="38" t="n"/>
      <c r="X26" s="38" t="n"/>
      <c r="Y26" s="61" t="n"/>
      <c r="Z26" s="61" t="n"/>
      <c r="AA26" s="38" t="n"/>
      <c r="AB26" s="38" t="n">
        <v>2</v>
      </c>
      <c r="AC26" s="38" t="n"/>
      <c r="AD26" s="38" t="n"/>
      <c r="AE26" s="38" t="n"/>
      <c r="AF26" s="46">
        <f>IF(SUM(F26:AE26)=0,"Очікую",SUM(F26:AE26))</f>
        <v/>
      </c>
      <c r="AG26" s="46" t="n"/>
      <c r="AH26" s="4" t="n"/>
      <c r="AI26" s="17" t="n"/>
    </row>
    <row r="27" ht="12.95" customHeight="1">
      <c r="A27" s="15" t="n"/>
      <c r="B27" s="4" t="n"/>
      <c r="C27" s="45" t="n"/>
      <c r="D27" s="45" t="n"/>
      <c r="E27" s="45" t="n"/>
      <c r="F27" s="46">
        <f>IF($AF27="Очікую","Оч",SUM(F12:F26))</f>
        <v/>
      </c>
      <c r="G27" s="46">
        <f>IF($AF27="Очікую","Оч",SUM(G12:G26))</f>
        <v/>
      </c>
      <c r="H27" s="46">
        <f>IF($AF27="Очікую","Оч",SUM(H12:H26))</f>
        <v/>
      </c>
      <c r="I27" s="46">
        <f>IF($AF27="Очікую","Оч",SUM(I12:I26))</f>
        <v/>
      </c>
      <c r="J27" s="46">
        <f>IF($AF27="Очікую","Оч",SUM(J12:J26))</f>
        <v/>
      </c>
      <c r="K27" s="46">
        <f>IF($AF27="Очікую","Оч",SUM(K12:K26))</f>
        <v/>
      </c>
      <c r="L27" s="46">
        <f>IF($AF27="Очікую","Оч",SUM(L12:L26))</f>
        <v/>
      </c>
      <c r="M27" s="46">
        <f>IF($AF27="Очікую","Оч",SUM(M12:M26))</f>
        <v/>
      </c>
      <c r="N27" s="46">
        <f>IF($AF27="Очікую","Оч",SUM(N12:N26))</f>
        <v/>
      </c>
      <c r="O27" s="46">
        <f>IF($AF27="Очікую","Оч",SUM(O12:O26))</f>
        <v/>
      </c>
      <c r="P27" s="46">
        <f>IF($AF27="Очікую","Оч",SUM(P12:P26))</f>
        <v/>
      </c>
      <c r="Q27" s="46">
        <f>IF($AF27="Очікую","Оч",SUM(Q12:Q26))</f>
        <v/>
      </c>
      <c r="R27" s="46">
        <f>IF($AF27="Очікую","Оч",SUM(R12:R26))</f>
        <v/>
      </c>
      <c r="S27" s="46">
        <f>IF($AF27="Очікую","Оч",SUM(S12:S26))</f>
        <v/>
      </c>
      <c r="T27" s="46">
        <f>IF($AF27="Очікую","Оч",SUM(T12:T26))</f>
        <v/>
      </c>
      <c r="U27" s="46">
        <f>IF($AF27="Очікую","Оч",SUM(U12:U26))</f>
        <v/>
      </c>
      <c r="V27" s="46">
        <f>IF($AF27="Очікую","Оч",SUM(V12:V26))</f>
        <v/>
      </c>
      <c r="W27" s="46">
        <f>IF($AF27="Очікую","Оч",SUM(W12:W26))</f>
        <v/>
      </c>
      <c r="X27" s="46">
        <f>IF($AF27="Очікую","Оч",SUM(X12:X26))</f>
        <v/>
      </c>
      <c r="Y27" s="46">
        <f>IF($AF27="Очікую","Оч",SUM(Y12:Y26))</f>
        <v/>
      </c>
      <c r="Z27" s="46">
        <f>IF($AF27="Очікую","Оч",SUM(Z12:Z26))</f>
        <v/>
      </c>
      <c r="AA27" s="46">
        <f>IF($AF27="Очікую","Оч",SUM(AA12:AA26))</f>
        <v/>
      </c>
      <c r="AB27" s="46">
        <f>IF($AF27="Очікую","Оч",SUM(AB12:AB26))</f>
        <v/>
      </c>
      <c r="AC27" s="46">
        <f>IF($AF27="Очікую","Оч",SUM(AC12:AC26))</f>
        <v/>
      </c>
      <c r="AD27" s="46">
        <f>IF($AF27="Очікую","Оч",SUM(AD12:AD26))</f>
        <v/>
      </c>
      <c r="AE27" s="46">
        <f>IF($AF27="Очікую","Оч",SUM(AE12:AE26))</f>
        <v/>
      </c>
      <c r="AF27" s="46">
        <f>IF(SUM(AF12:AF26)=0,"Очікую",SUM(AF12:AF26))</f>
        <v/>
      </c>
      <c r="AG27" s="45" t="n"/>
      <c r="AH27" s="4" t="n"/>
      <c r="AI27" s="17" t="n"/>
    </row>
    <row r="28" ht="12.95" customHeight="1">
      <c r="A28" s="15" t="n"/>
      <c r="B28" s="4" t="n"/>
      <c r="C28" s="45" t="n"/>
      <c r="D28" s="45" t="n"/>
      <c r="E28" s="45" t="n"/>
      <c r="F28" s="45" t="n"/>
      <c r="G28" s="45" t="n"/>
      <c r="H28" s="45" t="n"/>
      <c r="I28" s="45" t="n"/>
      <c r="J28" s="45" t="n"/>
      <c r="K28" s="45" t="n"/>
      <c r="L28" s="45" t="n"/>
      <c r="M28" s="45" t="n"/>
      <c r="N28" s="45" t="n"/>
      <c r="O28" s="45" t="n"/>
      <c r="P28" s="45" t="n"/>
      <c r="Q28" s="45" t="n"/>
      <c r="R28" s="45" t="n"/>
      <c r="S28" s="45" t="n"/>
      <c r="T28" s="45" t="n"/>
      <c r="U28" s="45" t="n"/>
      <c r="V28" s="45" t="n"/>
      <c r="W28" s="45" t="n"/>
      <c r="X28" s="45" t="n"/>
      <c r="Y28" s="45" t="n"/>
      <c r="Z28" s="45" t="n"/>
      <c r="AA28" s="45" t="n"/>
      <c r="AB28" s="45" t="n"/>
      <c r="AC28" s="45" t="n"/>
      <c r="AD28" s="45" t="n"/>
      <c r="AE28" s="45" t="n"/>
      <c r="AF28" s="45" t="n"/>
      <c r="AG28" s="45" t="n"/>
      <c r="AH28" s="4" t="n"/>
      <c r="AI28" s="17" t="n"/>
    </row>
    <row r="29" ht="12.95" customHeight="1">
      <c r="A29" s="15" t="n"/>
      <c r="B29" s="4" t="n"/>
      <c r="C29" s="45" t="n"/>
      <c r="D29" s="45" t="n"/>
      <c r="E29" s="45" t="n"/>
      <c r="F29" s="10" t="n"/>
      <c r="G29" s="10" t="n"/>
      <c r="H29" s="10" t="n"/>
      <c r="I29" s="10" t="n"/>
      <c r="J29" s="10" t="n"/>
      <c r="K29" s="10" t="n"/>
      <c r="L29" s="10" t="n"/>
      <c r="M29" s="10" t="n"/>
      <c r="N29" s="10" t="n"/>
      <c r="O29" s="10" t="n"/>
      <c r="P29" s="10" t="n"/>
      <c r="Q29" s="10" t="n"/>
      <c r="R29" s="10" t="n"/>
      <c r="S29" s="10" t="n"/>
      <c r="T29" s="10" t="n"/>
      <c r="U29" s="10" t="n"/>
      <c r="V29" s="10" t="n"/>
      <c r="W29" s="10" t="n"/>
      <c r="X29" s="10" t="n"/>
      <c r="Y29" s="10" t="n"/>
      <c r="Z29" s="10" t="n"/>
      <c r="AA29" s="10" t="n"/>
      <c r="AB29" s="10" t="n"/>
      <c r="AC29" s="10" t="n"/>
      <c r="AD29" s="10" t="n"/>
      <c r="AE29" s="10" t="n"/>
      <c r="AF29" s="45" t="n"/>
      <c r="AG29" s="45" t="n"/>
      <c r="AH29" s="4" t="n"/>
      <c r="AI29" s="17" t="n"/>
    </row>
    <row r="30" ht="12.95" customHeight="1">
      <c r="A30" s="15" t="n"/>
      <c r="B30" s="4" t="n"/>
      <c r="C30" s="45" t="inlineStr">
        <is>
          <t>Завідувач відділення  ПЗСО   ______________  Маргарита БРІТІКОВА</t>
        </is>
      </c>
      <c r="AH30" s="4" t="n"/>
      <c r="AI30" s="17" t="n"/>
    </row>
    <row r="31" ht="12.95" customHeight="1">
      <c r="A31" s="15" t="n"/>
      <c r="B31" s="4" t="n"/>
      <c r="C31" s="4" t="n"/>
      <c r="D31" s="4" t="n"/>
      <c r="E31" s="4" t="n"/>
      <c r="F31" s="4" t="n"/>
      <c r="G31" s="4" t="n"/>
      <c r="H31" s="4" t="n"/>
      <c r="I31" s="4" t="n"/>
      <c r="J31" s="4" t="n"/>
      <c r="K31" s="4" t="n"/>
      <c r="L31" s="4" t="n"/>
      <c r="M31" s="4" t="n"/>
      <c r="N31" s="4" t="n"/>
      <c r="O31" s="4" t="n"/>
      <c r="P31" s="4" t="n"/>
      <c r="Q31" s="4" t="n"/>
      <c r="R31" s="4" t="n"/>
      <c r="S31" s="4" t="n"/>
      <c r="T31" s="4" t="n"/>
      <c r="U31" s="4" t="n"/>
      <c r="V31" s="4" t="n"/>
      <c r="W31" s="4" t="n"/>
      <c r="X31" s="4" t="n"/>
      <c r="Y31" s="4" t="n"/>
      <c r="Z31" s="4" t="n"/>
      <c r="AA31" s="4" t="n"/>
      <c r="AB31" s="4" t="n"/>
      <c r="AC31" s="4" t="n"/>
      <c r="AD31" s="4" t="n"/>
      <c r="AE31" s="4" t="n"/>
      <c r="AF31" s="4" t="n"/>
      <c r="AG31" s="4" t="n"/>
      <c r="AH31" s="4" t="n"/>
      <c r="AI31" s="17" t="n"/>
    </row>
    <row r="32" ht="12.95" customHeight="1">
      <c r="A32" s="13" t="n"/>
      <c r="B32" s="14" t="n"/>
      <c r="C32" s="14" t="n"/>
      <c r="D32" s="14" t="n"/>
      <c r="E32" s="14" t="n"/>
      <c r="F32" s="14" t="n"/>
      <c r="G32" s="14" t="n"/>
      <c r="H32" s="14" t="n"/>
      <c r="I32" s="14" t="n"/>
      <c r="J32" s="14" t="n"/>
      <c r="K32" s="14" t="n"/>
      <c r="L32" s="14" t="n"/>
      <c r="M32" s="14" t="n"/>
      <c r="N32" s="14" t="n"/>
      <c r="O32" s="14" t="n"/>
      <c r="P32" s="14" t="n"/>
      <c r="Q32" s="14" t="n"/>
      <c r="R32" s="14" t="n"/>
      <c r="S32" s="14" t="n"/>
      <c r="T32" s="14" t="n"/>
      <c r="U32" s="14" t="n"/>
      <c r="V32" s="14" t="n"/>
      <c r="W32" s="14" t="n"/>
      <c r="X32" s="14" t="n"/>
      <c r="Y32" s="14" t="n"/>
      <c r="Z32" s="14" t="n"/>
      <c r="AA32" s="14" t="n"/>
      <c r="AB32" s="14" t="n"/>
      <c r="AC32" s="14" t="n"/>
      <c r="AD32" s="14" t="n"/>
      <c r="AE32" s="14" t="n"/>
      <c r="AF32" s="14" t="n"/>
      <c r="AG32" s="14" t="n"/>
      <c r="AH32" s="14" t="n"/>
      <c r="AI32" s="13" t="n"/>
    </row>
    <row r="33" hidden="1" ht="12.95" customHeight="1"/>
    <row r="34" hidden="1" ht="12.95" customHeight="1"/>
    <row r="35" hidden="1" ht="12.95" customHeight="1"/>
    <row r="36" hidden="1" ht="12.95" customHeight="1"/>
    <row r="37" hidden="1" ht="12.95" customHeight="1"/>
    <row r="38" hidden="1" ht="12.95" customHeight="1"/>
    <row r="39" hidden="1" ht="12.95" customHeight="1"/>
    <row r="40" hidden="1" ht="12.95" customHeight="1"/>
    <row r="41" hidden="1" ht="12.95" customHeight="1"/>
    <row r="42" hidden="1" ht="12.95" customHeight="1"/>
    <row r="43" hidden="1" ht="12.95" customHeight="1"/>
    <row r="44" hidden="1" ht="12.95" customHeight="1"/>
    <row r="45" hidden="1" ht="12.95" customHeight="1"/>
    <row r="46" hidden="1" ht="12.95" customHeight="1" thickBot="1"/>
    <row r="47" hidden="1" ht="12" customHeight="1"/>
  </sheetData>
  <mergeCells count="14">
    <mergeCell ref="C30:AG30"/>
    <mergeCell ref="C6:AG6"/>
    <mergeCell ref="AF10:AF11"/>
    <mergeCell ref="C5:AG5"/>
    <mergeCell ref="D4:E4"/>
    <mergeCell ref="C8:AG8"/>
    <mergeCell ref="C10:C11"/>
    <mergeCell ref="E10:E11"/>
    <mergeCell ref="F10:AE10"/>
    <mergeCell ref="D3:E3"/>
    <mergeCell ref="C7:AG7"/>
    <mergeCell ref="D10:D11"/>
    <mergeCell ref="C9:AG9"/>
    <mergeCell ref="AG10:AG11"/>
  </mergeCells>
  <printOptions horizontalCentered="1"/>
  <pageMargins left="0.1968503937007874" right="0.1968503937007874" top="0.1968503937007874" bottom="0.1968503937007874" header="0" footer="0"/>
  <pageSetup orientation="landscape" paperSize="9"/>
</worksheet>
</file>

<file path=xl/worksheets/sheet2.xml><?xml version="1.0" encoding="utf-8"?>
<worksheet xmlns="http://schemas.openxmlformats.org/spreadsheetml/2006/main">
  <sheetPr>
    <tabColor rgb="FF0070C0"/>
    <outlinePr summaryBelow="1" summaryRight="1"/>
    <pageSetUpPr fitToPage="1"/>
  </sheetPr>
  <dimension ref="A1:AI32"/>
  <sheetViews>
    <sheetView zoomScaleNormal="100" workbookViewId="0">
      <selection activeCell="A1" sqref="A1"/>
    </sheetView>
  </sheetViews>
  <sheetFormatPr baseColWidth="8" defaultColWidth="0" defaultRowHeight="12" customHeight="1" zeroHeight="1"/>
  <cols>
    <col width="1.453125" customWidth="1" style="2" min="1" max="2"/>
    <col width="2.36328125" customWidth="1" style="2" min="3" max="3"/>
    <col width="12.54296875" customWidth="1" style="2" min="4" max="4"/>
    <col width="11.90625" customWidth="1" style="2" min="5" max="5"/>
    <col width="2.08984375" customWidth="1" style="2" min="6" max="36"/>
    <col width="4.05" customWidth="1" min="32" max="32"/>
    <col width="5.55" customWidth="1" min="33" max="33"/>
    <col width="1.5" customWidth="1" min="34" max="34"/>
    <col width="1.5" customWidth="1" min="35" max="35"/>
    <col hidden="1" width="13" customWidth="1" min="36" max="36"/>
    <col hidden="1" width="4" customWidth="1" style="2" min="37" max="37"/>
    <col hidden="1" width="5.54296875" customWidth="1" style="2" min="38" max="38"/>
    <col hidden="1" width="1.453125" customWidth="1" style="2" min="39" max="40"/>
    <col hidden="1" width="13" customWidth="1" min="40" max="40"/>
    <col hidden="1" width="5.81640625" customWidth="1" style="2" min="41" max="16384"/>
  </cols>
  <sheetData>
    <row r="1" ht="12" customFormat="1" customHeight="1" s="3" thickBot="1">
      <c r="A1" s="12" t="inlineStr">
        <is>
          <t>S</t>
        </is>
      </c>
      <c r="B1" s="16" t="n"/>
      <c r="C1" s="16" t="n"/>
      <c r="D1" s="16" t="n"/>
      <c r="E1" s="16" t="n"/>
      <c r="F1" s="16" t="n"/>
      <c r="G1" s="16" t="n"/>
      <c r="H1" s="16" t="n"/>
      <c r="I1" s="16" t="n"/>
      <c r="J1" s="16" t="n"/>
      <c r="K1" s="16" t="n"/>
      <c r="L1" s="16" t="n"/>
      <c r="M1" s="16" t="n"/>
      <c r="N1" s="16" t="n"/>
      <c r="O1" s="16" t="n"/>
      <c r="P1" s="16" t="n"/>
      <c r="Q1" s="16" t="n"/>
      <c r="R1" s="16" t="n"/>
      <c r="S1" s="16" t="n"/>
      <c r="T1" s="16" t="n"/>
      <c r="U1" s="16" t="n"/>
      <c r="V1" s="16" t="n"/>
      <c r="W1" s="16" t="n"/>
      <c r="X1" s="16" t="n"/>
      <c r="Y1" s="16" t="n"/>
      <c r="Z1" s="16" t="n"/>
      <c r="AA1" s="16" t="n"/>
      <c r="AB1" s="16" t="n"/>
      <c r="AC1" s="16" t="n"/>
      <c r="AD1" s="16" t="n"/>
      <c r="AE1" s="16" t="n"/>
      <c r="AF1" s="16" t="n"/>
      <c r="AG1" s="16" t="n"/>
      <c r="AH1" s="16" t="n"/>
      <c r="AI1" s="11" t="n"/>
    </row>
    <row r="2" ht="12" customFormat="1" customHeight="1" s="1">
      <c r="A2" s="15" t="n"/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  <c r="AA2" s="4" t="n"/>
      <c r="AB2" s="4" t="n"/>
      <c r="AC2" s="4" t="n"/>
      <c r="AD2" s="4" t="n"/>
      <c r="AE2" s="4" t="n"/>
      <c r="AF2" s="4" t="n"/>
      <c r="AG2" s="4" t="n"/>
      <c r="AH2" s="4" t="n"/>
      <c r="AI2" s="17" t="n"/>
    </row>
    <row r="3" ht="15" customHeight="1">
      <c r="A3" s="15" t="n"/>
      <c r="B3" s="4" t="n"/>
      <c r="C3" s="5" t="n"/>
      <c r="D3" s="42" t="inlineStr">
        <is>
          <t>Міністерство освіти і науки України</t>
        </is>
      </c>
      <c r="F3" s="5" t="n"/>
      <c r="G3" s="5" t="n"/>
      <c r="H3" s="5" t="n"/>
      <c r="I3" s="5" t="n"/>
      <c r="J3" s="5" t="n"/>
      <c r="K3" s="5" t="n"/>
      <c r="L3" s="5" t="n"/>
      <c r="M3" s="5" t="n"/>
      <c r="N3" s="5" t="n"/>
      <c r="O3" s="5" t="n"/>
      <c r="P3" s="5" t="n"/>
      <c r="Q3" s="5" t="n"/>
      <c r="R3" s="5" t="n"/>
      <c r="S3" s="5" t="n"/>
      <c r="T3" s="5" t="n"/>
      <c r="U3" s="5" t="n"/>
      <c r="V3" s="5" t="n"/>
      <c r="W3" s="5" t="n"/>
      <c r="X3" s="5" t="n"/>
      <c r="Y3" s="5" t="n"/>
      <c r="Z3" s="5" t="n"/>
      <c r="AA3" s="5" t="n"/>
      <c r="AB3" s="5" t="n"/>
      <c r="AC3" s="5" t="n"/>
      <c r="AD3" s="5" t="n"/>
      <c r="AE3" s="5" t="n"/>
      <c r="AF3" s="5" t="n"/>
      <c r="AG3" s="5" t="n"/>
      <c r="AH3" s="4" t="n"/>
      <c r="AI3" s="17" t="n"/>
    </row>
    <row r="4" ht="65.09999999999999" customHeight="1">
      <c r="A4" s="15" t="n"/>
      <c r="B4" s="4" t="n"/>
      <c r="C4" s="45" t="n"/>
      <c r="D4" s="43" t="inlineStr">
        <is>
          <t>Відокремлений структурний підрозділ "Фаховий коледж нафтогазових технологій, інженерії та інфраструктури сервісу Одеського національного технологічного університету"</t>
        </is>
      </c>
      <c r="F4" s="44" t="n"/>
      <c r="G4" s="44" t="n"/>
      <c r="H4" s="44" t="n"/>
      <c r="I4" s="44" t="n"/>
      <c r="J4" s="44" t="n"/>
      <c r="K4" s="44" t="n"/>
      <c r="L4" s="44" t="n"/>
      <c r="M4" s="44" t="n"/>
      <c r="N4" s="44" t="n"/>
      <c r="O4" s="44" t="n"/>
      <c r="P4" s="44" t="n"/>
      <c r="Q4" s="44" t="n"/>
      <c r="R4" s="44" t="n"/>
      <c r="S4" s="44" t="n"/>
      <c r="T4" s="44" t="n"/>
      <c r="U4" s="44" t="n"/>
      <c r="V4" s="44" t="n"/>
      <c r="W4" s="44" t="n"/>
      <c r="X4" s="44" t="n"/>
      <c r="Y4" s="44" t="n"/>
      <c r="Z4" s="44" t="n"/>
      <c r="AA4" s="44" t="n"/>
      <c r="AB4" s="44" t="n"/>
      <c r="AC4" s="44" t="n"/>
      <c r="AD4" s="44" t="n"/>
      <c r="AE4" s="44" t="n"/>
      <c r="AF4" s="45" t="n"/>
      <c r="AG4" s="45" t="n"/>
      <c r="AH4" s="4" t="n"/>
      <c r="AI4" s="17" t="n"/>
    </row>
    <row r="5" ht="15" customHeight="1">
      <c r="A5" s="15" t="n"/>
      <c r="B5" s="4" t="n"/>
      <c r="C5" s="44" t="inlineStr">
        <is>
          <t>ВІДОМІСТЬ ОБЛІКУ ГОДИН РОБОТИ ВИКЛАДАЧА</t>
        </is>
      </c>
      <c r="AH5" s="4" t="n"/>
      <c r="AI5" s="17" t="n"/>
    </row>
    <row r="6" ht="15" customHeight="1">
      <c r="A6" s="15" t="n"/>
      <c r="B6" s="4" t="n"/>
      <c r="C6" s="45" t="inlineStr">
        <is>
          <t xml:space="preserve"> </t>
        </is>
      </c>
      <c r="AH6" s="4" t="n"/>
      <c r="AI6" s="17" t="n"/>
    </row>
    <row r="7" ht="15" customHeight="1">
      <c r="A7" s="15" t="n"/>
      <c r="B7" s="4" t="n"/>
      <c r="C7" s="44" t="inlineStr">
        <is>
          <t>за вересень 2025 р.</t>
        </is>
      </c>
      <c r="AH7" s="4" t="n"/>
      <c r="AI7" s="17" t="n"/>
    </row>
    <row r="8" ht="15" customHeight="1">
      <c r="A8" s="15" t="n"/>
      <c r="B8" s="4" t="n"/>
      <c r="C8" s="40" t="inlineStr">
        <is>
          <t>Спеціальнiсть 1 курс І група 25-2</t>
        </is>
      </c>
      <c r="AH8" s="4" t="n"/>
      <c r="AI8" s="17" t="n"/>
    </row>
    <row r="9" ht="15" customHeight="1">
      <c r="A9" s="15" t="n"/>
      <c r="B9" s="4" t="n"/>
      <c r="C9" s="41" t="n"/>
      <c r="D9" s="57" t="n"/>
      <c r="E9" s="57" t="n"/>
      <c r="F9" s="57" t="n"/>
      <c r="G9" s="57" t="n"/>
      <c r="H9" s="57" t="n"/>
      <c r="I9" s="57" t="n"/>
      <c r="J9" s="57" t="n"/>
      <c r="K9" s="57" t="n"/>
      <c r="L9" s="57" t="n"/>
      <c r="M9" s="57" t="n"/>
      <c r="N9" s="57" t="n"/>
      <c r="O9" s="57" t="n"/>
      <c r="P9" s="57" t="n"/>
      <c r="Q9" s="57" t="n"/>
      <c r="R9" s="57" t="n"/>
      <c r="S9" s="57" t="n"/>
      <c r="T9" s="57" t="n"/>
      <c r="U9" s="57" t="n"/>
      <c r="V9" s="57" t="n"/>
      <c r="W9" s="57" t="n"/>
      <c r="X9" s="57" t="n"/>
      <c r="Y9" s="57" t="n"/>
      <c r="Z9" s="57" t="n"/>
      <c r="AA9" s="57" t="n"/>
      <c r="AB9" s="57" t="n"/>
      <c r="AC9" s="57" t="n"/>
      <c r="AD9" s="57" t="n"/>
      <c r="AE9" s="57" t="n"/>
      <c r="AF9" s="57" t="n"/>
      <c r="AG9" s="57" t="n"/>
      <c r="AH9" s="4" t="n"/>
      <c r="AI9" s="17" t="n"/>
    </row>
    <row r="10" ht="12.95" customHeight="1">
      <c r="A10" s="15" t="n"/>
      <c r="B10" s="4" t="n"/>
      <c r="C10" s="47" t="inlineStr">
        <is>
          <t>№</t>
        </is>
      </c>
      <c r="D10" s="46" t="inlineStr">
        <is>
          <t>Предмети</t>
        </is>
      </c>
      <c r="E10" s="47" t="inlineStr">
        <is>
          <t>Прізвище та ініціали викладача</t>
        </is>
      </c>
      <c r="F10" s="46" t="inlineStr">
        <is>
          <t>Числа місяця</t>
        </is>
      </c>
      <c r="G10" s="58" t="n"/>
      <c r="H10" s="58" t="n"/>
      <c r="I10" s="58" t="n"/>
      <c r="J10" s="58" t="n"/>
      <c r="K10" s="58" t="n"/>
      <c r="L10" s="58" t="n"/>
      <c r="M10" s="58" t="n"/>
      <c r="N10" s="58" t="n"/>
      <c r="O10" s="58" t="n"/>
      <c r="P10" s="58" t="n"/>
      <c r="Q10" s="58" t="n"/>
      <c r="R10" s="58" t="n"/>
      <c r="S10" s="58" t="n"/>
      <c r="T10" s="58" t="n"/>
      <c r="U10" s="58" t="n"/>
      <c r="V10" s="58" t="n"/>
      <c r="W10" s="58" t="n"/>
      <c r="X10" s="58" t="n"/>
      <c r="Y10" s="58" t="n"/>
      <c r="Z10" s="58" t="n"/>
      <c r="AA10" s="58" t="n"/>
      <c r="AB10" s="58" t="n"/>
      <c r="AC10" s="58" t="n"/>
      <c r="AD10" s="58" t="n"/>
      <c r="AE10" s="59" t="n"/>
      <c r="AF10" s="47" t="inlineStr">
        <is>
          <t>Дано годин</t>
        </is>
      </c>
      <c r="AG10" s="46" t="inlineStr">
        <is>
          <t>Примітка</t>
        </is>
      </c>
      <c r="AH10" s="4" t="n"/>
      <c r="AI10" s="17" t="n"/>
    </row>
    <row r="11" ht="12.95" customHeight="1">
      <c r="A11" s="15" t="n"/>
      <c r="B11" s="4" t="n"/>
      <c r="C11" s="60" t="n"/>
      <c r="D11" s="60" t="n"/>
      <c r="E11" s="60" t="n"/>
      <c r="F11" s="46" t="n">
        <v>1</v>
      </c>
      <c r="G11" s="46" t="n">
        <v>2</v>
      </c>
      <c r="H11" s="46" t="n">
        <v>3</v>
      </c>
      <c r="I11" s="46" t="n">
        <v>4</v>
      </c>
      <c r="J11" s="46" t="n">
        <v>5</v>
      </c>
      <c r="K11" s="46" t="n">
        <v>6</v>
      </c>
      <c r="L11" s="46" t="n">
        <v>7</v>
      </c>
      <c r="M11" s="46" t="n">
        <v>8</v>
      </c>
      <c r="N11" s="46" t="n">
        <v>9</v>
      </c>
      <c r="O11" s="46" t="n">
        <v>10</v>
      </c>
      <c r="P11" s="46" t="n">
        <v>11</v>
      </c>
      <c r="Q11" s="46" t="n">
        <v>12</v>
      </c>
      <c r="R11" s="46" t="n">
        <v>13</v>
      </c>
      <c r="S11" s="46" t="n">
        <v>14</v>
      </c>
      <c r="T11" s="46" t="n">
        <v>15</v>
      </c>
      <c r="U11" s="46" t="n">
        <v>16</v>
      </c>
      <c r="V11" s="46" t="n">
        <v>17</v>
      </c>
      <c r="W11" s="46" t="n">
        <v>18</v>
      </c>
      <c r="X11" s="46" t="n">
        <v>19</v>
      </c>
      <c r="Y11" s="46" t="n">
        <v>20</v>
      </c>
      <c r="Z11" s="46" t="n">
        <v>21</v>
      </c>
      <c r="AA11" s="46" t="n">
        <v>22</v>
      </c>
      <c r="AB11" s="46" t="n">
        <v>23</v>
      </c>
      <c r="AC11" s="46" t="n">
        <v>24</v>
      </c>
      <c r="AD11" s="46" t="n">
        <v>25</v>
      </c>
      <c r="AE11" s="46" t="n">
        <v>26</v>
      </c>
      <c r="AF11" s="60" t="n"/>
      <c r="AG11" s="60" t="n"/>
      <c r="AH11" s="4" t="n"/>
      <c r="AI11" s="17" t="n"/>
    </row>
    <row r="12" ht="12.95" customHeight="1">
      <c r="A12" s="15" t="n"/>
      <c r="B12" s="4" t="n"/>
      <c r="C12" s="47" t="n">
        <v>1</v>
      </c>
      <c r="D12" s="37" t="inlineStr">
        <is>
          <t>Астрономія</t>
        </is>
      </c>
      <c r="E12" s="37" t="inlineStr">
        <is>
          <t>Наговська Т.С.</t>
        </is>
      </c>
      <c r="F12" s="38" t="n"/>
      <c r="G12" s="38" t="n">
        <v>2</v>
      </c>
      <c r="H12" s="38" t="n"/>
      <c r="I12" s="38" t="n">
        <v>2</v>
      </c>
      <c r="J12" s="38" t="n"/>
      <c r="K12" s="61" t="n"/>
      <c r="L12" s="61" t="n"/>
      <c r="M12" s="38" t="n"/>
      <c r="N12" s="38" t="n">
        <v>2</v>
      </c>
      <c r="O12" s="38" t="n"/>
      <c r="P12" s="38" t="n">
        <v>2</v>
      </c>
      <c r="Q12" s="38" t="n"/>
      <c r="R12" s="61" t="n"/>
      <c r="S12" s="61" t="n"/>
      <c r="T12" s="38" t="n"/>
      <c r="U12" s="38" t="n">
        <v>2</v>
      </c>
      <c r="V12" s="38" t="n"/>
      <c r="W12" s="38" t="n">
        <v>2</v>
      </c>
      <c r="X12" s="38" t="n"/>
      <c r="Y12" s="61" t="n"/>
      <c r="Z12" s="61" t="n"/>
      <c r="AA12" s="38" t="n"/>
      <c r="AB12" s="38" t="n">
        <v>2</v>
      </c>
      <c r="AC12" s="38" t="n"/>
      <c r="AD12" s="38" t="n">
        <v>2</v>
      </c>
      <c r="AE12" s="38" t="n"/>
      <c r="AF12" s="46">
        <f>IF(SUM(F12:AE12)=0,"Очікую",SUM(F12:AE12))</f>
        <v/>
      </c>
      <c r="AG12" s="46" t="n"/>
      <c r="AH12" s="4" t="n"/>
      <c r="AI12" s="17" t="n"/>
    </row>
    <row r="13" ht="12.95" customHeight="1">
      <c r="A13" s="15" t="n"/>
      <c r="B13" s="4" t="n"/>
      <c r="C13" s="47" t="n">
        <v>2</v>
      </c>
      <c r="D13" s="37" t="inlineStr">
        <is>
          <t>Біологія</t>
        </is>
      </c>
      <c r="E13" s="37" t="inlineStr">
        <is>
          <t>Богданенко О.В.</t>
        </is>
      </c>
      <c r="F13" s="38" t="n"/>
      <c r="G13" s="38" t="n"/>
      <c r="H13" s="38" t="n"/>
      <c r="I13" s="38" t="n"/>
      <c r="J13" s="38" t="n">
        <v>2</v>
      </c>
      <c r="K13" s="61" t="n"/>
      <c r="L13" s="61" t="n"/>
      <c r="M13" s="38" t="n"/>
      <c r="N13" s="38" t="n"/>
      <c r="O13" s="38" t="n"/>
      <c r="P13" s="38" t="n"/>
      <c r="Q13" s="38" t="n">
        <v>2</v>
      </c>
      <c r="R13" s="61" t="n"/>
      <c r="S13" s="61" t="n"/>
      <c r="T13" s="38" t="n"/>
      <c r="U13" s="38" t="n"/>
      <c r="V13" s="38" t="n"/>
      <c r="W13" s="38" t="n"/>
      <c r="X13" s="38" t="n">
        <v>2</v>
      </c>
      <c r="Y13" s="61" t="n"/>
      <c r="Z13" s="61" t="n"/>
      <c r="AA13" s="38" t="n"/>
      <c r="AB13" s="38" t="n"/>
      <c r="AC13" s="38" t="n"/>
      <c r="AD13" s="38" t="n"/>
      <c r="AE13" s="38" t="n">
        <v>2</v>
      </c>
      <c r="AF13" s="46">
        <f>IF(SUM(F13:AE13)=0,"Очікую",SUM(F13:AE13))</f>
        <v/>
      </c>
      <c r="AG13" s="46" t="n"/>
      <c r="AH13" s="4" t="n"/>
      <c r="AI13" s="17" t="n"/>
    </row>
    <row r="14" ht="12.95" customHeight="1">
      <c r="A14" s="15" t="n"/>
      <c r="B14" s="4" t="n"/>
      <c r="C14" s="47" t="n">
        <v>3</v>
      </c>
      <c r="D14" s="37" t="inlineStr">
        <is>
          <t>Всесвітня історія</t>
        </is>
      </c>
      <c r="E14" s="37" t="inlineStr">
        <is>
          <t>Мельничук С.А.</t>
        </is>
      </c>
      <c r="F14" s="38" t="n">
        <v>2</v>
      </c>
      <c r="G14" s="38" t="n"/>
      <c r="H14" s="38" t="n"/>
      <c r="I14" s="38" t="n"/>
      <c r="J14" s="38" t="n"/>
      <c r="K14" s="61" t="n"/>
      <c r="L14" s="61" t="n"/>
      <c r="M14" s="38" t="n">
        <v>2</v>
      </c>
      <c r="N14" s="38" t="n"/>
      <c r="O14" s="38" t="n"/>
      <c r="P14" s="38" t="n"/>
      <c r="Q14" s="38" t="n"/>
      <c r="R14" s="61" t="n"/>
      <c r="S14" s="61" t="n"/>
      <c r="T14" s="38" t="n">
        <v>2</v>
      </c>
      <c r="U14" s="38" t="n"/>
      <c r="V14" s="38" t="n"/>
      <c r="W14" s="38" t="n"/>
      <c r="X14" s="38" t="n"/>
      <c r="Y14" s="61" t="n"/>
      <c r="Z14" s="61" t="n"/>
      <c r="AA14" s="38" t="n">
        <v>2</v>
      </c>
      <c r="AB14" s="38" t="n"/>
      <c r="AC14" s="38" t="n"/>
      <c r="AD14" s="38" t="n"/>
      <c r="AE14" s="38" t="n"/>
      <c r="AF14" s="46">
        <f>IF(SUM(F14:AE14)=0,"Очікую",SUM(F14:AE14))</f>
        <v/>
      </c>
      <c r="AG14" s="46" t="n"/>
      <c r="AH14" s="4" t="n"/>
      <c r="AI14" s="17" t="n"/>
    </row>
    <row r="15" ht="12.95" customHeight="1">
      <c r="A15" s="15" t="n"/>
      <c r="B15" s="4" t="n"/>
      <c r="C15" s="47" t="n">
        <v>4</v>
      </c>
      <c r="D15" s="39" t="inlineStr">
        <is>
          <t>Географія</t>
        </is>
      </c>
      <c r="E15" s="39" t="inlineStr">
        <is>
          <t>Наговська Т.С.</t>
        </is>
      </c>
      <c r="F15" s="38" t="n"/>
      <c r="G15" s="38" t="n"/>
      <c r="H15" s="38" t="n">
        <v>2</v>
      </c>
      <c r="I15" s="38" t="n">
        <v>2</v>
      </c>
      <c r="J15" s="38" t="n"/>
      <c r="K15" s="61" t="n"/>
      <c r="L15" s="61" t="n"/>
      <c r="M15" s="38" t="n"/>
      <c r="N15" s="38" t="n"/>
      <c r="O15" s="38" t="n">
        <v>2</v>
      </c>
      <c r="P15" s="38" t="n"/>
      <c r="Q15" s="38" t="n"/>
      <c r="R15" s="61" t="n"/>
      <c r="S15" s="61" t="n"/>
      <c r="T15" s="38" t="n"/>
      <c r="U15" s="38" t="n"/>
      <c r="V15" s="38" t="n">
        <v>2</v>
      </c>
      <c r="W15" s="38" t="n"/>
      <c r="X15" s="38" t="n"/>
      <c r="Y15" s="61" t="n"/>
      <c r="Z15" s="61" t="n"/>
      <c r="AA15" s="38" t="n"/>
      <c r="AB15" s="38" t="n"/>
      <c r="AC15" s="38" t="n">
        <v>2</v>
      </c>
      <c r="AD15" s="38" t="n"/>
      <c r="AE15" s="38" t="n"/>
      <c r="AF15" s="46">
        <f>IF(SUM(F15:AE15)=0,"Очікую",SUM(F15:AE15))</f>
        <v/>
      </c>
      <c r="AG15" s="46" t="n"/>
      <c r="AH15" s="4" t="n"/>
      <c r="AI15" s="17" t="n"/>
    </row>
    <row r="16" ht="12.95" customHeight="1">
      <c r="A16" s="15" t="n"/>
      <c r="B16" s="4" t="n"/>
      <c r="C16" s="47" t="n">
        <v>5</v>
      </c>
      <c r="D16" s="37" t="inlineStr">
        <is>
          <t>Зарубіжна література</t>
        </is>
      </c>
      <c r="E16" s="37" t="inlineStr">
        <is>
          <t>Бабенко Л. Е.</t>
        </is>
      </c>
      <c r="F16" s="38" t="n"/>
      <c r="G16" s="38" t="n"/>
      <c r="H16" s="38" t="n"/>
      <c r="I16" s="38" t="n"/>
      <c r="J16" s="38" t="n"/>
      <c r="K16" s="61" t="n"/>
      <c r="L16" s="61" t="n"/>
      <c r="M16" s="38" t="n"/>
      <c r="N16" s="38" t="n"/>
      <c r="O16" s="38" t="n"/>
      <c r="P16" s="38" t="n">
        <v>2</v>
      </c>
      <c r="Q16" s="38" t="n"/>
      <c r="R16" s="61" t="n"/>
      <c r="S16" s="61" t="n"/>
      <c r="T16" s="38" t="n"/>
      <c r="U16" s="38" t="n"/>
      <c r="V16" s="38" t="n"/>
      <c r="W16" s="38" t="n">
        <v>2</v>
      </c>
      <c r="X16" s="38" t="n"/>
      <c r="Y16" s="61" t="n"/>
      <c r="Z16" s="61" t="n"/>
      <c r="AA16" s="38" t="n"/>
      <c r="AB16" s="38" t="n"/>
      <c r="AC16" s="38" t="n"/>
      <c r="AD16" s="38" t="n">
        <v>2</v>
      </c>
      <c r="AE16" s="38" t="n"/>
      <c r="AF16" s="46">
        <f>IF(SUM(F16:AE16)=0,"Очікую",SUM(F16:AE16))</f>
        <v/>
      </c>
      <c r="AG16" s="46" t="n"/>
      <c r="AH16" s="4" t="n"/>
      <c r="AI16" s="17" t="n"/>
    </row>
    <row r="17" ht="12.95" customHeight="1">
      <c r="A17" s="15" t="n"/>
      <c r="B17" s="4" t="n"/>
      <c r="C17" s="47" t="n">
        <v>6</v>
      </c>
      <c r="D17" s="39" t="inlineStr">
        <is>
          <t>Захист України</t>
        </is>
      </c>
      <c r="E17" s="39" t="inlineStr">
        <is>
          <t>Лазар В.І.</t>
        </is>
      </c>
      <c r="F17" s="38" t="n"/>
      <c r="G17" s="38" t="n"/>
      <c r="H17" s="38" t="n">
        <v>2</v>
      </c>
      <c r="I17" s="38" t="n"/>
      <c r="J17" s="38" t="n"/>
      <c r="K17" s="61" t="n"/>
      <c r="L17" s="61" t="n"/>
      <c r="M17" s="38" t="n"/>
      <c r="N17" s="38" t="n"/>
      <c r="O17" s="38" t="n">
        <v>2</v>
      </c>
      <c r="P17" s="38" t="n"/>
      <c r="Q17" s="38" t="n"/>
      <c r="R17" s="61" t="n"/>
      <c r="S17" s="61" t="n"/>
      <c r="T17" s="38" t="n"/>
      <c r="U17" s="38" t="n"/>
      <c r="V17" s="38" t="n">
        <v>2</v>
      </c>
      <c r="W17" s="38" t="n"/>
      <c r="X17" s="38" t="n"/>
      <c r="Y17" s="61" t="n"/>
      <c r="Z17" s="61" t="n"/>
      <c r="AA17" s="38" t="n"/>
      <c r="AB17" s="38" t="n"/>
      <c r="AC17" s="38" t="n">
        <v>2</v>
      </c>
      <c r="AD17" s="38" t="n"/>
      <c r="AE17" s="38" t="n"/>
      <c r="AF17" s="46">
        <f>IF(SUM(F17:AE17)=0,"Очікую",SUM(F17:AE17))</f>
        <v/>
      </c>
      <c r="AG17" s="46" t="n"/>
      <c r="AH17" s="4" t="n"/>
      <c r="AI17" s="17" t="n"/>
    </row>
    <row r="18" ht="12.95" customHeight="1">
      <c r="A18" s="15" t="n"/>
      <c r="B18" s="4" t="n"/>
      <c r="C18" s="47" t="n">
        <v>7</v>
      </c>
      <c r="D18" s="37" t="inlineStr">
        <is>
          <t>Іноземна мова</t>
        </is>
      </c>
      <c r="E18" s="37" t="inlineStr">
        <is>
          <t>Нічик Н.О.</t>
        </is>
      </c>
      <c r="F18" s="38" t="n"/>
      <c r="G18" s="38" t="n"/>
      <c r="H18" s="38" t="n"/>
      <c r="I18" s="38" t="n"/>
      <c r="J18" s="38" t="n">
        <v>2</v>
      </c>
      <c r="K18" s="61" t="n"/>
      <c r="L18" s="61" t="n"/>
      <c r="M18" s="38" t="n"/>
      <c r="N18" s="38" t="n"/>
      <c r="O18" s="38" t="n"/>
      <c r="P18" s="38" t="n"/>
      <c r="Q18" s="38" t="n">
        <v>2</v>
      </c>
      <c r="R18" s="61" t="n"/>
      <c r="S18" s="61" t="n"/>
      <c r="T18" s="38" t="n"/>
      <c r="U18" s="38" t="n"/>
      <c r="V18" s="38" t="n"/>
      <c r="W18" s="38" t="n"/>
      <c r="X18" s="38" t="n">
        <v>2</v>
      </c>
      <c r="Y18" s="61" t="n"/>
      <c r="Z18" s="61" t="n"/>
      <c r="AA18" s="38" t="n"/>
      <c r="AB18" s="38" t="n"/>
      <c r="AC18" s="38" t="n"/>
      <c r="AD18" s="38" t="n"/>
      <c r="AE18" s="38" t="n">
        <v>2</v>
      </c>
      <c r="AF18" s="46">
        <f>IF(SUM(F18:AE18)=0,"Очікую",SUM(F18:AE18))</f>
        <v/>
      </c>
      <c r="AG18" s="46" t="n"/>
      <c r="AH18" s="4" t="n"/>
      <c r="AI18" s="17" t="n"/>
    </row>
    <row r="19" ht="12.95" customHeight="1">
      <c r="A19" s="15" t="n"/>
      <c r="B19" s="4" t="n"/>
      <c r="C19" s="47" t="n">
        <v>8</v>
      </c>
      <c r="D19" s="37" t="inlineStr">
        <is>
          <t>Інформатика</t>
        </is>
      </c>
      <c r="E19" s="37" t="inlineStr">
        <is>
          <t>Андрльє І.О.</t>
        </is>
      </c>
      <c r="F19" s="38" t="n">
        <v>2</v>
      </c>
      <c r="G19" s="38" t="n"/>
      <c r="H19" s="38" t="n"/>
      <c r="I19" s="38" t="n"/>
      <c r="J19" s="38" t="n"/>
      <c r="K19" s="61" t="n"/>
      <c r="L19" s="61" t="n"/>
      <c r="M19" s="38" t="n">
        <v>2</v>
      </c>
      <c r="N19" s="38" t="n"/>
      <c r="O19" s="38" t="n"/>
      <c r="P19" s="38" t="n"/>
      <c r="Q19" s="38" t="n"/>
      <c r="R19" s="61" t="n"/>
      <c r="S19" s="61" t="n"/>
      <c r="T19" s="38" t="n">
        <v>2</v>
      </c>
      <c r="U19" s="38" t="n"/>
      <c r="V19" s="38" t="n"/>
      <c r="W19" s="38" t="n"/>
      <c r="X19" s="38" t="n"/>
      <c r="Y19" s="61" t="n"/>
      <c r="Z19" s="61" t="n"/>
      <c r="AA19" s="38" t="n">
        <v>2</v>
      </c>
      <c r="AB19" s="38" t="n"/>
      <c r="AC19" s="38" t="n"/>
      <c r="AD19" s="38" t="n"/>
      <c r="AE19" s="38" t="n"/>
      <c r="AF19" s="46">
        <f>IF(SUM(F19:AE19)=0,"Очікую",SUM(F19:AE19))</f>
        <v/>
      </c>
      <c r="AG19" s="46" t="n"/>
      <c r="AH19" s="4" t="n"/>
      <c r="AI19" s="17" t="n"/>
    </row>
    <row r="20" ht="12.95" customHeight="1">
      <c r="A20" s="15" t="n"/>
      <c r="B20" s="4" t="n"/>
      <c r="C20" s="47" t="n">
        <v>9</v>
      </c>
      <c r="D20" s="37" t="inlineStr">
        <is>
          <t>Історія України</t>
        </is>
      </c>
      <c r="E20" s="37" t="inlineStr">
        <is>
          <t>Левчук Т.Г.</t>
        </is>
      </c>
      <c r="F20" s="38" t="n"/>
      <c r="G20" s="38" t="n">
        <v>2</v>
      </c>
      <c r="H20" s="38" t="n"/>
      <c r="I20" s="38" t="n"/>
      <c r="J20" s="38" t="n"/>
      <c r="K20" s="61" t="n"/>
      <c r="L20" s="61" t="n"/>
      <c r="M20" s="38" t="n"/>
      <c r="N20" s="38" t="n">
        <v>2</v>
      </c>
      <c r="O20" s="38" t="n"/>
      <c r="P20" s="38" t="n"/>
      <c r="Q20" s="38" t="n"/>
      <c r="R20" s="61" t="n"/>
      <c r="S20" s="61" t="n"/>
      <c r="T20" s="38" t="n"/>
      <c r="U20" s="38" t="n">
        <v>2</v>
      </c>
      <c r="V20" s="38" t="n"/>
      <c r="W20" s="38" t="n"/>
      <c r="X20" s="38" t="n"/>
      <c r="Y20" s="61" t="n"/>
      <c r="Z20" s="61" t="n"/>
      <c r="AA20" s="38" t="n"/>
      <c r="AB20" s="38" t="n">
        <v>2</v>
      </c>
      <c r="AC20" s="38" t="n"/>
      <c r="AD20" s="38" t="n"/>
      <c r="AE20" s="38" t="n"/>
      <c r="AF20" s="46">
        <f>IF(SUM(F20:AE20)=0,"Очікую",SUM(F20:AE20))</f>
        <v/>
      </c>
      <c r="AG20" s="46" t="n"/>
      <c r="AH20" s="4" t="n"/>
      <c r="AI20" s="17" t="n"/>
    </row>
    <row r="21" ht="12.95" customHeight="1">
      <c r="A21" s="15" t="n"/>
      <c r="B21" s="4" t="n"/>
      <c r="C21" s="47" t="n">
        <v>10</v>
      </c>
      <c r="D21" s="37" t="inlineStr">
        <is>
          <t>Математика</t>
        </is>
      </c>
      <c r="E21" s="37" t="inlineStr">
        <is>
          <t>Бондаренко О.С.</t>
        </is>
      </c>
      <c r="F21" s="38" t="n">
        <v>2</v>
      </c>
      <c r="G21" s="38" t="n"/>
      <c r="H21" s="38" t="n">
        <v>2</v>
      </c>
      <c r="I21" s="38" t="n"/>
      <c r="J21" s="38" t="n"/>
      <c r="K21" s="61" t="n"/>
      <c r="L21" s="61" t="n"/>
      <c r="M21" s="38" t="n">
        <v>2</v>
      </c>
      <c r="N21" s="38" t="n"/>
      <c r="O21" s="38" t="n">
        <v>2</v>
      </c>
      <c r="P21" s="38" t="n"/>
      <c r="Q21" s="38" t="n"/>
      <c r="R21" s="61" t="n"/>
      <c r="S21" s="61" t="n"/>
      <c r="T21" s="38" t="n">
        <v>2</v>
      </c>
      <c r="U21" s="38" t="n"/>
      <c r="V21" s="38" t="n">
        <v>2</v>
      </c>
      <c r="W21" s="38" t="n"/>
      <c r="X21" s="38" t="n"/>
      <c r="Y21" s="61" t="n"/>
      <c r="Z21" s="61" t="n"/>
      <c r="AA21" s="38" t="n">
        <v>2</v>
      </c>
      <c r="AB21" s="38" t="n"/>
      <c r="AC21" s="38" t="n">
        <v>2</v>
      </c>
      <c r="AD21" s="38" t="n"/>
      <c r="AE21" s="38" t="n"/>
      <c r="AF21" s="46">
        <f>IF(SUM(F21:AE21)=0,"Очікую",SUM(F21:AE21))</f>
        <v/>
      </c>
      <c r="AG21" s="46" t="n"/>
      <c r="AH21" s="4" t="n"/>
      <c r="AI21" s="17" t="n"/>
    </row>
    <row r="22" ht="12.95" customHeight="1">
      <c r="A22" s="15" t="n"/>
      <c r="B22" s="4" t="n"/>
      <c r="C22" s="47" t="n">
        <v>11</v>
      </c>
      <c r="D22" s="37" t="inlineStr">
        <is>
          <t>Українська література</t>
        </is>
      </c>
      <c r="E22" s="37" t="inlineStr">
        <is>
          <t>Антропова Л.І.</t>
        </is>
      </c>
      <c r="F22" s="38" t="n"/>
      <c r="G22" s="38" t="n"/>
      <c r="H22" s="38" t="n">
        <v>2</v>
      </c>
      <c r="I22" s="38" t="n"/>
      <c r="J22" s="38" t="n"/>
      <c r="K22" s="61" t="n"/>
      <c r="L22" s="61" t="n"/>
      <c r="M22" s="38" t="n"/>
      <c r="N22" s="38" t="n"/>
      <c r="O22" s="38" t="n">
        <v>2</v>
      </c>
      <c r="P22" s="38" t="n"/>
      <c r="Q22" s="38" t="n"/>
      <c r="R22" s="61" t="n"/>
      <c r="S22" s="61" t="n"/>
      <c r="T22" s="38" t="n"/>
      <c r="U22" s="38" t="n"/>
      <c r="V22" s="38" t="n">
        <v>2</v>
      </c>
      <c r="W22" s="38" t="n"/>
      <c r="X22" s="38" t="n"/>
      <c r="Y22" s="61" t="n"/>
      <c r="Z22" s="61" t="n"/>
      <c r="AA22" s="38" t="n"/>
      <c r="AB22" s="38" t="n"/>
      <c r="AC22" s="38" t="n">
        <v>2</v>
      </c>
      <c r="AD22" s="38" t="n"/>
      <c r="AE22" s="38" t="n"/>
      <c r="AF22" s="46">
        <f>IF(SUM(F22:AE22)=0,"Очікую",SUM(F22:AE22))</f>
        <v/>
      </c>
      <c r="AG22" s="46" t="n"/>
      <c r="AH22" s="4" t="n"/>
      <c r="AI22" s="17" t="n"/>
    </row>
    <row r="23" ht="12.95" customHeight="1">
      <c r="A23" s="15" t="n"/>
      <c r="B23" s="4" t="n"/>
      <c r="C23" s="47" t="n">
        <v>12</v>
      </c>
      <c r="D23" s="37" t="inlineStr">
        <is>
          <t>Українська мова</t>
        </is>
      </c>
      <c r="E23" s="37" t="inlineStr">
        <is>
          <t>Антропова Л.І.</t>
        </is>
      </c>
      <c r="F23" s="38" t="n"/>
      <c r="G23" s="38" t="n"/>
      <c r="H23" s="38" t="n"/>
      <c r="I23" s="38" t="n">
        <v>2</v>
      </c>
      <c r="J23" s="38" t="n"/>
      <c r="K23" s="61" t="n"/>
      <c r="L23" s="61" t="n"/>
      <c r="M23" s="38" t="n"/>
      <c r="N23" s="38" t="n"/>
      <c r="O23" s="38" t="n"/>
      <c r="P23" s="38" t="n">
        <v>2</v>
      </c>
      <c r="Q23" s="38" t="n"/>
      <c r="R23" s="61" t="n"/>
      <c r="S23" s="61" t="n"/>
      <c r="T23" s="38" t="n"/>
      <c r="U23" s="38" t="n"/>
      <c r="V23" s="38" t="n"/>
      <c r="W23" s="38" t="n">
        <v>2</v>
      </c>
      <c r="X23" s="38" t="n"/>
      <c r="Y23" s="61" t="n"/>
      <c r="Z23" s="61" t="n"/>
      <c r="AA23" s="38" t="n"/>
      <c r="AB23" s="38" t="n"/>
      <c r="AC23" s="38" t="n"/>
      <c r="AD23" s="38" t="n">
        <v>2</v>
      </c>
      <c r="AE23" s="38" t="n"/>
      <c r="AF23" s="46">
        <f>IF(SUM(F23:AE23)=0,"Очікую",SUM(F23:AE23))</f>
        <v/>
      </c>
      <c r="AG23" s="46" t="n"/>
      <c r="AH23" s="4" t="n"/>
      <c r="AI23" s="17" t="n"/>
    </row>
    <row r="24" ht="12.95" customHeight="1">
      <c r="A24" s="15" t="n"/>
      <c r="B24" s="4" t="n"/>
      <c r="C24" s="47" t="n">
        <v>13</v>
      </c>
      <c r="D24" s="37" t="inlineStr">
        <is>
          <t>Фізика</t>
        </is>
      </c>
      <c r="E24" s="37" t="inlineStr">
        <is>
          <t>Калюта Н.М.</t>
        </is>
      </c>
      <c r="F24" s="38" t="n"/>
      <c r="G24" s="38" t="n">
        <v>2</v>
      </c>
      <c r="H24" s="38" t="n"/>
      <c r="I24" s="38" t="n">
        <v>2</v>
      </c>
      <c r="J24" s="38" t="n"/>
      <c r="K24" s="61" t="n"/>
      <c r="L24" s="61" t="n"/>
      <c r="M24" s="38" t="n"/>
      <c r="N24" s="38" t="n">
        <v>2</v>
      </c>
      <c r="O24" s="38" t="n"/>
      <c r="P24" s="38" t="n">
        <v>2</v>
      </c>
      <c r="Q24" s="38" t="n"/>
      <c r="R24" s="61" t="n"/>
      <c r="S24" s="61" t="n"/>
      <c r="T24" s="38" t="n"/>
      <c r="U24" s="38" t="n">
        <v>2</v>
      </c>
      <c r="V24" s="38" t="n"/>
      <c r="W24" s="38" t="n">
        <v>2</v>
      </c>
      <c r="X24" s="38" t="n"/>
      <c r="Y24" s="61" t="n"/>
      <c r="Z24" s="61" t="n"/>
      <c r="AA24" s="38" t="n"/>
      <c r="AB24" s="38" t="n">
        <v>2</v>
      </c>
      <c r="AC24" s="38" t="n"/>
      <c r="AD24" s="38" t="n">
        <v>2</v>
      </c>
      <c r="AE24" s="38" t="n"/>
      <c r="AF24" s="46">
        <f>IF(SUM(F24:AE24)=0,"Очікую",SUM(F24:AE24))</f>
        <v/>
      </c>
      <c r="AG24" s="46" t="n"/>
      <c r="AH24" s="4" t="n"/>
      <c r="AI24" s="17" t="n"/>
    </row>
    <row r="25" ht="12.95" customHeight="1">
      <c r="A25" s="15" t="n"/>
      <c r="B25" s="4" t="n"/>
      <c r="C25" s="47" t="n">
        <v>14</v>
      </c>
      <c r="D25" s="37" t="inlineStr">
        <is>
          <t>Фізична культура</t>
        </is>
      </c>
      <c r="E25" s="37" t="inlineStr">
        <is>
          <t>Возіян О.Г.</t>
        </is>
      </c>
      <c r="F25" s="38" t="n">
        <v>2</v>
      </c>
      <c r="G25" s="38" t="n"/>
      <c r="H25" s="38" t="n"/>
      <c r="I25" s="38" t="n">
        <v>2</v>
      </c>
      <c r="J25" s="38" t="n"/>
      <c r="K25" s="61" t="n"/>
      <c r="L25" s="61" t="n"/>
      <c r="M25" s="38" t="n">
        <v>2</v>
      </c>
      <c r="N25" s="38" t="n"/>
      <c r="O25" s="38" t="n"/>
      <c r="P25" s="38" t="n"/>
      <c r="Q25" s="38" t="n"/>
      <c r="R25" s="61" t="n"/>
      <c r="S25" s="61" t="n"/>
      <c r="T25" s="38" t="n">
        <v>2</v>
      </c>
      <c r="U25" s="38" t="n"/>
      <c r="V25" s="38" t="n"/>
      <c r="W25" s="38" t="n">
        <v>2</v>
      </c>
      <c r="X25" s="38" t="n"/>
      <c r="Y25" s="61" t="n"/>
      <c r="Z25" s="61" t="n"/>
      <c r="AA25" s="38" t="n">
        <v>2</v>
      </c>
      <c r="AB25" s="38" t="n"/>
      <c r="AC25" s="38" t="n"/>
      <c r="AD25" s="38" t="n"/>
      <c r="AE25" s="38" t="n"/>
      <c r="AF25" s="46">
        <f>IF(SUM(F25:AE25)=0,"Очікую",SUM(F25:AE25))</f>
        <v/>
      </c>
      <c r="AG25" s="46" t="n"/>
      <c r="AH25" s="4" t="n"/>
      <c r="AI25" s="17" t="n"/>
    </row>
    <row r="26" ht="12.95" customHeight="1">
      <c r="A26" s="15" t="n"/>
      <c r="B26" s="4" t="n"/>
      <c r="C26" s="47" t="n">
        <v>15</v>
      </c>
      <c r="D26" s="37" t="inlineStr">
        <is>
          <t>Хімія</t>
        </is>
      </c>
      <c r="E26" s="37" t="inlineStr">
        <is>
          <t>Сахно Н.О.</t>
        </is>
      </c>
      <c r="F26" s="38" t="n"/>
      <c r="G26" s="38" t="n">
        <v>2</v>
      </c>
      <c r="H26" s="38" t="n"/>
      <c r="I26" s="38" t="n"/>
      <c r="J26" s="38" t="n"/>
      <c r="K26" s="61" t="n"/>
      <c r="L26" s="61" t="n"/>
      <c r="M26" s="38" t="n"/>
      <c r="N26" s="38" t="n">
        <v>2</v>
      </c>
      <c r="O26" s="38" t="n"/>
      <c r="P26" s="38" t="n"/>
      <c r="Q26" s="38" t="n"/>
      <c r="R26" s="61" t="n"/>
      <c r="S26" s="61" t="n"/>
      <c r="T26" s="38" t="n"/>
      <c r="U26" s="38" t="n">
        <v>2</v>
      </c>
      <c r="V26" s="38" t="n"/>
      <c r="W26" s="38" t="n"/>
      <c r="X26" s="38" t="n"/>
      <c r="Y26" s="61" t="n"/>
      <c r="Z26" s="61" t="n"/>
      <c r="AA26" s="38" t="n"/>
      <c r="AB26" s="38" t="n">
        <v>2</v>
      </c>
      <c r="AC26" s="38" t="n"/>
      <c r="AD26" s="38" t="n"/>
      <c r="AE26" s="38" t="n"/>
      <c r="AF26" s="46">
        <f>IF(SUM(F26:AE26)=0,"Очікую",SUM(F26:AE26))</f>
        <v/>
      </c>
      <c r="AG26" s="46" t="n"/>
      <c r="AH26" s="4" t="n"/>
      <c r="AI26" s="17" t="n"/>
    </row>
    <row r="27" ht="12.95" customHeight="1">
      <c r="A27" s="15" t="n"/>
      <c r="B27" s="4" t="n"/>
      <c r="C27" s="45" t="n"/>
      <c r="D27" s="45" t="n"/>
      <c r="E27" s="45" t="n"/>
      <c r="F27" s="46">
        <f>IF($AF27="Очікую","Оч",SUM(F12:F26))</f>
        <v/>
      </c>
      <c r="G27" s="46">
        <f>IF($AF27="Очікую","Оч",SUM(G12:G26))</f>
        <v/>
      </c>
      <c r="H27" s="46">
        <f>IF($AF27="Очікую","Оч",SUM(H12:H26))</f>
        <v/>
      </c>
      <c r="I27" s="46">
        <f>IF($AF27="Очікую","Оч",SUM(I12:I26))</f>
        <v/>
      </c>
      <c r="J27" s="46">
        <f>IF($AF27="Очікую","Оч",SUM(J12:J26))</f>
        <v/>
      </c>
      <c r="K27" s="46">
        <f>IF($AF27="Очікую","Оч",SUM(K12:K26))</f>
        <v/>
      </c>
      <c r="L27" s="46">
        <f>IF($AF27="Очікую","Оч",SUM(L12:L26))</f>
        <v/>
      </c>
      <c r="M27" s="46">
        <f>IF($AF27="Очікую","Оч",SUM(M12:M26))</f>
        <v/>
      </c>
      <c r="N27" s="46">
        <f>IF($AF27="Очікую","Оч",SUM(N12:N26))</f>
        <v/>
      </c>
      <c r="O27" s="46">
        <f>IF($AF27="Очікую","Оч",SUM(O12:O26))</f>
        <v/>
      </c>
      <c r="P27" s="46">
        <f>IF($AF27="Очікую","Оч",SUM(P12:P26))</f>
        <v/>
      </c>
      <c r="Q27" s="46">
        <f>IF($AF27="Очікую","Оч",SUM(Q12:Q26))</f>
        <v/>
      </c>
      <c r="R27" s="46">
        <f>IF($AF27="Очікую","Оч",SUM(R12:R26))</f>
        <v/>
      </c>
      <c r="S27" s="46">
        <f>IF($AF27="Очікую","Оч",SUM(S12:S26))</f>
        <v/>
      </c>
      <c r="T27" s="46">
        <f>IF($AF27="Очікую","Оч",SUM(T12:T26))</f>
        <v/>
      </c>
      <c r="U27" s="46">
        <f>IF($AF27="Очікую","Оч",SUM(U12:U26))</f>
        <v/>
      </c>
      <c r="V27" s="46">
        <f>IF($AF27="Очікую","Оч",SUM(V12:V26))</f>
        <v/>
      </c>
      <c r="W27" s="46">
        <f>IF($AF27="Очікую","Оч",SUM(W12:W26))</f>
        <v/>
      </c>
      <c r="X27" s="46">
        <f>IF($AF27="Очікую","Оч",SUM(X12:X26))</f>
        <v/>
      </c>
      <c r="Y27" s="46">
        <f>IF($AF27="Очікую","Оч",SUM(Y12:Y26))</f>
        <v/>
      </c>
      <c r="Z27" s="46">
        <f>IF($AF27="Очікую","Оч",SUM(Z12:Z26))</f>
        <v/>
      </c>
      <c r="AA27" s="46">
        <f>IF($AF27="Очікую","Оч",SUM(AA12:AA26))</f>
        <v/>
      </c>
      <c r="AB27" s="46">
        <f>IF($AF27="Очікую","Оч",SUM(AB12:AB26))</f>
        <v/>
      </c>
      <c r="AC27" s="46">
        <f>IF($AF27="Очікую","Оч",SUM(AC12:AC26))</f>
        <v/>
      </c>
      <c r="AD27" s="46">
        <f>IF($AF27="Очікую","Оч",SUM(AD12:AD26))</f>
        <v/>
      </c>
      <c r="AE27" s="46">
        <f>IF($AF27="Очікую","Оч",SUM(AE12:AE26))</f>
        <v/>
      </c>
      <c r="AF27" s="46">
        <f>IF(SUM(AF12:AF26)=0,"Очікую",SUM(AF12:AF26))</f>
        <v/>
      </c>
      <c r="AG27" s="45" t="n"/>
      <c r="AH27" s="4" t="n"/>
      <c r="AI27" s="17" t="n"/>
    </row>
    <row r="28" ht="12.95" customHeight="1">
      <c r="A28" s="15" t="n"/>
      <c r="B28" s="4" t="n"/>
      <c r="C28" s="45" t="n"/>
      <c r="D28" s="45" t="n"/>
      <c r="E28" s="45" t="n"/>
      <c r="F28" s="45" t="n"/>
      <c r="G28" s="45" t="n"/>
      <c r="H28" s="45" t="n"/>
      <c r="I28" s="45" t="n"/>
      <c r="J28" s="45" t="n"/>
      <c r="K28" s="45" t="n"/>
      <c r="L28" s="45" t="n"/>
      <c r="M28" s="45" t="n"/>
      <c r="N28" s="45" t="n"/>
      <c r="O28" s="45" t="n"/>
      <c r="P28" s="45" t="n"/>
      <c r="Q28" s="45" t="n"/>
      <c r="R28" s="45" t="n"/>
      <c r="S28" s="45" t="n"/>
      <c r="T28" s="45" t="n"/>
      <c r="U28" s="45" t="n"/>
      <c r="V28" s="45" t="n"/>
      <c r="W28" s="45" t="n"/>
      <c r="X28" s="45" t="n"/>
      <c r="Y28" s="45" t="n"/>
      <c r="Z28" s="45" t="n"/>
      <c r="AA28" s="45" t="n"/>
      <c r="AB28" s="45" t="n"/>
      <c r="AC28" s="45" t="n"/>
      <c r="AD28" s="45" t="n"/>
      <c r="AE28" s="45" t="n"/>
      <c r="AF28" s="45" t="n"/>
      <c r="AG28" s="45" t="n"/>
      <c r="AH28" s="4" t="n"/>
      <c r="AI28" s="17" t="n"/>
    </row>
    <row r="29" ht="12.95" customHeight="1">
      <c r="A29" s="15" t="n"/>
      <c r="B29" s="4" t="n"/>
      <c r="C29" s="45" t="n"/>
      <c r="D29" s="45" t="n"/>
      <c r="E29" s="45" t="n"/>
      <c r="F29" s="10" t="n"/>
      <c r="G29" s="10" t="n"/>
      <c r="H29" s="10" t="n"/>
      <c r="I29" s="10" t="n"/>
      <c r="J29" s="10" t="n"/>
      <c r="K29" s="10" t="n"/>
      <c r="L29" s="10" t="n"/>
      <c r="M29" s="10" t="n"/>
      <c r="N29" s="10" t="n"/>
      <c r="O29" s="10" t="n"/>
      <c r="P29" s="10" t="n"/>
      <c r="Q29" s="10" t="n"/>
      <c r="R29" s="10" t="n"/>
      <c r="S29" s="10" t="n"/>
      <c r="T29" s="10" t="n"/>
      <c r="U29" s="10" t="n"/>
      <c r="V29" s="10" t="n"/>
      <c r="W29" s="10" t="n"/>
      <c r="X29" s="10" t="n"/>
      <c r="Y29" s="10" t="n"/>
      <c r="Z29" s="10" t="n"/>
      <c r="AA29" s="10" t="n"/>
      <c r="AB29" s="10" t="n"/>
      <c r="AC29" s="10" t="n"/>
      <c r="AD29" s="10" t="n"/>
      <c r="AE29" s="10" t="n"/>
      <c r="AF29" s="45" t="n"/>
      <c r="AG29" s="45" t="n"/>
      <c r="AH29" s="4" t="n"/>
      <c r="AI29" s="17" t="n"/>
    </row>
    <row r="30" ht="12.95" customHeight="1">
      <c r="A30" s="15" t="n"/>
      <c r="B30" s="4" t="n"/>
      <c r="C30" s="45" t="inlineStr">
        <is>
          <t>Завідувач відділення  ПЗСО   ______________  Маргарита БРІТІКОВА</t>
        </is>
      </c>
      <c r="AH30" s="4" t="n"/>
      <c r="AI30" s="17" t="n"/>
    </row>
    <row r="31" ht="12.95" customHeight="1">
      <c r="A31" s="15" t="n"/>
      <c r="B31" s="4" t="n"/>
      <c r="C31" s="4" t="n"/>
      <c r="D31" s="4" t="n"/>
      <c r="E31" s="4" t="n"/>
      <c r="F31" s="4" t="n"/>
      <c r="G31" s="4" t="n"/>
      <c r="H31" s="4" t="n"/>
      <c r="I31" s="4" t="n"/>
      <c r="J31" s="4" t="n"/>
      <c r="K31" s="4" t="n"/>
      <c r="L31" s="4" t="n"/>
      <c r="M31" s="4" t="n"/>
      <c r="N31" s="4" t="n"/>
      <c r="O31" s="4" t="n"/>
      <c r="P31" s="4" t="n"/>
      <c r="Q31" s="4" t="n"/>
      <c r="R31" s="4" t="n"/>
      <c r="S31" s="4" t="n"/>
      <c r="T31" s="4" t="n"/>
      <c r="U31" s="4" t="n"/>
      <c r="V31" s="4" t="n"/>
      <c r="W31" s="4" t="n"/>
      <c r="X31" s="4" t="n"/>
      <c r="Y31" s="4" t="n"/>
      <c r="Z31" s="4" t="n"/>
      <c r="AA31" s="4" t="n"/>
      <c r="AB31" s="4" t="n"/>
      <c r="AC31" s="4" t="n"/>
      <c r="AD31" s="4" t="n"/>
      <c r="AE31" s="4" t="n"/>
      <c r="AF31" s="4" t="n"/>
      <c r="AG31" s="4" t="n"/>
      <c r="AH31" s="4" t="n"/>
      <c r="AI31" s="17" t="n"/>
    </row>
    <row r="32" ht="12.95" customHeight="1">
      <c r="A32" s="13" t="n"/>
      <c r="B32" s="14" t="n"/>
      <c r="C32" s="14" t="n"/>
      <c r="D32" s="14" t="n"/>
      <c r="E32" s="14" t="n"/>
      <c r="F32" s="14" t="n"/>
      <c r="G32" s="14" t="n"/>
      <c r="H32" s="14" t="n"/>
      <c r="I32" s="14" t="n"/>
      <c r="J32" s="14" t="n"/>
      <c r="K32" s="14" t="n"/>
      <c r="L32" s="14" t="n"/>
      <c r="M32" s="14" t="n"/>
      <c r="N32" s="14" t="n"/>
      <c r="O32" s="14" t="n"/>
      <c r="P32" s="14" t="n"/>
      <c r="Q32" s="14" t="n"/>
      <c r="R32" s="14" t="n"/>
      <c r="S32" s="14" t="n"/>
      <c r="T32" s="14" t="n"/>
      <c r="U32" s="14" t="n"/>
      <c r="V32" s="14" t="n"/>
      <c r="W32" s="14" t="n"/>
      <c r="X32" s="14" t="n"/>
      <c r="Y32" s="14" t="n"/>
      <c r="Z32" s="14" t="n"/>
      <c r="AA32" s="14" t="n"/>
      <c r="AB32" s="14" t="n"/>
      <c r="AC32" s="14" t="n"/>
      <c r="AD32" s="14" t="n"/>
      <c r="AE32" s="14" t="n"/>
      <c r="AF32" s="14" t="n"/>
      <c r="AG32" s="14" t="n"/>
      <c r="AH32" s="14" t="n"/>
      <c r="AI32" s="13" t="n"/>
    </row>
    <row r="33" hidden="1" ht="12.95" customHeight="1"/>
    <row r="34" hidden="1" ht="12.95" customHeight="1"/>
    <row r="35" hidden="1" ht="12.95" customHeight="1"/>
    <row r="36" hidden="1" ht="12.95" customHeight="1"/>
    <row r="37" hidden="1" ht="12.95" customHeight="1"/>
    <row r="38" hidden="1" ht="12.95" customHeight="1"/>
    <row r="39" hidden="1" ht="12.95" customHeight="1"/>
    <row r="40" hidden="1" ht="12.95" customHeight="1"/>
    <row r="41" hidden="1" ht="12.95" customHeight="1"/>
    <row r="42" hidden="1" ht="12.95" customHeight="1"/>
    <row r="43" hidden="1" ht="12.95" customHeight="1"/>
    <row r="44" hidden="1" ht="12.95" customHeight="1"/>
    <row r="45" hidden="1" ht="12.95" customHeight="1"/>
    <row r="46" hidden="1" ht="12.95" customHeight="1" thickBot="1"/>
    <row r="47" hidden="1" ht="12" customHeight="1"/>
  </sheetData>
  <mergeCells count="14">
    <mergeCell ref="C30:AG30"/>
    <mergeCell ref="C6:AG6"/>
    <mergeCell ref="AF10:AF11"/>
    <mergeCell ref="C5:AG5"/>
    <mergeCell ref="D4:E4"/>
    <mergeCell ref="C8:AG8"/>
    <mergeCell ref="C10:C11"/>
    <mergeCell ref="E10:E11"/>
    <mergeCell ref="F10:AE10"/>
    <mergeCell ref="D3:E3"/>
    <mergeCell ref="C7:AG7"/>
    <mergeCell ref="D10:D11"/>
    <mergeCell ref="C9:AG9"/>
    <mergeCell ref="AG10:AG11"/>
  </mergeCells>
  <printOptions horizontalCentered="1"/>
  <pageMargins left="0.1968503937007874" right="0.1968503937007874" top="0.1968503937007874" bottom="0.1968503937007874" header="0" footer="0"/>
  <pageSetup orientation="landscape" paperSize="9"/>
</worksheet>
</file>

<file path=xl/worksheets/sheet3.xml><?xml version="1.0" encoding="utf-8"?>
<worksheet xmlns="http://schemas.openxmlformats.org/spreadsheetml/2006/main">
  <sheetPr>
    <tabColor rgb="FF0070C0"/>
    <outlinePr summaryBelow="1" summaryRight="1"/>
    <pageSetUpPr fitToPage="1"/>
  </sheetPr>
  <dimension ref="A1:AI32"/>
  <sheetViews>
    <sheetView zoomScaleNormal="100" workbookViewId="0">
      <selection activeCell="A1" sqref="A1"/>
    </sheetView>
  </sheetViews>
  <sheetFormatPr baseColWidth="8" defaultColWidth="0" defaultRowHeight="12" customHeight="1" zeroHeight="1"/>
  <cols>
    <col width="1.453125" customWidth="1" style="2" min="1" max="2"/>
    <col width="2.36328125" customWidth="1" style="2" min="3" max="3"/>
    <col width="12.54296875" customWidth="1" style="2" min="4" max="4"/>
    <col width="11.90625" customWidth="1" style="2" min="5" max="5"/>
    <col width="2.08984375" customWidth="1" style="2" min="6" max="36"/>
    <col width="4.05" customWidth="1" min="32" max="32"/>
    <col width="5.55" customWidth="1" min="33" max="33"/>
    <col width="1.5" customWidth="1" min="34" max="34"/>
    <col width="1.5" customWidth="1" min="35" max="35"/>
    <col hidden="1" width="13" customWidth="1" min="36" max="36"/>
    <col hidden="1" width="4" customWidth="1" style="2" min="37" max="37"/>
    <col hidden="1" width="5.54296875" customWidth="1" style="2" min="38" max="38"/>
    <col hidden="1" width="1.453125" customWidth="1" style="2" min="39" max="40"/>
    <col hidden="1" width="13" customWidth="1" min="40" max="40"/>
    <col hidden="1" width="5.81640625" customWidth="1" style="2" min="41" max="16384"/>
  </cols>
  <sheetData>
    <row r="1" ht="12" customFormat="1" customHeight="1" s="3" thickBot="1">
      <c r="A1" s="12" t="inlineStr">
        <is>
          <t>S</t>
        </is>
      </c>
      <c r="B1" s="16" t="n"/>
      <c r="C1" s="16" t="n"/>
      <c r="D1" s="16" t="n"/>
      <c r="E1" s="16" t="n"/>
      <c r="F1" s="16" t="n"/>
      <c r="G1" s="16" t="n"/>
      <c r="H1" s="16" t="n"/>
      <c r="I1" s="16" t="n"/>
      <c r="J1" s="16" t="n"/>
      <c r="K1" s="16" t="n"/>
      <c r="L1" s="16" t="n"/>
      <c r="M1" s="16" t="n"/>
      <c r="N1" s="16" t="n"/>
      <c r="O1" s="16" t="n"/>
      <c r="P1" s="16" t="n"/>
      <c r="Q1" s="16" t="n"/>
      <c r="R1" s="16" t="n"/>
      <c r="S1" s="16" t="n"/>
      <c r="T1" s="16" t="n"/>
      <c r="U1" s="16" t="n"/>
      <c r="V1" s="16" t="n"/>
      <c r="W1" s="16" t="n"/>
      <c r="X1" s="16" t="n"/>
      <c r="Y1" s="16" t="n"/>
      <c r="Z1" s="16" t="n"/>
      <c r="AA1" s="16" t="n"/>
      <c r="AB1" s="16" t="n"/>
      <c r="AC1" s="16" t="n"/>
      <c r="AD1" s="16" t="n"/>
      <c r="AE1" s="16" t="n"/>
      <c r="AF1" s="16" t="n"/>
      <c r="AG1" s="16" t="n"/>
      <c r="AH1" s="16" t="n"/>
      <c r="AI1" s="11" t="n"/>
    </row>
    <row r="2" ht="12" customFormat="1" customHeight="1" s="1">
      <c r="A2" s="15" t="n"/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  <c r="AA2" s="4" t="n"/>
      <c r="AB2" s="4" t="n"/>
      <c r="AC2" s="4" t="n"/>
      <c r="AD2" s="4" t="n"/>
      <c r="AE2" s="4" t="n"/>
      <c r="AF2" s="4" t="n"/>
      <c r="AG2" s="4" t="n"/>
      <c r="AH2" s="4" t="n"/>
      <c r="AI2" s="17" t="n"/>
    </row>
    <row r="3" ht="15" customHeight="1">
      <c r="A3" s="15" t="n"/>
      <c r="B3" s="4" t="n"/>
      <c r="C3" s="5" t="n"/>
      <c r="D3" s="42" t="inlineStr">
        <is>
          <t>Міністерство освіти і науки України</t>
        </is>
      </c>
      <c r="F3" s="5" t="n"/>
      <c r="G3" s="5" t="n"/>
      <c r="H3" s="5" t="n"/>
      <c r="I3" s="5" t="n"/>
      <c r="J3" s="5" t="n"/>
      <c r="K3" s="5" t="n"/>
      <c r="L3" s="5" t="n"/>
      <c r="M3" s="5" t="n"/>
      <c r="N3" s="5" t="n"/>
      <c r="O3" s="5" t="n"/>
      <c r="P3" s="5" t="n"/>
      <c r="Q3" s="5" t="n"/>
      <c r="R3" s="5" t="n"/>
      <c r="S3" s="5" t="n"/>
      <c r="T3" s="5" t="n"/>
      <c r="U3" s="5" t="n"/>
      <c r="V3" s="5" t="n"/>
      <c r="W3" s="5" t="n"/>
      <c r="X3" s="5" t="n"/>
      <c r="Y3" s="5" t="n"/>
      <c r="Z3" s="5" t="n"/>
      <c r="AA3" s="5" t="n"/>
      <c r="AB3" s="5" t="n"/>
      <c r="AC3" s="5" t="n"/>
      <c r="AD3" s="5" t="n"/>
      <c r="AE3" s="5" t="n"/>
      <c r="AF3" s="5" t="n"/>
      <c r="AG3" s="5" t="n"/>
      <c r="AH3" s="4" t="n"/>
      <c r="AI3" s="17" t="n"/>
    </row>
    <row r="4" ht="65.09999999999999" customHeight="1">
      <c r="A4" s="15" t="n"/>
      <c r="B4" s="4" t="n"/>
      <c r="C4" s="45" t="n"/>
      <c r="D4" s="43" t="inlineStr">
        <is>
          <t>Відокремлений структурний підрозділ "Фаховий коледж нафтогазових технологій, інженерії та інфраструктури сервісу Одеського національного технологічного університету"</t>
        </is>
      </c>
      <c r="F4" s="44" t="n"/>
      <c r="G4" s="44" t="n"/>
      <c r="H4" s="44" t="n"/>
      <c r="I4" s="44" t="n"/>
      <c r="J4" s="44" t="n"/>
      <c r="K4" s="44" t="n"/>
      <c r="L4" s="44" t="n"/>
      <c r="M4" s="44" t="n"/>
      <c r="N4" s="44" t="n"/>
      <c r="O4" s="44" t="n"/>
      <c r="P4" s="44" t="n"/>
      <c r="Q4" s="44" t="n"/>
      <c r="R4" s="44" t="n"/>
      <c r="S4" s="44" t="n"/>
      <c r="T4" s="44" t="n"/>
      <c r="U4" s="44" t="n"/>
      <c r="V4" s="44" t="n"/>
      <c r="W4" s="44" t="n"/>
      <c r="X4" s="44" t="n"/>
      <c r="Y4" s="44" t="n"/>
      <c r="Z4" s="44" t="n"/>
      <c r="AA4" s="44" t="n"/>
      <c r="AB4" s="44" t="n"/>
      <c r="AC4" s="44" t="n"/>
      <c r="AD4" s="44" t="n"/>
      <c r="AE4" s="44" t="n"/>
      <c r="AF4" s="45" t="n"/>
      <c r="AG4" s="45" t="n"/>
      <c r="AH4" s="4" t="n"/>
      <c r="AI4" s="17" t="n"/>
    </row>
    <row r="5" ht="15" customHeight="1">
      <c r="A5" s="15" t="n"/>
      <c r="B5" s="4" t="n"/>
      <c r="C5" s="44" t="inlineStr">
        <is>
          <t>ВІДОМІСТЬ ОБЛІКУ ГОДИН РОБОТИ ВИКЛАДАЧА</t>
        </is>
      </c>
      <c r="AH5" s="4" t="n"/>
      <c r="AI5" s="17" t="n"/>
    </row>
    <row r="6" ht="15" customHeight="1">
      <c r="A6" s="15" t="n"/>
      <c r="B6" s="4" t="n"/>
      <c r="C6" s="45" t="inlineStr">
        <is>
          <t xml:space="preserve"> </t>
        </is>
      </c>
      <c r="AH6" s="4" t="n"/>
      <c r="AI6" s="17" t="n"/>
    </row>
    <row r="7" ht="15" customHeight="1">
      <c r="A7" s="15" t="n"/>
      <c r="B7" s="4" t="n"/>
      <c r="C7" s="44" t="inlineStr">
        <is>
          <t>за вересень 2025 р.</t>
        </is>
      </c>
      <c r="AH7" s="4" t="n"/>
      <c r="AI7" s="17" t="n"/>
    </row>
    <row r="8" ht="15" customHeight="1">
      <c r="A8" s="15" t="n"/>
      <c r="B8" s="4" t="n"/>
      <c r="C8" s="40" t="inlineStr">
        <is>
          <t>Спеціальнiсть 1 курс І група 25-3</t>
        </is>
      </c>
      <c r="AH8" s="4" t="n"/>
      <c r="AI8" s="17" t="n"/>
    </row>
    <row r="9" ht="15" customHeight="1">
      <c r="A9" s="15" t="n"/>
      <c r="B9" s="4" t="n"/>
      <c r="C9" s="41" t="n"/>
      <c r="D9" s="57" t="n"/>
      <c r="E9" s="57" t="n"/>
      <c r="F9" s="57" t="n"/>
      <c r="G9" s="57" t="n"/>
      <c r="H9" s="57" t="n"/>
      <c r="I9" s="57" t="n"/>
      <c r="J9" s="57" t="n"/>
      <c r="K9" s="57" t="n"/>
      <c r="L9" s="57" t="n"/>
      <c r="M9" s="57" t="n"/>
      <c r="N9" s="57" t="n"/>
      <c r="O9" s="57" t="n"/>
      <c r="P9" s="57" t="n"/>
      <c r="Q9" s="57" t="n"/>
      <c r="R9" s="57" t="n"/>
      <c r="S9" s="57" t="n"/>
      <c r="T9" s="57" t="n"/>
      <c r="U9" s="57" t="n"/>
      <c r="V9" s="57" t="n"/>
      <c r="W9" s="57" t="n"/>
      <c r="X9" s="57" t="n"/>
      <c r="Y9" s="57" t="n"/>
      <c r="Z9" s="57" t="n"/>
      <c r="AA9" s="57" t="n"/>
      <c r="AB9" s="57" t="n"/>
      <c r="AC9" s="57" t="n"/>
      <c r="AD9" s="57" t="n"/>
      <c r="AE9" s="57" t="n"/>
      <c r="AF9" s="57" t="n"/>
      <c r="AG9" s="57" t="n"/>
      <c r="AH9" s="4" t="n"/>
      <c r="AI9" s="17" t="n"/>
    </row>
    <row r="10" ht="12.95" customHeight="1">
      <c r="A10" s="15" t="n"/>
      <c r="B10" s="4" t="n"/>
      <c r="C10" s="47" t="inlineStr">
        <is>
          <t>№</t>
        </is>
      </c>
      <c r="D10" s="46" t="inlineStr">
        <is>
          <t>Предмети</t>
        </is>
      </c>
      <c r="E10" s="47" t="inlineStr">
        <is>
          <t>Прізвище та ініціали викладача</t>
        </is>
      </c>
      <c r="F10" s="46" t="inlineStr">
        <is>
          <t>Числа місяця</t>
        </is>
      </c>
      <c r="G10" s="58" t="n"/>
      <c r="H10" s="58" t="n"/>
      <c r="I10" s="58" t="n"/>
      <c r="J10" s="58" t="n"/>
      <c r="K10" s="58" t="n"/>
      <c r="L10" s="58" t="n"/>
      <c r="M10" s="58" t="n"/>
      <c r="N10" s="58" t="n"/>
      <c r="O10" s="58" t="n"/>
      <c r="P10" s="58" t="n"/>
      <c r="Q10" s="58" t="n"/>
      <c r="R10" s="58" t="n"/>
      <c r="S10" s="58" t="n"/>
      <c r="T10" s="58" t="n"/>
      <c r="U10" s="58" t="n"/>
      <c r="V10" s="58" t="n"/>
      <c r="W10" s="58" t="n"/>
      <c r="X10" s="58" t="n"/>
      <c r="Y10" s="58" t="n"/>
      <c r="Z10" s="58" t="n"/>
      <c r="AA10" s="58" t="n"/>
      <c r="AB10" s="58" t="n"/>
      <c r="AC10" s="58" t="n"/>
      <c r="AD10" s="58" t="n"/>
      <c r="AE10" s="59" t="n"/>
      <c r="AF10" s="47" t="inlineStr">
        <is>
          <t>Дано годин</t>
        </is>
      </c>
      <c r="AG10" s="46" t="inlineStr">
        <is>
          <t>Примітка</t>
        </is>
      </c>
      <c r="AH10" s="4" t="n"/>
      <c r="AI10" s="17" t="n"/>
    </row>
    <row r="11" ht="12.95" customHeight="1">
      <c r="A11" s="15" t="n"/>
      <c r="B11" s="4" t="n"/>
      <c r="C11" s="60" t="n"/>
      <c r="D11" s="60" t="n"/>
      <c r="E11" s="60" t="n"/>
      <c r="F11" s="46" t="n">
        <v>1</v>
      </c>
      <c r="G11" s="46" t="n">
        <v>2</v>
      </c>
      <c r="H11" s="46" t="n">
        <v>3</v>
      </c>
      <c r="I11" s="46" t="n">
        <v>4</v>
      </c>
      <c r="J11" s="46" t="n">
        <v>5</v>
      </c>
      <c r="K11" s="46" t="n">
        <v>6</v>
      </c>
      <c r="L11" s="46" t="n">
        <v>7</v>
      </c>
      <c r="M11" s="46" t="n">
        <v>8</v>
      </c>
      <c r="N11" s="46" t="n">
        <v>9</v>
      </c>
      <c r="O11" s="46" t="n">
        <v>10</v>
      </c>
      <c r="P11" s="46" t="n">
        <v>11</v>
      </c>
      <c r="Q11" s="46" t="n">
        <v>12</v>
      </c>
      <c r="R11" s="46" t="n">
        <v>13</v>
      </c>
      <c r="S11" s="46" t="n">
        <v>14</v>
      </c>
      <c r="T11" s="46" t="n">
        <v>15</v>
      </c>
      <c r="U11" s="46" t="n">
        <v>16</v>
      </c>
      <c r="V11" s="46" t="n">
        <v>17</v>
      </c>
      <c r="W11" s="46" t="n">
        <v>18</v>
      </c>
      <c r="X11" s="46" t="n">
        <v>19</v>
      </c>
      <c r="Y11" s="46" t="n">
        <v>20</v>
      </c>
      <c r="Z11" s="46" t="n">
        <v>21</v>
      </c>
      <c r="AA11" s="46" t="n">
        <v>22</v>
      </c>
      <c r="AB11" s="46" t="n">
        <v>23</v>
      </c>
      <c r="AC11" s="46" t="n">
        <v>24</v>
      </c>
      <c r="AD11" s="46" t="n">
        <v>25</v>
      </c>
      <c r="AE11" s="46" t="n">
        <v>26</v>
      </c>
      <c r="AF11" s="60" t="n"/>
      <c r="AG11" s="60" t="n"/>
      <c r="AH11" s="4" t="n"/>
      <c r="AI11" s="17" t="n"/>
    </row>
    <row r="12" ht="12.95" customHeight="1">
      <c r="A12" s="15" t="n"/>
      <c r="B12" s="4" t="n"/>
      <c r="C12" s="47" t="n">
        <v>1</v>
      </c>
      <c r="D12" s="37" t="inlineStr">
        <is>
          <t>Астрономія</t>
        </is>
      </c>
      <c r="E12" s="37" t="inlineStr">
        <is>
          <t>Наговська Т.С.</t>
        </is>
      </c>
      <c r="F12" s="38" t="n"/>
      <c r="G12" s="38" t="n">
        <v>2</v>
      </c>
      <c r="H12" s="38" t="n"/>
      <c r="I12" s="38" t="n">
        <v>2</v>
      </c>
      <c r="J12" s="38" t="n"/>
      <c r="K12" s="61" t="n"/>
      <c r="L12" s="61" t="n"/>
      <c r="M12" s="38" t="n"/>
      <c r="N12" s="38" t="n">
        <v>2</v>
      </c>
      <c r="O12" s="38" t="n"/>
      <c r="P12" s="38" t="n">
        <v>2</v>
      </c>
      <c r="Q12" s="38" t="n"/>
      <c r="R12" s="61" t="n"/>
      <c r="S12" s="61" t="n"/>
      <c r="T12" s="38" t="n"/>
      <c r="U12" s="38" t="n">
        <v>2</v>
      </c>
      <c r="V12" s="38" t="n"/>
      <c r="W12" s="38" t="n">
        <v>2</v>
      </c>
      <c r="X12" s="38" t="n"/>
      <c r="Y12" s="61" t="n"/>
      <c r="Z12" s="61" t="n"/>
      <c r="AA12" s="38" t="n"/>
      <c r="AB12" s="38" t="n">
        <v>2</v>
      </c>
      <c r="AC12" s="38" t="n"/>
      <c r="AD12" s="38" t="n">
        <v>2</v>
      </c>
      <c r="AE12" s="38" t="n"/>
      <c r="AF12" s="46">
        <f>IF(SUM(F12:AE12)=0,"Очікую",SUM(F12:AE12))</f>
        <v/>
      </c>
      <c r="AG12" s="46" t="n"/>
      <c r="AH12" s="4" t="n"/>
      <c r="AI12" s="17" t="n"/>
    </row>
    <row r="13" ht="12.95" customHeight="1">
      <c r="A13" s="15" t="n"/>
      <c r="B13" s="4" t="n"/>
      <c r="C13" s="47" t="n">
        <v>2</v>
      </c>
      <c r="D13" s="37" t="inlineStr">
        <is>
          <t>Біологія</t>
        </is>
      </c>
      <c r="E13" s="37" t="inlineStr">
        <is>
          <t>Богданенко О.В.</t>
        </is>
      </c>
      <c r="F13" s="38" t="n"/>
      <c r="G13" s="38" t="n"/>
      <c r="H13" s="38" t="n"/>
      <c r="I13" s="38" t="n"/>
      <c r="J13" s="38" t="n">
        <v>2</v>
      </c>
      <c r="K13" s="61" t="n"/>
      <c r="L13" s="61" t="n"/>
      <c r="M13" s="38" t="n"/>
      <c r="N13" s="38" t="n"/>
      <c r="O13" s="38" t="n"/>
      <c r="P13" s="38" t="n"/>
      <c r="Q13" s="38" t="n">
        <v>2</v>
      </c>
      <c r="R13" s="61" t="n"/>
      <c r="S13" s="61" t="n"/>
      <c r="T13" s="38" t="n"/>
      <c r="U13" s="38" t="n"/>
      <c r="V13" s="38" t="n"/>
      <c r="W13" s="38" t="n"/>
      <c r="X13" s="38" t="n">
        <v>2</v>
      </c>
      <c r="Y13" s="61" t="n"/>
      <c r="Z13" s="61" t="n"/>
      <c r="AA13" s="38" t="n"/>
      <c r="AB13" s="38" t="n"/>
      <c r="AC13" s="38" t="n"/>
      <c r="AD13" s="38" t="n"/>
      <c r="AE13" s="38" t="n">
        <v>2</v>
      </c>
      <c r="AF13" s="46">
        <f>IF(SUM(F13:AE13)=0,"Очікую",SUM(F13:AE13))</f>
        <v/>
      </c>
      <c r="AG13" s="46" t="n"/>
      <c r="AH13" s="4" t="n"/>
      <c r="AI13" s="17" t="n"/>
    </row>
    <row r="14" ht="12.95" customHeight="1">
      <c r="A14" s="15" t="n"/>
      <c r="B14" s="4" t="n"/>
      <c r="C14" s="47" t="n">
        <v>3</v>
      </c>
      <c r="D14" s="37" t="inlineStr">
        <is>
          <t>Всесвітня історія</t>
        </is>
      </c>
      <c r="E14" s="37" t="inlineStr">
        <is>
          <t>Мельничук С.А.</t>
        </is>
      </c>
      <c r="F14" s="38" t="n">
        <v>2</v>
      </c>
      <c r="G14" s="38" t="n"/>
      <c r="H14" s="38" t="n"/>
      <c r="I14" s="38" t="n"/>
      <c r="J14" s="38" t="n"/>
      <c r="K14" s="61" t="n"/>
      <c r="L14" s="61" t="n"/>
      <c r="M14" s="38" t="n">
        <v>2</v>
      </c>
      <c r="N14" s="38" t="n"/>
      <c r="O14" s="38" t="n"/>
      <c r="P14" s="38" t="n"/>
      <c r="Q14" s="38" t="n"/>
      <c r="R14" s="61" t="n"/>
      <c r="S14" s="61" t="n"/>
      <c r="T14" s="38" t="n">
        <v>2</v>
      </c>
      <c r="U14" s="38" t="n"/>
      <c r="V14" s="38" t="n"/>
      <c r="W14" s="38" t="n"/>
      <c r="X14" s="38" t="n"/>
      <c r="Y14" s="61" t="n"/>
      <c r="Z14" s="61" t="n"/>
      <c r="AA14" s="38" t="n">
        <v>2</v>
      </c>
      <c r="AB14" s="38" t="n"/>
      <c r="AC14" s="38" t="n"/>
      <c r="AD14" s="38" t="n"/>
      <c r="AE14" s="38" t="n"/>
      <c r="AF14" s="46">
        <f>IF(SUM(F14:AE14)=0,"Очікую",SUM(F14:AE14))</f>
        <v/>
      </c>
      <c r="AG14" s="46" t="n"/>
      <c r="AH14" s="4" t="n"/>
      <c r="AI14" s="17" t="n"/>
    </row>
    <row r="15" ht="12.95" customHeight="1">
      <c r="A15" s="15" t="n"/>
      <c r="B15" s="4" t="n"/>
      <c r="C15" s="47" t="n">
        <v>4</v>
      </c>
      <c r="D15" s="39" t="inlineStr">
        <is>
          <t>Географія</t>
        </is>
      </c>
      <c r="E15" s="39" t="inlineStr">
        <is>
          <t>Наговська Т.С.</t>
        </is>
      </c>
      <c r="F15" s="38" t="n"/>
      <c r="G15" s="38" t="n"/>
      <c r="H15" s="38" t="n">
        <v>2</v>
      </c>
      <c r="I15" s="38" t="n">
        <v>2</v>
      </c>
      <c r="J15" s="38" t="n"/>
      <c r="K15" s="61" t="n"/>
      <c r="L15" s="61" t="n"/>
      <c r="M15" s="38" t="n"/>
      <c r="N15" s="38" t="n"/>
      <c r="O15" s="38" t="n">
        <v>2</v>
      </c>
      <c r="P15" s="38" t="n"/>
      <c r="Q15" s="38" t="n"/>
      <c r="R15" s="61" t="n"/>
      <c r="S15" s="61" t="n"/>
      <c r="T15" s="38" t="n"/>
      <c r="U15" s="38" t="n"/>
      <c r="V15" s="38" t="n">
        <v>2</v>
      </c>
      <c r="W15" s="38" t="n"/>
      <c r="X15" s="38" t="n"/>
      <c r="Y15" s="61" t="n"/>
      <c r="Z15" s="61" t="n"/>
      <c r="AA15" s="38" t="n"/>
      <c r="AB15" s="38" t="n"/>
      <c r="AC15" s="38" t="n">
        <v>2</v>
      </c>
      <c r="AD15" s="38" t="n"/>
      <c r="AE15" s="38" t="n"/>
      <c r="AF15" s="46">
        <f>IF(SUM(F15:AE15)=0,"Очікую",SUM(F15:AE15))</f>
        <v/>
      </c>
      <c r="AG15" s="46" t="n"/>
      <c r="AH15" s="4" t="n"/>
      <c r="AI15" s="17" t="n"/>
    </row>
    <row r="16" ht="12.95" customHeight="1">
      <c r="A16" s="15" t="n"/>
      <c r="B16" s="4" t="n"/>
      <c r="C16" s="47" t="n">
        <v>5</v>
      </c>
      <c r="D16" s="37" t="inlineStr">
        <is>
          <t>Зарубіжна література</t>
        </is>
      </c>
      <c r="E16" s="37" t="inlineStr">
        <is>
          <t>Бабенко Л. Е.</t>
        </is>
      </c>
      <c r="F16" s="38" t="n"/>
      <c r="G16" s="38" t="n"/>
      <c r="H16" s="38" t="n"/>
      <c r="I16" s="38" t="n"/>
      <c r="J16" s="38" t="n"/>
      <c r="K16" s="61" t="n"/>
      <c r="L16" s="61" t="n"/>
      <c r="M16" s="38" t="n"/>
      <c r="N16" s="38" t="n"/>
      <c r="O16" s="38" t="n"/>
      <c r="P16" s="38" t="n">
        <v>2</v>
      </c>
      <c r="Q16" s="38" t="n"/>
      <c r="R16" s="61" t="n"/>
      <c r="S16" s="61" t="n"/>
      <c r="T16" s="38" t="n"/>
      <c r="U16" s="38" t="n"/>
      <c r="V16" s="38" t="n"/>
      <c r="W16" s="38" t="n">
        <v>2</v>
      </c>
      <c r="X16" s="38" t="n"/>
      <c r="Y16" s="61" t="n"/>
      <c r="Z16" s="61" t="n"/>
      <c r="AA16" s="38" t="n"/>
      <c r="AB16" s="38" t="n"/>
      <c r="AC16" s="38" t="n"/>
      <c r="AD16" s="38" t="n">
        <v>2</v>
      </c>
      <c r="AE16" s="38" t="n"/>
      <c r="AF16" s="46">
        <f>IF(SUM(F16:AE16)=0,"Очікую",SUM(F16:AE16))</f>
        <v/>
      </c>
      <c r="AG16" s="46" t="n"/>
      <c r="AH16" s="4" t="n"/>
      <c r="AI16" s="17" t="n"/>
    </row>
    <row r="17" ht="12.95" customHeight="1">
      <c r="A17" s="15" t="n"/>
      <c r="B17" s="4" t="n"/>
      <c r="C17" s="47" t="n">
        <v>6</v>
      </c>
      <c r="D17" s="39" t="inlineStr">
        <is>
          <t>Захист України</t>
        </is>
      </c>
      <c r="E17" s="39" t="inlineStr">
        <is>
          <t>Лазар В.І.</t>
        </is>
      </c>
      <c r="F17" s="38" t="n">
        <v>2</v>
      </c>
      <c r="G17" s="38" t="n"/>
      <c r="H17" s="38" t="n"/>
      <c r="I17" s="38" t="n"/>
      <c r="J17" s="38" t="n"/>
      <c r="K17" s="61" t="n"/>
      <c r="L17" s="61" t="n"/>
      <c r="M17" s="38" t="n">
        <v>2</v>
      </c>
      <c r="N17" s="38" t="n"/>
      <c r="O17" s="38" t="n"/>
      <c r="P17" s="38" t="n"/>
      <c r="Q17" s="38" t="n"/>
      <c r="R17" s="61" t="n"/>
      <c r="S17" s="61" t="n"/>
      <c r="T17" s="38" t="n">
        <v>2</v>
      </c>
      <c r="U17" s="38" t="n"/>
      <c r="V17" s="38" t="n"/>
      <c r="W17" s="38" t="n"/>
      <c r="X17" s="38" t="n"/>
      <c r="Y17" s="61" t="n"/>
      <c r="Z17" s="61" t="n"/>
      <c r="AA17" s="38" t="n">
        <v>2</v>
      </c>
      <c r="AB17" s="38" t="n"/>
      <c r="AC17" s="38" t="n"/>
      <c r="AD17" s="38" t="n"/>
      <c r="AE17" s="38" t="n"/>
      <c r="AF17" s="46">
        <f>IF(SUM(F17:AE17)=0,"Очікую",SUM(F17:AE17))</f>
        <v/>
      </c>
      <c r="AG17" s="46" t="n"/>
      <c r="AH17" s="4" t="n"/>
      <c r="AI17" s="17" t="n"/>
    </row>
    <row r="18" ht="12.95" customHeight="1">
      <c r="A18" s="15" t="n"/>
      <c r="B18" s="4" t="n"/>
      <c r="C18" s="47" t="n">
        <v>7</v>
      </c>
      <c r="D18" s="37" t="inlineStr">
        <is>
          <t>Іноземна мова</t>
        </is>
      </c>
      <c r="E18" s="37" t="inlineStr">
        <is>
          <t>Нічик Н.О.</t>
        </is>
      </c>
      <c r="F18" s="38" t="n"/>
      <c r="G18" s="38" t="n"/>
      <c r="H18" s="38" t="n">
        <v>2</v>
      </c>
      <c r="I18" s="38" t="n"/>
      <c r="J18" s="38" t="n"/>
      <c r="K18" s="61" t="n"/>
      <c r="L18" s="61" t="n"/>
      <c r="M18" s="38" t="n"/>
      <c r="N18" s="38" t="n"/>
      <c r="O18" s="38" t="n">
        <v>2</v>
      </c>
      <c r="P18" s="38" t="n"/>
      <c r="Q18" s="38" t="n"/>
      <c r="R18" s="61" t="n"/>
      <c r="S18" s="61" t="n"/>
      <c r="T18" s="38" t="n"/>
      <c r="U18" s="38" t="n"/>
      <c r="V18" s="38" t="n">
        <v>2</v>
      </c>
      <c r="W18" s="38" t="n"/>
      <c r="X18" s="38" t="n"/>
      <c r="Y18" s="61" t="n"/>
      <c r="Z18" s="61" t="n"/>
      <c r="AA18" s="38" t="n"/>
      <c r="AB18" s="38" t="n"/>
      <c r="AC18" s="38" t="n">
        <v>2</v>
      </c>
      <c r="AD18" s="38" t="n"/>
      <c r="AE18" s="38" t="n"/>
      <c r="AF18" s="46">
        <f>IF(SUM(F18:AE18)=0,"Очікую",SUM(F18:AE18))</f>
        <v/>
      </c>
      <c r="AG18" s="46" t="n"/>
      <c r="AH18" s="4" t="n"/>
      <c r="AI18" s="17" t="n"/>
    </row>
    <row r="19" ht="12.95" customHeight="1">
      <c r="A19" s="15" t="n"/>
      <c r="B19" s="4" t="n"/>
      <c r="C19" s="47" t="n">
        <v>8</v>
      </c>
      <c r="D19" s="37" t="inlineStr">
        <is>
          <t>Інформатика</t>
        </is>
      </c>
      <c r="E19" s="37" t="inlineStr">
        <is>
          <t>Андрльє І.О.</t>
        </is>
      </c>
      <c r="F19" s="38" t="n"/>
      <c r="G19" s="38" t="n">
        <v>2</v>
      </c>
      <c r="H19" s="38" t="n"/>
      <c r="I19" s="38" t="n"/>
      <c r="J19" s="38" t="n"/>
      <c r="K19" s="61" t="n"/>
      <c r="L19" s="61" t="n"/>
      <c r="M19" s="38" t="n"/>
      <c r="N19" s="38" t="n">
        <v>2</v>
      </c>
      <c r="O19" s="38" t="n"/>
      <c r="P19" s="38" t="n"/>
      <c r="Q19" s="38" t="n"/>
      <c r="R19" s="61" t="n"/>
      <c r="S19" s="61" t="n"/>
      <c r="T19" s="38" t="n"/>
      <c r="U19" s="38" t="n">
        <v>2</v>
      </c>
      <c r="V19" s="38" t="n"/>
      <c r="W19" s="38" t="n"/>
      <c r="X19" s="38" t="n"/>
      <c r="Y19" s="61" t="n"/>
      <c r="Z19" s="61" t="n"/>
      <c r="AA19" s="38" t="n"/>
      <c r="AB19" s="38" t="n">
        <v>2</v>
      </c>
      <c r="AC19" s="38" t="n"/>
      <c r="AD19" s="38" t="n"/>
      <c r="AE19" s="38" t="n"/>
      <c r="AF19" s="46">
        <f>IF(SUM(F19:AE19)=0,"Очікую",SUM(F19:AE19))</f>
        <v/>
      </c>
      <c r="AG19" s="46" t="n"/>
      <c r="AH19" s="4" t="n"/>
      <c r="AI19" s="17" t="n"/>
    </row>
    <row r="20" ht="12.95" customHeight="1">
      <c r="A20" s="15" t="n"/>
      <c r="B20" s="4" t="n"/>
      <c r="C20" s="47" t="n">
        <v>9</v>
      </c>
      <c r="D20" s="37" t="inlineStr">
        <is>
          <t>Історія України</t>
        </is>
      </c>
      <c r="E20" s="37" t="inlineStr">
        <is>
          <t>Левчук Т.Г.</t>
        </is>
      </c>
      <c r="F20" s="38" t="n"/>
      <c r="G20" s="38" t="n">
        <v>2</v>
      </c>
      <c r="H20" s="38" t="n"/>
      <c r="I20" s="38" t="n"/>
      <c r="J20" s="38" t="n"/>
      <c r="K20" s="61" t="n"/>
      <c r="L20" s="61" t="n"/>
      <c r="M20" s="38" t="n"/>
      <c r="N20" s="38" t="n">
        <v>2</v>
      </c>
      <c r="O20" s="38" t="n"/>
      <c r="P20" s="38" t="n"/>
      <c r="Q20" s="38" t="n"/>
      <c r="R20" s="61" t="n"/>
      <c r="S20" s="61" t="n"/>
      <c r="T20" s="38" t="n"/>
      <c r="U20" s="38" t="n">
        <v>2</v>
      </c>
      <c r="V20" s="38" t="n"/>
      <c r="W20" s="38" t="n"/>
      <c r="X20" s="38" t="n"/>
      <c r="Y20" s="61" t="n"/>
      <c r="Z20" s="61" t="n"/>
      <c r="AA20" s="38" t="n"/>
      <c r="AB20" s="38" t="n">
        <v>2</v>
      </c>
      <c r="AC20" s="38" t="n"/>
      <c r="AD20" s="38" t="n"/>
      <c r="AE20" s="38" t="n"/>
      <c r="AF20" s="46">
        <f>IF(SUM(F20:AE20)=0,"Очікую",SUM(F20:AE20))</f>
        <v/>
      </c>
      <c r="AG20" s="46" t="n"/>
      <c r="AH20" s="4" t="n"/>
      <c r="AI20" s="17" t="n"/>
    </row>
    <row r="21" ht="12.95" customHeight="1">
      <c r="A21" s="15" t="n"/>
      <c r="B21" s="4" t="n"/>
      <c r="C21" s="47" t="n">
        <v>10</v>
      </c>
      <c r="D21" s="37" t="inlineStr">
        <is>
          <t>Математика</t>
        </is>
      </c>
      <c r="E21" s="37" t="inlineStr">
        <is>
          <t>Земляна Т.М.</t>
        </is>
      </c>
      <c r="F21" s="38" t="n">
        <v>2</v>
      </c>
      <c r="G21" s="38" t="n"/>
      <c r="H21" s="38" t="n"/>
      <c r="I21" s="38" t="n">
        <v>2</v>
      </c>
      <c r="J21" s="38" t="n"/>
      <c r="K21" s="61" t="n"/>
      <c r="L21" s="61" t="n"/>
      <c r="M21" s="38" t="n">
        <v>2</v>
      </c>
      <c r="N21" s="38" t="n"/>
      <c r="O21" s="38" t="n"/>
      <c r="P21" s="38" t="n">
        <v>2</v>
      </c>
      <c r="Q21" s="38" t="n"/>
      <c r="R21" s="61" t="n"/>
      <c r="S21" s="61" t="n"/>
      <c r="T21" s="38" t="n">
        <v>2</v>
      </c>
      <c r="U21" s="38" t="n"/>
      <c r="V21" s="38" t="n"/>
      <c r="W21" s="38" t="n">
        <v>2</v>
      </c>
      <c r="X21" s="38" t="n"/>
      <c r="Y21" s="61" t="n"/>
      <c r="Z21" s="61" t="n"/>
      <c r="AA21" s="38" t="n">
        <v>2</v>
      </c>
      <c r="AB21" s="38" t="n"/>
      <c r="AC21" s="38" t="n"/>
      <c r="AD21" s="38" t="n">
        <v>2</v>
      </c>
      <c r="AE21" s="38" t="n"/>
      <c r="AF21" s="46">
        <f>IF(SUM(F21:AE21)=0,"Очікую",SUM(F21:AE21))</f>
        <v/>
      </c>
      <c r="AG21" s="46" t="n"/>
      <c r="AH21" s="4" t="n"/>
      <c r="AI21" s="17" t="n"/>
    </row>
    <row r="22" ht="12.95" customHeight="1">
      <c r="A22" s="15" t="n"/>
      <c r="B22" s="4" t="n"/>
      <c r="C22" s="47" t="n">
        <v>11</v>
      </c>
      <c r="D22" s="37" t="inlineStr">
        <is>
          <t>Українська література</t>
        </is>
      </c>
      <c r="E22" s="37" t="inlineStr">
        <is>
          <t>Юрченко О.Б.</t>
        </is>
      </c>
      <c r="F22" s="38" t="n"/>
      <c r="G22" s="38" t="n"/>
      <c r="H22" s="38" t="n"/>
      <c r="I22" s="38" t="n"/>
      <c r="J22" s="38" t="n">
        <v>2</v>
      </c>
      <c r="K22" s="61" t="n"/>
      <c r="L22" s="61" t="n"/>
      <c r="M22" s="38" t="n"/>
      <c r="N22" s="38" t="n"/>
      <c r="O22" s="38" t="n"/>
      <c r="P22" s="38" t="n"/>
      <c r="Q22" s="38" t="n">
        <v>2</v>
      </c>
      <c r="R22" s="61" t="n"/>
      <c r="S22" s="61" t="n"/>
      <c r="T22" s="38" t="n"/>
      <c r="U22" s="38" t="n"/>
      <c r="V22" s="38" t="n"/>
      <c r="W22" s="38" t="n"/>
      <c r="X22" s="38" t="n">
        <v>2</v>
      </c>
      <c r="Y22" s="61" t="n"/>
      <c r="Z22" s="61" t="n"/>
      <c r="AA22" s="38" t="n"/>
      <c r="AB22" s="38" t="n"/>
      <c r="AC22" s="38" t="n"/>
      <c r="AD22" s="38" t="n"/>
      <c r="AE22" s="38" t="n">
        <v>2</v>
      </c>
      <c r="AF22" s="46">
        <f>IF(SUM(F22:AE22)=0,"Очікую",SUM(F22:AE22))</f>
        <v/>
      </c>
      <c r="AG22" s="46" t="n"/>
      <c r="AH22" s="4" t="n"/>
      <c r="AI22" s="17" t="n"/>
    </row>
    <row r="23" ht="12.95" customHeight="1">
      <c r="A23" s="15" t="n"/>
      <c r="B23" s="4" t="n"/>
      <c r="C23" s="47" t="n">
        <v>12</v>
      </c>
      <c r="D23" s="37" t="inlineStr">
        <is>
          <t>Українська мова</t>
        </is>
      </c>
      <c r="E23" s="37" t="inlineStr">
        <is>
          <t>Юрченко О.Б.</t>
        </is>
      </c>
      <c r="F23" s="38" t="n"/>
      <c r="G23" s="38" t="n"/>
      <c r="H23" s="38" t="n"/>
      <c r="I23" s="38" t="n"/>
      <c r="J23" s="38" t="n">
        <v>2</v>
      </c>
      <c r="K23" s="61" t="n"/>
      <c r="L23" s="61" t="n"/>
      <c r="M23" s="38" t="n"/>
      <c r="N23" s="38" t="n"/>
      <c r="O23" s="38" t="n"/>
      <c r="P23" s="38" t="n"/>
      <c r="Q23" s="38" t="n">
        <v>2</v>
      </c>
      <c r="R23" s="61" t="n"/>
      <c r="S23" s="61" t="n"/>
      <c r="T23" s="38" t="n"/>
      <c r="U23" s="38" t="n"/>
      <c r="V23" s="38" t="n"/>
      <c r="W23" s="38" t="n"/>
      <c r="X23" s="38" t="n">
        <v>2</v>
      </c>
      <c r="Y23" s="61" t="n"/>
      <c r="Z23" s="61" t="n"/>
      <c r="AA23" s="38" t="n"/>
      <c r="AB23" s="38" t="n"/>
      <c r="AC23" s="38" t="n"/>
      <c r="AD23" s="38" t="n"/>
      <c r="AE23" s="38" t="n">
        <v>2</v>
      </c>
      <c r="AF23" s="46">
        <f>IF(SUM(F23:AE23)=0,"Очікую",SUM(F23:AE23))</f>
        <v/>
      </c>
      <c r="AG23" s="46" t="n"/>
      <c r="AH23" s="4" t="n"/>
      <c r="AI23" s="17" t="n"/>
    </row>
    <row r="24" ht="12.95" customHeight="1">
      <c r="A24" s="15" t="n"/>
      <c r="B24" s="4" t="n"/>
      <c r="C24" s="47" t="n">
        <v>13</v>
      </c>
      <c r="D24" s="37" t="inlineStr">
        <is>
          <t>Фізика</t>
        </is>
      </c>
      <c r="E24" s="37" t="inlineStr">
        <is>
          <t>Калюта Н.М.</t>
        </is>
      </c>
      <c r="F24" s="38" t="n"/>
      <c r="G24" s="38" t="n">
        <v>2</v>
      </c>
      <c r="H24" s="38" t="n"/>
      <c r="I24" s="38" t="n">
        <v>2</v>
      </c>
      <c r="J24" s="38" t="n"/>
      <c r="K24" s="61" t="n"/>
      <c r="L24" s="61" t="n"/>
      <c r="M24" s="38" t="n"/>
      <c r="N24" s="38" t="n">
        <v>2</v>
      </c>
      <c r="O24" s="38" t="n"/>
      <c r="P24" s="38" t="n">
        <v>2</v>
      </c>
      <c r="Q24" s="38" t="n"/>
      <c r="R24" s="61" t="n"/>
      <c r="S24" s="61" t="n"/>
      <c r="T24" s="38" t="n"/>
      <c r="U24" s="38" t="n">
        <v>2</v>
      </c>
      <c r="V24" s="38" t="n"/>
      <c r="W24" s="38" t="n">
        <v>2</v>
      </c>
      <c r="X24" s="38" t="n"/>
      <c r="Y24" s="61" t="n"/>
      <c r="Z24" s="61" t="n"/>
      <c r="AA24" s="38" t="n"/>
      <c r="AB24" s="38" t="n">
        <v>2</v>
      </c>
      <c r="AC24" s="38" t="n"/>
      <c r="AD24" s="38" t="n">
        <v>2</v>
      </c>
      <c r="AE24" s="38" t="n"/>
      <c r="AF24" s="46">
        <f>IF(SUM(F24:AE24)=0,"Очікую",SUM(F24:AE24))</f>
        <v/>
      </c>
      <c r="AG24" s="46" t="n"/>
      <c r="AH24" s="4" t="n"/>
      <c r="AI24" s="17" t="n"/>
    </row>
    <row r="25" ht="12.95" customHeight="1">
      <c r="A25" s="15" t="n"/>
      <c r="B25" s="4" t="n"/>
      <c r="C25" s="47" t="n">
        <v>14</v>
      </c>
      <c r="D25" s="37" t="inlineStr">
        <is>
          <t>Фізична культура</t>
        </is>
      </c>
      <c r="E25" s="37" t="inlineStr">
        <is>
          <t>Галеніна І.С.</t>
        </is>
      </c>
      <c r="F25" s="38" t="n">
        <v>2</v>
      </c>
      <c r="G25" s="38" t="n"/>
      <c r="H25" s="38" t="n">
        <v>2</v>
      </c>
      <c r="I25" s="38" t="n"/>
      <c r="J25" s="38" t="n"/>
      <c r="K25" s="61" t="n"/>
      <c r="L25" s="61" t="n"/>
      <c r="M25" s="38" t="n"/>
      <c r="N25" s="38" t="n"/>
      <c r="O25" s="38" t="n">
        <v>2</v>
      </c>
      <c r="P25" s="38" t="n"/>
      <c r="Q25" s="38" t="n"/>
      <c r="R25" s="61" t="n"/>
      <c r="S25" s="61" t="n"/>
      <c r="T25" s="38" t="n">
        <v>2</v>
      </c>
      <c r="U25" s="38" t="n"/>
      <c r="V25" s="38" t="n">
        <v>2</v>
      </c>
      <c r="W25" s="38" t="n"/>
      <c r="X25" s="38" t="n"/>
      <c r="Y25" s="61" t="n"/>
      <c r="Z25" s="61" t="n"/>
      <c r="AA25" s="38" t="n"/>
      <c r="AB25" s="38" t="n"/>
      <c r="AC25" s="38" t="n">
        <v>2</v>
      </c>
      <c r="AD25" s="38" t="n"/>
      <c r="AE25" s="38" t="n"/>
      <c r="AF25" s="46">
        <f>IF(SUM(F25:AE25)=0,"Очікую",SUM(F25:AE25))</f>
        <v/>
      </c>
      <c r="AG25" s="46" t="n"/>
      <c r="AH25" s="4" t="n"/>
      <c r="AI25" s="17" t="n"/>
    </row>
    <row r="26" ht="12.95" customHeight="1">
      <c r="A26" s="15" t="n"/>
      <c r="B26" s="4" t="n"/>
      <c r="C26" s="47" t="n">
        <v>15</v>
      </c>
      <c r="D26" s="37" t="inlineStr">
        <is>
          <t>Хімія</t>
        </is>
      </c>
      <c r="E26" s="37" t="inlineStr">
        <is>
          <t>Сахно Н.О.</t>
        </is>
      </c>
      <c r="F26" s="38" t="n"/>
      <c r="G26" s="38" t="n">
        <v>2</v>
      </c>
      <c r="H26" s="38" t="n"/>
      <c r="I26" s="38" t="n"/>
      <c r="J26" s="38" t="n"/>
      <c r="K26" s="61" t="n"/>
      <c r="L26" s="61" t="n"/>
      <c r="M26" s="38" t="n"/>
      <c r="N26" s="38" t="n">
        <v>2</v>
      </c>
      <c r="O26" s="38" t="n"/>
      <c r="P26" s="38" t="n"/>
      <c r="Q26" s="38" t="n"/>
      <c r="R26" s="61" t="n"/>
      <c r="S26" s="61" t="n"/>
      <c r="T26" s="38" t="n"/>
      <c r="U26" s="38" t="n">
        <v>2</v>
      </c>
      <c r="V26" s="38" t="n"/>
      <c r="W26" s="38" t="n"/>
      <c r="X26" s="38" t="n"/>
      <c r="Y26" s="61" t="n"/>
      <c r="Z26" s="61" t="n"/>
      <c r="AA26" s="38" t="n"/>
      <c r="AB26" s="38" t="n">
        <v>2</v>
      </c>
      <c r="AC26" s="38" t="n"/>
      <c r="AD26" s="38" t="n"/>
      <c r="AE26" s="38" t="n"/>
      <c r="AF26" s="46">
        <f>IF(SUM(F26:AE26)=0,"Очікую",SUM(F26:AE26))</f>
        <v/>
      </c>
      <c r="AG26" s="46" t="n"/>
      <c r="AH26" s="4" t="n"/>
      <c r="AI26" s="17" t="n"/>
    </row>
    <row r="27" ht="12.95" customHeight="1">
      <c r="A27" s="15" t="n"/>
      <c r="B27" s="4" t="n"/>
      <c r="C27" s="45" t="n"/>
      <c r="D27" s="45" t="n"/>
      <c r="E27" s="45" t="n"/>
      <c r="F27" s="46">
        <f>IF($AF27="Очікую","Оч",SUM(F12:F26))</f>
        <v/>
      </c>
      <c r="G27" s="46">
        <f>IF($AF27="Очікую","Оч",SUM(G12:G26))</f>
        <v/>
      </c>
      <c r="H27" s="46">
        <f>IF($AF27="Очікую","Оч",SUM(H12:H26))</f>
        <v/>
      </c>
      <c r="I27" s="46">
        <f>IF($AF27="Очікую","Оч",SUM(I12:I26))</f>
        <v/>
      </c>
      <c r="J27" s="46">
        <f>IF($AF27="Очікую","Оч",SUM(J12:J26))</f>
        <v/>
      </c>
      <c r="K27" s="46">
        <f>IF($AF27="Очікую","Оч",SUM(K12:K26))</f>
        <v/>
      </c>
      <c r="L27" s="46">
        <f>IF($AF27="Очікую","Оч",SUM(L12:L26))</f>
        <v/>
      </c>
      <c r="M27" s="46">
        <f>IF($AF27="Очікую","Оч",SUM(M12:M26))</f>
        <v/>
      </c>
      <c r="N27" s="46">
        <f>IF($AF27="Очікую","Оч",SUM(N12:N26))</f>
        <v/>
      </c>
      <c r="O27" s="46">
        <f>IF($AF27="Очікую","Оч",SUM(O12:O26))</f>
        <v/>
      </c>
      <c r="P27" s="46">
        <f>IF($AF27="Очікую","Оч",SUM(P12:P26))</f>
        <v/>
      </c>
      <c r="Q27" s="46">
        <f>IF($AF27="Очікую","Оч",SUM(Q12:Q26))</f>
        <v/>
      </c>
      <c r="R27" s="46">
        <f>IF($AF27="Очікую","Оч",SUM(R12:R26))</f>
        <v/>
      </c>
      <c r="S27" s="46">
        <f>IF($AF27="Очікую","Оч",SUM(S12:S26))</f>
        <v/>
      </c>
      <c r="T27" s="46">
        <f>IF($AF27="Очікую","Оч",SUM(T12:T26))</f>
        <v/>
      </c>
      <c r="U27" s="46">
        <f>IF($AF27="Очікую","Оч",SUM(U12:U26))</f>
        <v/>
      </c>
      <c r="V27" s="46">
        <f>IF($AF27="Очікую","Оч",SUM(V12:V26))</f>
        <v/>
      </c>
      <c r="W27" s="46">
        <f>IF($AF27="Очікую","Оч",SUM(W12:W26))</f>
        <v/>
      </c>
      <c r="X27" s="46">
        <f>IF($AF27="Очікую","Оч",SUM(X12:X26))</f>
        <v/>
      </c>
      <c r="Y27" s="46">
        <f>IF($AF27="Очікую","Оч",SUM(Y12:Y26))</f>
        <v/>
      </c>
      <c r="Z27" s="46">
        <f>IF($AF27="Очікую","Оч",SUM(Z12:Z26))</f>
        <v/>
      </c>
      <c r="AA27" s="46">
        <f>IF($AF27="Очікую","Оч",SUM(AA12:AA26))</f>
        <v/>
      </c>
      <c r="AB27" s="46">
        <f>IF($AF27="Очікую","Оч",SUM(AB12:AB26))</f>
        <v/>
      </c>
      <c r="AC27" s="46">
        <f>IF($AF27="Очікую","Оч",SUM(AC12:AC26))</f>
        <v/>
      </c>
      <c r="AD27" s="46">
        <f>IF($AF27="Очікую","Оч",SUM(AD12:AD26))</f>
        <v/>
      </c>
      <c r="AE27" s="46">
        <f>IF($AF27="Очікую","Оч",SUM(AE12:AE26))</f>
        <v/>
      </c>
      <c r="AF27" s="46">
        <f>IF(SUM(AF12:AF26)=0,"Очікую",SUM(AF12:AF26))</f>
        <v/>
      </c>
      <c r="AG27" s="45" t="n"/>
      <c r="AH27" s="4" t="n"/>
      <c r="AI27" s="17" t="n"/>
    </row>
    <row r="28" ht="12.95" customHeight="1">
      <c r="A28" s="15" t="n"/>
      <c r="B28" s="4" t="n"/>
      <c r="C28" s="45" t="n"/>
      <c r="D28" s="45" t="n"/>
      <c r="E28" s="45" t="n"/>
      <c r="F28" s="45" t="n"/>
      <c r="G28" s="45" t="n"/>
      <c r="H28" s="45" t="n"/>
      <c r="I28" s="45" t="n"/>
      <c r="J28" s="45" t="n"/>
      <c r="K28" s="45" t="n"/>
      <c r="L28" s="45" t="n"/>
      <c r="M28" s="45" t="n"/>
      <c r="N28" s="45" t="n"/>
      <c r="O28" s="45" t="n"/>
      <c r="P28" s="45" t="n"/>
      <c r="Q28" s="45" t="n"/>
      <c r="R28" s="45" t="n"/>
      <c r="S28" s="45" t="n"/>
      <c r="T28" s="45" t="n"/>
      <c r="U28" s="45" t="n"/>
      <c r="V28" s="45" t="n"/>
      <c r="W28" s="45" t="n"/>
      <c r="X28" s="45" t="n"/>
      <c r="Y28" s="45" t="n"/>
      <c r="Z28" s="45" t="n"/>
      <c r="AA28" s="45" t="n"/>
      <c r="AB28" s="45" t="n"/>
      <c r="AC28" s="45" t="n"/>
      <c r="AD28" s="45" t="n"/>
      <c r="AE28" s="45" t="n"/>
      <c r="AF28" s="45" t="n"/>
      <c r="AG28" s="45" t="n"/>
      <c r="AH28" s="4" t="n"/>
      <c r="AI28" s="17" t="n"/>
    </row>
    <row r="29" ht="12.95" customHeight="1">
      <c r="A29" s="15" t="n"/>
      <c r="B29" s="4" t="n"/>
      <c r="C29" s="45" t="n"/>
      <c r="D29" s="45" t="n"/>
      <c r="E29" s="45" t="n"/>
      <c r="F29" s="10" t="n"/>
      <c r="G29" s="10" t="n"/>
      <c r="H29" s="10" t="n"/>
      <c r="I29" s="10" t="n"/>
      <c r="J29" s="10" t="n"/>
      <c r="K29" s="10" t="n"/>
      <c r="L29" s="10" t="n"/>
      <c r="M29" s="10" t="n"/>
      <c r="N29" s="10" t="n"/>
      <c r="O29" s="10" t="n"/>
      <c r="P29" s="10" t="n"/>
      <c r="Q29" s="10" t="n"/>
      <c r="R29" s="10" t="n"/>
      <c r="S29" s="10" t="n"/>
      <c r="T29" s="10" t="n"/>
      <c r="U29" s="10" t="n"/>
      <c r="V29" s="10" t="n"/>
      <c r="W29" s="10" t="n"/>
      <c r="X29" s="10" t="n"/>
      <c r="Y29" s="10" t="n"/>
      <c r="Z29" s="10" t="n"/>
      <c r="AA29" s="10" t="n"/>
      <c r="AB29" s="10" t="n"/>
      <c r="AC29" s="10" t="n"/>
      <c r="AD29" s="10" t="n"/>
      <c r="AE29" s="10" t="n"/>
      <c r="AF29" s="45" t="n"/>
      <c r="AG29" s="45" t="n"/>
      <c r="AH29" s="4" t="n"/>
      <c r="AI29" s="17" t="n"/>
    </row>
    <row r="30" ht="12.95" customHeight="1">
      <c r="A30" s="15" t="n"/>
      <c r="B30" s="4" t="n"/>
      <c r="C30" s="45" t="inlineStr">
        <is>
          <t>Завідувач відділення  ПЗСО   ______________  Маргарита БРІТІКОВА</t>
        </is>
      </c>
      <c r="AH30" s="4" t="n"/>
      <c r="AI30" s="17" t="n"/>
    </row>
    <row r="31" ht="12.95" customHeight="1">
      <c r="A31" s="15" t="n"/>
      <c r="B31" s="4" t="n"/>
      <c r="C31" s="4" t="n"/>
      <c r="D31" s="4" t="n"/>
      <c r="E31" s="4" t="n"/>
      <c r="F31" s="4" t="n"/>
      <c r="G31" s="4" t="n"/>
      <c r="H31" s="4" t="n"/>
      <c r="I31" s="4" t="n"/>
      <c r="J31" s="4" t="n"/>
      <c r="K31" s="4" t="n"/>
      <c r="L31" s="4" t="n"/>
      <c r="M31" s="4" t="n"/>
      <c r="N31" s="4" t="n"/>
      <c r="O31" s="4" t="n"/>
      <c r="P31" s="4" t="n"/>
      <c r="Q31" s="4" t="n"/>
      <c r="R31" s="4" t="n"/>
      <c r="S31" s="4" t="n"/>
      <c r="T31" s="4" t="n"/>
      <c r="U31" s="4" t="n"/>
      <c r="V31" s="4" t="n"/>
      <c r="W31" s="4" t="n"/>
      <c r="X31" s="4" t="n"/>
      <c r="Y31" s="4" t="n"/>
      <c r="Z31" s="4" t="n"/>
      <c r="AA31" s="4" t="n"/>
      <c r="AB31" s="4" t="n"/>
      <c r="AC31" s="4" t="n"/>
      <c r="AD31" s="4" t="n"/>
      <c r="AE31" s="4" t="n"/>
      <c r="AF31" s="4" t="n"/>
      <c r="AG31" s="4" t="n"/>
      <c r="AH31" s="4" t="n"/>
      <c r="AI31" s="17" t="n"/>
    </row>
    <row r="32" ht="12.95" customHeight="1">
      <c r="A32" s="13" t="n"/>
      <c r="B32" s="14" t="n"/>
      <c r="C32" s="14" t="n"/>
      <c r="D32" s="14" t="n"/>
      <c r="E32" s="14" t="n"/>
      <c r="F32" s="14" t="n"/>
      <c r="G32" s="14" t="n"/>
      <c r="H32" s="14" t="n"/>
      <c r="I32" s="14" t="n"/>
      <c r="J32" s="14" t="n"/>
      <c r="K32" s="14" t="n"/>
      <c r="L32" s="14" t="n"/>
      <c r="M32" s="14" t="n"/>
      <c r="N32" s="14" t="n"/>
      <c r="O32" s="14" t="n"/>
      <c r="P32" s="14" t="n"/>
      <c r="Q32" s="14" t="n"/>
      <c r="R32" s="14" t="n"/>
      <c r="S32" s="14" t="n"/>
      <c r="T32" s="14" t="n"/>
      <c r="U32" s="14" t="n"/>
      <c r="V32" s="14" t="n"/>
      <c r="W32" s="14" t="n"/>
      <c r="X32" s="14" t="n"/>
      <c r="Y32" s="14" t="n"/>
      <c r="Z32" s="14" t="n"/>
      <c r="AA32" s="14" t="n"/>
      <c r="AB32" s="14" t="n"/>
      <c r="AC32" s="14" t="n"/>
      <c r="AD32" s="14" t="n"/>
      <c r="AE32" s="14" t="n"/>
      <c r="AF32" s="14" t="n"/>
      <c r="AG32" s="14" t="n"/>
      <c r="AH32" s="14" t="n"/>
      <c r="AI32" s="13" t="n"/>
    </row>
    <row r="33" hidden="1" ht="12.95" customHeight="1"/>
    <row r="34" hidden="1" ht="12.95" customHeight="1"/>
    <row r="35" hidden="1" ht="12.95" customHeight="1"/>
    <row r="36" hidden="1" ht="12.95" customHeight="1"/>
    <row r="37" hidden="1" ht="12.95" customHeight="1"/>
    <row r="38" hidden="1" ht="12.95" customHeight="1"/>
    <row r="39" hidden="1" ht="12.95" customHeight="1"/>
    <row r="40" hidden="1" ht="12.95" customHeight="1"/>
    <row r="41" hidden="1" ht="12.95" customHeight="1"/>
    <row r="42" hidden="1" ht="12.95" customHeight="1"/>
    <row r="43" hidden="1" ht="12.95" customHeight="1"/>
    <row r="44" hidden="1" ht="12.95" customHeight="1"/>
    <row r="45" hidden="1" ht="12.95" customHeight="1"/>
    <row r="46" hidden="1" ht="12.95" customHeight="1" thickBot="1"/>
    <row r="47" hidden="1" ht="12" customHeight="1"/>
  </sheetData>
  <mergeCells count="14">
    <mergeCell ref="C30:AG30"/>
    <mergeCell ref="C6:AG6"/>
    <mergeCell ref="AF10:AF11"/>
    <mergeCell ref="C5:AG5"/>
    <mergeCell ref="D4:E4"/>
    <mergeCell ref="C8:AG8"/>
    <mergeCell ref="C10:C11"/>
    <mergeCell ref="E10:E11"/>
    <mergeCell ref="F10:AE10"/>
    <mergeCell ref="D3:E3"/>
    <mergeCell ref="C7:AG7"/>
    <mergeCell ref="D10:D11"/>
    <mergeCell ref="C9:AG9"/>
    <mergeCell ref="AG10:AG11"/>
  </mergeCells>
  <printOptions horizontalCentered="1"/>
  <pageMargins left="0.1968503937007874" right="0.1968503937007874" top="0.1968503937007874" bottom="0.1968503937007874" header="0" footer="0"/>
  <pageSetup orientation="landscape" paperSize="9"/>
</worksheet>
</file>

<file path=xl/worksheets/sheet4.xml><?xml version="1.0" encoding="utf-8"?>
<worksheet xmlns="http://schemas.openxmlformats.org/spreadsheetml/2006/main">
  <sheetPr>
    <tabColor rgb="FF0070C0"/>
    <outlinePr summaryBelow="1" summaryRight="1"/>
    <pageSetUpPr fitToPage="1"/>
  </sheetPr>
  <dimension ref="A1:AI32"/>
  <sheetViews>
    <sheetView zoomScaleNormal="100" workbookViewId="0">
      <selection activeCell="A1" sqref="A1"/>
    </sheetView>
  </sheetViews>
  <sheetFormatPr baseColWidth="8" defaultColWidth="0" defaultRowHeight="12" customHeight="1" zeroHeight="1"/>
  <cols>
    <col width="1.453125" customWidth="1" style="2" min="1" max="2"/>
    <col width="2.36328125" customWidth="1" style="2" min="3" max="3"/>
    <col width="12.54296875" customWidth="1" style="2" min="4" max="4"/>
    <col width="11.90625" customWidth="1" style="2" min="5" max="5"/>
    <col width="2.08984375" customWidth="1" style="2" min="6" max="36"/>
    <col width="4.05" customWidth="1" min="32" max="32"/>
    <col width="5.55" customWidth="1" min="33" max="33"/>
    <col width="1.5" customWidth="1" min="34" max="34"/>
    <col width="1.5" customWidth="1" min="35" max="35"/>
    <col hidden="1" width="13" customWidth="1" min="36" max="36"/>
    <col hidden="1" width="4" customWidth="1" style="2" min="37" max="37"/>
    <col hidden="1" width="5.54296875" customWidth="1" style="2" min="38" max="38"/>
    <col hidden="1" width="1.453125" customWidth="1" style="2" min="39" max="40"/>
    <col hidden="1" width="13" customWidth="1" min="40" max="40"/>
    <col hidden="1" width="5.81640625" customWidth="1" style="2" min="41" max="16384"/>
  </cols>
  <sheetData>
    <row r="1" ht="12" customFormat="1" customHeight="1" s="3" thickBot="1">
      <c r="A1" s="12" t="inlineStr">
        <is>
          <t>S</t>
        </is>
      </c>
      <c r="B1" s="16" t="n"/>
      <c r="C1" s="16" t="n"/>
      <c r="D1" s="16" t="n"/>
      <c r="E1" s="16" t="n"/>
      <c r="F1" s="16" t="n"/>
      <c r="G1" s="16" t="n"/>
      <c r="H1" s="16" t="n"/>
      <c r="I1" s="16" t="n"/>
      <c r="J1" s="16" t="n"/>
      <c r="K1" s="16" t="n"/>
      <c r="L1" s="16" t="n"/>
      <c r="M1" s="16" t="n"/>
      <c r="N1" s="16" t="n"/>
      <c r="O1" s="16" t="n"/>
      <c r="P1" s="16" t="n"/>
      <c r="Q1" s="16" t="n"/>
      <c r="R1" s="16" t="n"/>
      <c r="S1" s="16" t="n"/>
      <c r="T1" s="16" t="n"/>
      <c r="U1" s="16" t="n"/>
      <c r="V1" s="16" t="n"/>
      <c r="W1" s="16" t="n"/>
      <c r="X1" s="16" t="n"/>
      <c r="Y1" s="16" t="n"/>
      <c r="Z1" s="16" t="n"/>
      <c r="AA1" s="16" t="n"/>
      <c r="AB1" s="16" t="n"/>
      <c r="AC1" s="16" t="n"/>
      <c r="AD1" s="16" t="n"/>
      <c r="AE1" s="16" t="n"/>
      <c r="AF1" s="16" t="n"/>
      <c r="AG1" s="16" t="n"/>
      <c r="AH1" s="16" t="n"/>
      <c r="AI1" s="11" t="n"/>
    </row>
    <row r="2" ht="12" customFormat="1" customHeight="1" s="1">
      <c r="A2" s="15" t="n"/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  <c r="AA2" s="4" t="n"/>
      <c r="AB2" s="4" t="n"/>
      <c r="AC2" s="4" t="n"/>
      <c r="AD2" s="4" t="n"/>
      <c r="AE2" s="4" t="n"/>
      <c r="AF2" s="4" t="n"/>
      <c r="AG2" s="4" t="n"/>
      <c r="AH2" s="4" t="n"/>
      <c r="AI2" s="17" t="n"/>
    </row>
    <row r="3" ht="15" customHeight="1">
      <c r="A3" s="15" t="n"/>
      <c r="B3" s="4" t="n"/>
      <c r="C3" s="5" t="n"/>
      <c r="D3" s="42" t="inlineStr">
        <is>
          <t>Міністерство освіти і науки України</t>
        </is>
      </c>
      <c r="F3" s="5" t="n"/>
      <c r="G3" s="5" t="n"/>
      <c r="H3" s="5" t="n"/>
      <c r="I3" s="5" t="n"/>
      <c r="J3" s="5" t="n"/>
      <c r="K3" s="5" t="n"/>
      <c r="L3" s="5" t="n"/>
      <c r="M3" s="5" t="n"/>
      <c r="N3" s="5" t="n"/>
      <c r="O3" s="5" t="n"/>
      <c r="P3" s="5" t="n"/>
      <c r="Q3" s="5" t="n"/>
      <c r="R3" s="5" t="n"/>
      <c r="S3" s="5" t="n"/>
      <c r="T3" s="5" t="n"/>
      <c r="U3" s="5" t="n"/>
      <c r="V3" s="5" t="n"/>
      <c r="W3" s="5" t="n"/>
      <c r="X3" s="5" t="n"/>
      <c r="Y3" s="5" t="n"/>
      <c r="Z3" s="5" t="n"/>
      <c r="AA3" s="5" t="n"/>
      <c r="AB3" s="5" t="n"/>
      <c r="AC3" s="5" t="n"/>
      <c r="AD3" s="5" t="n"/>
      <c r="AE3" s="5" t="n"/>
      <c r="AF3" s="5" t="n"/>
      <c r="AG3" s="5" t="n"/>
      <c r="AH3" s="4" t="n"/>
      <c r="AI3" s="17" t="n"/>
    </row>
    <row r="4" ht="65.09999999999999" customHeight="1">
      <c r="A4" s="15" t="n"/>
      <c r="B4" s="4" t="n"/>
      <c r="C4" s="45" t="n"/>
      <c r="D4" s="43" t="inlineStr">
        <is>
          <t>Відокремлений структурний підрозділ "Фаховий коледж нафтогазових технологій, інженерії та інфраструктури сервісу Одеського національного технологічного університету"</t>
        </is>
      </c>
      <c r="F4" s="44" t="n"/>
      <c r="G4" s="44" t="n"/>
      <c r="H4" s="44" t="n"/>
      <c r="I4" s="44" t="n"/>
      <c r="J4" s="44" t="n"/>
      <c r="K4" s="44" t="n"/>
      <c r="L4" s="44" t="n"/>
      <c r="M4" s="44" t="n"/>
      <c r="N4" s="44" t="n"/>
      <c r="O4" s="44" t="n"/>
      <c r="P4" s="44" t="n"/>
      <c r="Q4" s="44" t="n"/>
      <c r="R4" s="44" t="n"/>
      <c r="S4" s="44" t="n"/>
      <c r="T4" s="44" t="n"/>
      <c r="U4" s="44" t="n"/>
      <c r="V4" s="44" t="n"/>
      <c r="W4" s="44" t="n"/>
      <c r="X4" s="44" t="n"/>
      <c r="Y4" s="44" t="n"/>
      <c r="Z4" s="44" t="n"/>
      <c r="AA4" s="44" t="n"/>
      <c r="AB4" s="44" t="n"/>
      <c r="AC4" s="44" t="n"/>
      <c r="AD4" s="44" t="n"/>
      <c r="AE4" s="44" t="n"/>
      <c r="AF4" s="45" t="n"/>
      <c r="AG4" s="45" t="n"/>
      <c r="AH4" s="4" t="n"/>
      <c r="AI4" s="17" t="n"/>
    </row>
    <row r="5" ht="15" customHeight="1">
      <c r="A5" s="15" t="n"/>
      <c r="B5" s="4" t="n"/>
      <c r="C5" s="44" t="inlineStr">
        <is>
          <t>ВІДОМІСТЬ ОБЛІКУ ГОДИН РОБОТИ ВИКЛАДАЧА</t>
        </is>
      </c>
      <c r="AH5" s="4" t="n"/>
      <c r="AI5" s="17" t="n"/>
    </row>
    <row r="6" ht="15" customHeight="1">
      <c r="A6" s="15" t="n"/>
      <c r="B6" s="4" t="n"/>
      <c r="C6" s="45" t="inlineStr">
        <is>
          <t xml:space="preserve"> </t>
        </is>
      </c>
      <c r="AH6" s="4" t="n"/>
      <c r="AI6" s="17" t="n"/>
    </row>
    <row r="7" ht="15" customHeight="1">
      <c r="A7" s="15" t="n"/>
      <c r="B7" s="4" t="n"/>
      <c r="C7" s="44" t="inlineStr">
        <is>
          <t>за вересень 2025 р.</t>
        </is>
      </c>
      <c r="AH7" s="4" t="n"/>
      <c r="AI7" s="17" t="n"/>
    </row>
    <row r="8" ht="15" customHeight="1">
      <c r="A8" s="15" t="n"/>
      <c r="B8" s="4" t="n"/>
      <c r="C8" s="40" t="inlineStr">
        <is>
          <t>Спеціальнiсть 1 курс І група 25-4</t>
        </is>
      </c>
      <c r="AH8" s="4" t="n"/>
      <c r="AI8" s="17" t="n"/>
    </row>
    <row r="9" ht="15" customHeight="1">
      <c r="A9" s="15" t="n"/>
      <c r="B9" s="4" t="n"/>
      <c r="C9" s="41" t="n"/>
      <c r="D9" s="57" t="n"/>
      <c r="E9" s="57" t="n"/>
      <c r="F9" s="57" t="n"/>
      <c r="G9" s="57" t="n"/>
      <c r="H9" s="57" t="n"/>
      <c r="I9" s="57" t="n"/>
      <c r="J9" s="57" t="n"/>
      <c r="K9" s="57" t="n"/>
      <c r="L9" s="57" t="n"/>
      <c r="M9" s="57" t="n"/>
      <c r="N9" s="57" t="n"/>
      <c r="O9" s="57" t="n"/>
      <c r="P9" s="57" t="n"/>
      <c r="Q9" s="57" t="n"/>
      <c r="R9" s="57" t="n"/>
      <c r="S9" s="57" t="n"/>
      <c r="T9" s="57" t="n"/>
      <c r="U9" s="57" t="n"/>
      <c r="V9" s="57" t="n"/>
      <c r="W9" s="57" t="n"/>
      <c r="X9" s="57" t="n"/>
      <c r="Y9" s="57" t="n"/>
      <c r="Z9" s="57" t="n"/>
      <c r="AA9" s="57" t="n"/>
      <c r="AB9" s="57" t="n"/>
      <c r="AC9" s="57" t="n"/>
      <c r="AD9" s="57" t="n"/>
      <c r="AE9" s="57" t="n"/>
      <c r="AF9" s="57" t="n"/>
      <c r="AG9" s="57" t="n"/>
      <c r="AH9" s="4" t="n"/>
      <c r="AI9" s="17" t="n"/>
    </row>
    <row r="10" ht="12.95" customHeight="1">
      <c r="A10" s="15" t="n"/>
      <c r="B10" s="4" t="n"/>
      <c r="C10" s="47" t="inlineStr">
        <is>
          <t>№</t>
        </is>
      </c>
      <c r="D10" s="46" t="inlineStr">
        <is>
          <t>Предмети</t>
        </is>
      </c>
      <c r="E10" s="47" t="inlineStr">
        <is>
          <t>Прізвище та ініціали викладача</t>
        </is>
      </c>
      <c r="F10" s="46" t="inlineStr">
        <is>
          <t>Числа місяця</t>
        </is>
      </c>
      <c r="G10" s="58" t="n"/>
      <c r="H10" s="58" t="n"/>
      <c r="I10" s="58" t="n"/>
      <c r="J10" s="58" t="n"/>
      <c r="K10" s="58" t="n"/>
      <c r="L10" s="58" t="n"/>
      <c r="M10" s="58" t="n"/>
      <c r="N10" s="58" t="n"/>
      <c r="O10" s="58" t="n"/>
      <c r="P10" s="58" t="n"/>
      <c r="Q10" s="58" t="n"/>
      <c r="R10" s="58" t="n"/>
      <c r="S10" s="58" t="n"/>
      <c r="T10" s="58" t="n"/>
      <c r="U10" s="58" t="n"/>
      <c r="V10" s="58" t="n"/>
      <c r="W10" s="58" t="n"/>
      <c r="X10" s="58" t="n"/>
      <c r="Y10" s="58" t="n"/>
      <c r="Z10" s="58" t="n"/>
      <c r="AA10" s="58" t="n"/>
      <c r="AB10" s="58" t="n"/>
      <c r="AC10" s="58" t="n"/>
      <c r="AD10" s="58" t="n"/>
      <c r="AE10" s="59" t="n"/>
      <c r="AF10" s="47" t="inlineStr">
        <is>
          <t>Дано годин</t>
        </is>
      </c>
      <c r="AG10" s="46" t="inlineStr">
        <is>
          <t>Примітка</t>
        </is>
      </c>
      <c r="AH10" s="4" t="n"/>
      <c r="AI10" s="17" t="n"/>
    </row>
    <row r="11" ht="12.95" customHeight="1">
      <c r="A11" s="15" t="n"/>
      <c r="B11" s="4" t="n"/>
      <c r="C11" s="60" t="n"/>
      <c r="D11" s="60" t="n"/>
      <c r="E11" s="60" t="n"/>
      <c r="F11" s="46" t="n">
        <v>1</v>
      </c>
      <c r="G11" s="46" t="n">
        <v>2</v>
      </c>
      <c r="H11" s="46" t="n">
        <v>3</v>
      </c>
      <c r="I11" s="46" t="n">
        <v>4</v>
      </c>
      <c r="J11" s="46" t="n">
        <v>5</v>
      </c>
      <c r="K11" s="46" t="n">
        <v>6</v>
      </c>
      <c r="L11" s="46" t="n">
        <v>7</v>
      </c>
      <c r="M11" s="46" t="n">
        <v>8</v>
      </c>
      <c r="N11" s="46" t="n">
        <v>9</v>
      </c>
      <c r="O11" s="46" t="n">
        <v>10</v>
      </c>
      <c r="P11" s="46" t="n">
        <v>11</v>
      </c>
      <c r="Q11" s="46" t="n">
        <v>12</v>
      </c>
      <c r="R11" s="46" t="n">
        <v>13</v>
      </c>
      <c r="S11" s="46" t="n">
        <v>14</v>
      </c>
      <c r="T11" s="46" t="n">
        <v>15</v>
      </c>
      <c r="U11" s="46" t="n">
        <v>16</v>
      </c>
      <c r="V11" s="46" t="n">
        <v>17</v>
      </c>
      <c r="W11" s="46" t="n">
        <v>18</v>
      </c>
      <c r="X11" s="46" t="n">
        <v>19</v>
      </c>
      <c r="Y11" s="46" t="n">
        <v>20</v>
      </c>
      <c r="Z11" s="46" t="n">
        <v>21</v>
      </c>
      <c r="AA11" s="46" t="n">
        <v>22</v>
      </c>
      <c r="AB11" s="46" t="n">
        <v>23</v>
      </c>
      <c r="AC11" s="46" t="n">
        <v>24</v>
      </c>
      <c r="AD11" s="46" t="n">
        <v>25</v>
      </c>
      <c r="AE11" s="46" t="n">
        <v>26</v>
      </c>
      <c r="AF11" s="60" t="n"/>
      <c r="AG11" s="60" t="n"/>
      <c r="AH11" s="4" t="n"/>
      <c r="AI11" s="17" t="n"/>
    </row>
    <row r="12" ht="12.95" customHeight="1">
      <c r="A12" s="15" t="n"/>
      <c r="B12" s="4" t="n"/>
      <c r="C12" s="47" t="n">
        <v>1</v>
      </c>
      <c r="D12" s="37" t="inlineStr">
        <is>
          <t>Астрономія</t>
        </is>
      </c>
      <c r="E12" s="37" t="inlineStr">
        <is>
          <t>Наговська Т.С.</t>
        </is>
      </c>
      <c r="F12" s="38" t="n"/>
      <c r="G12" s="38" t="n">
        <v>2</v>
      </c>
      <c r="H12" s="38" t="n"/>
      <c r="I12" s="38" t="n">
        <v>2</v>
      </c>
      <c r="J12" s="38" t="n"/>
      <c r="K12" s="61" t="n"/>
      <c r="L12" s="61" t="n"/>
      <c r="M12" s="38" t="n"/>
      <c r="N12" s="38" t="n">
        <v>2</v>
      </c>
      <c r="O12" s="38" t="n"/>
      <c r="P12" s="38" t="n">
        <v>2</v>
      </c>
      <c r="Q12" s="38" t="n"/>
      <c r="R12" s="61" t="n"/>
      <c r="S12" s="61" t="n"/>
      <c r="T12" s="38" t="n"/>
      <c r="U12" s="38" t="n">
        <v>2</v>
      </c>
      <c r="V12" s="38" t="n"/>
      <c r="W12" s="38" t="n">
        <v>2</v>
      </c>
      <c r="X12" s="38" t="n"/>
      <c r="Y12" s="61" t="n"/>
      <c r="Z12" s="61" t="n"/>
      <c r="AA12" s="38" t="n"/>
      <c r="AB12" s="38" t="n">
        <v>2</v>
      </c>
      <c r="AC12" s="38" t="n"/>
      <c r="AD12" s="38" t="n">
        <v>2</v>
      </c>
      <c r="AE12" s="38" t="n"/>
      <c r="AF12" s="46">
        <f>IF(SUM(F12:AE12)=0,"Очікую",SUM(F12:AE12))</f>
        <v/>
      </c>
      <c r="AG12" s="46" t="n"/>
      <c r="AH12" s="4" t="n"/>
      <c r="AI12" s="17" t="n"/>
    </row>
    <row r="13" ht="12.95" customHeight="1">
      <c r="A13" s="15" t="n"/>
      <c r="B13" s="4" t="n"/>
      <c r="C13" s="47" t="n">
        <v>2</v>
      </c>
      <c r="D13" s="37" t="inlineStr">
        <is>
          <t>Біологія</t>
        </is>
      </c>
      <c r="E13" s="37" t="inlineStr">
        <is>
          <t>Богданенко О.В.</t>
        </is>
      </c>
      <c r="F13" s="38" t="n"/>
      <c r="G13" s="38" t="n"/>
      <c r="H13" s="38" t="n"/>
      <c r="I13" s="38" t="n">
        <v>2</v>
      </c>
      <c r="J13" s="38" t="n"/>
      <c r="K13" s="61" t="n"/>
      <c r="L13" s="61" t="n"/>
      <c r="M13" s="38" t="n"/>
      <c r="N13" s="38" t="n"/>
      <c r="O13" s="38" t="n"/>
      <c r="P13" s="38" t="n">
        <v>2</v>
      </c>
      <c r="Q13" s="38" t="n"/>
      <c r="R13" s="61" t="n"/>
      <c r="S13" s="61" t="n"/>
      <c r="T13" s="38" t="n"/>
      <c r="U13" s="38" t="n"/>
      <c r="V13" s="38" t="n"/>
      <c r="W13" s="38" t="n">
        <v>2</v>
      </c>
      <c r="X13" s="38" t="n"/>
      <c r="Y13" s="61" t="n"/>
      <c r="Z13" s="61" t="n"/>
      <c r="AA13" s="38" t="n"/>
      <c r="AB13" s="38" t="n"/>
      <c r="AC13" s="38" t="n"/>
      <c r="AD13" s="38" t="n">
        <v>2</v>
      </c>
      <c r="AE13" s="38" t="n"/>
      <c r="AF13" s="46">
        <f>IF(SUM(F13:AE13)=0,"Очікую",SUM(F13:AE13))</f>
        <v/>
      </c>
      <c r="AG13" s="46" t="n"/>
      <c r="AH13" s="4" t="n"/>
      <c r="AI13" s="17" t="n"/>
    </row>
    <row r="14" ht="12.95" customHeight="1">
      <c r="A14" s="15" t="n"/>
      <c r="B14" s="4" t="n"/>
      <c r="C14" s="47" t="n">
        <v>3</v>
      </c>
      <c r="D14" s="37" t="inlineStr">
        <is>
          <t>Всесвітня історія</t>
        </is>
      </c>
      <c r="E14" s="37" t="inlineStr">
        <is>
          <t>Мельничук С.А.</t>
        </is>
      </c>
      <c r="F14" s="38" t="n">
        <v>2</v>
      </c>
      <c r="G14" s="38" t="n"/>
      <c r="H14" s="38" t="n"/>
      <c r="I14" s="38" t="n"/>
      <c r="J14" s="38" t="n"/>
      <c r="K14" s="61" t="n"/>
      <c r="L14" s="61" t="n"/>
      <c r="M14" s="38" t="n">
        <v>2</v>
      </c>
      <c r="N14" s="38" t="n"/>
      <c r="O14" s="38" t="n"/>
      <c r="P14" s="38" t="n"/>
      <c r="Q14" s="38" t="n"/>
      <c r="R14" s="61" t="n"/>
      <c r="S14" s="61" t="n"/>
      <c r="T14" s="38" t="n">
        <v>2</v>
      </c>
      <c r="U14" s="38" t="n"/>
      <c r="V14" s="38" t="n"/>
      <c r="W14" s="38" t="n"/>
      <c r="X14" s="38" t="n"/>
      <c r="Y14" s="61" t="n"/>
      <c r="Z14" s="61" t="n"/>
      <c r="AA14" s="38" t="n">
        <v>2</v>
      </c>
      <c r="AB14" s="38" t="n"/>
      <c r="AC14" s="38" t="n"/>
      <c r="AD14" s="38" t="n"/>
      <c r="AE14" s="38" t="n"/>
      <c r="AF14" s="46">
        <f>IF(SUM(F14:AE14)=0,"Очікую",SUM(F14:AE14))</f>
        <v/>
      </c>
      <c r="AG14" s="46" t="n"/>
      <c r="AH14" s="4" t="n"/>
      <c r="AI14" s="17" t="n"/>
    </row>
    <row r="15" ht="12.95" customHeight="1">
      <c r="A15" s="15" t="n"/>
      <c r="B15" s="4" t="n"/>
      <c r="C15" s="47" t="n">
        <v>4</v>
      </c>
      <c r="D15" s="39" t="inlineStr">
        <is>
          <t>Географія</t>
        </is>
      </c>
      <c r="E15" s="39" t="inlineStr">
        <is>
          <t>Наговська Т.С.</t>
        </is>
      </c>
      <c r="F15" s="38" t="n">
        <v>2</v>
      </c>
      <c r="G15" s="38" t="n"/>
      <c r="H15" s="38" t="n"/>
      <c r="I15" s="38" t="n">
        <v>2</v>
      </c>
      <c r="J15" s="38" t="n"/>
      <c r="K15" s="61" t="n"/>
      <c r="L15" s="61" t="n"/>
      <c r="M15" s="38" t="n">
        <v>2</v>
      </c>
      <c r="N15" s="38" t="n"/>
      <c r="O15" s="38" t="n"/>
      <c r="P15" s="38" t="n"/>
      <c r="Q15" s="38" t="n"/>
      <c r="R15" s="61" t="n"/>
      <c r="S15" s="61" t="n"/>
      <c r="T15" s="38" t="n">
        <v>2</v>
      </c>
      <c r="U15" s="38" t="n"/>
      <c r="V15" s="38" t="n"/>
      <c r="W15" s="38" t="n"/>
      <c r="X15" s="38" t="n"/>
      <c r="Y15" s="61" t="n"/>
      <c r="Z15" s="61" t="n"/>
      <c r="AA15" s="38" t="n">
        <v>2</v>
      </c>
      <c r="AB15" s="38" t="n"/>
      <c r="AC15" s="38" t="n"/>
      <c r="AD15" s="38" t="n"/>
      <c r="AE15" s="38" t="n"/>
      <c r="AF15" s="46">
        <f>IF(SUM(F15:AE15)=0,"Очікую",SUM(F15:AE15))</f>
        <v/>
      </c>
      <c r="AG15" s="46" t="n"/>
      <c r="AH15" s="4" t="n"/>
      <c r="AI15" s="17" t="n"/>
    </row>
    <row r="16" ht="12.95" customHeight="1">
      <c r="A16" s="15" t="n"/>
      <c r="B16" s="4" t="n"/>
      <c r="C16" s="47" t="n">
        <v>5</v>
      </c>
      <c r="D16" s="37" t="inlineStr">
        <is>
          <t>Зарубіжна література</t>
        </is>
      </c>
      <c r="E16" s="37" t="inlineStr">
        <is>
          <t>Бабенко Л. Е.</t>
        </is>
      </c>
      <c r="F16" s="38" t="n"/>
      <c r="G16" s="38" t="n"/>
      <c r="H16" s="38" t="n"/>
      <c r="I16" s="38" t="n"/>
      <c r="J16" s="38" t="n"/>
      <c r="K16" s="61" t="n"/>
      <c r="L16" s="61" t="n"/>
      <c r="M16" s="38" t="n"/>
      <c r="N16" s="38" t="n"/>
      <c r="O16" s="38" t="n"/>
      <c r="P16" s="38" t="n">
        <v>2</v>
      </c>
      <c r="Q16" s="38" t="n"/>
      <c r="R16" s="61" t="n"/>
      <c r="S16" s="61" t="n"/>
      <c r="T16" s="38" t="n"/>
      <c r="U16" s="38" t="n"/>
      <c r="V16" s="38" t="n"/>
      <c r="W16" s="38" t="n">
        <v>2</v>
      </c>
      <c r="X16" s="38" t="n"/>
      <c r="Y16" s="61" t="n"/>
      <c r="Z16" s="61" t="n"/>
      <c r="AA16" s="38" t="n"/>
      <c r="AB16" s="38" t="n"/>
      <c r="AC16" s="38" t="n"/>
      <c r="AD16" s="38" t="n">
        <v>2</v>
      </c>
      <c r="AE16" s="38" t="n"/>
      <c r="AF16" s="46">
        <f>IF(SUM(F16:AE16)=0,"Очікую",SUM(F16:AE16))</f>
        <v/>
      </c>
      <c r="AG16" s="46" t="n"/>
      <c r="AH16" s="4" t="n"/>
      <c r="AI16" s="17" t="n"/>
    </row>
    <row r="17" ht="12.95" customHeight="1">
      <c r="A17" s="15" t="n"/>
      <c r="B17" s="4" t="n"/>
      <c r="C17" s="47" t="n">
        <v>6</v>
      </c>
      <c r="D17" s="39" t="inlineStr">
        <is>
          <t>Захист України</t>
        </is>
      </c>
      <c r="E17" s="39" t="inlineStr">
        <is>
          <t>Лазар В.І.</t>
        </is>
      </c>
      <c r="F17" s="38" t="n"/>
      <c r="G17" s="38" t="n"/>
      <c r="H17" s="38" t="n"/>
      <c r="I17" s="38" t="n"/>
      <c r="J17" s="38" t="n">
        <v>2</v>
      </c>
      <c r="K17" s="61" t="n"/>
      <c r="L17" s="61" t="n"/>
      <c r="M17" s="38" t="n"/>
      <c r="N17" s="38" t="n"/>
      <c r="O17" s="38" t="n"/>
      <c r="P17" s="38" t="n"/>
      <c r="Q17" s="38" t="n">
        <v>2</v>
      </c>
      <c r="R17" s="61" t="n"/>
      <c r="S17" s="61" t="n"/>
      <c r="T17" s="38" t="n"/>
      <c r="U17" s="38" t="n"/>
      <c r="V17" s="38" t="n"/>
      <c r="W17" s="38" t="n"/>
      <c r="X17" s="38" t="n">
        <v>2</v>
      </c>
      <c r="Y17" s="61" t="n"/>
      <c r="Z17" s="61" t="n"/>
      <c r="AA17" s="38" t="n"/>
      <c r="AB17" s="38" t="n"/>
      <c r="AC17" s="38" t="n"/>
      <c r="AD17" s="38" t="n"/>
      <c r="AE17" s="38" t="n">
        <v>2</v>
      </c>
      <c r="AF17" s="46">
        <f>IF(SUM(F17:AE17)=0,"Очікую",SUM(F17:AE17))</f>
        <v/>
      </c>
      <c r="AG17" s="46" t="n"/>
      <c r="AH17" s="4" t="n"/>
      <c r="AI17" s="17" t="n"/>
    </row>
    <row r="18" ht="12.95" customHeight="1">
      <c r="A18" s="15" t="n"/>
      <c r="B18" s="4" t="n"/>
      <c r="C18" s="47" t="n">
        <v>7</v>
      </c>
      <c r="D18" s="37" t="inlineStr">
        <is>
          <t>Іноземна мова</t>
        </is>
      </c>
      <c r="E18" s="37" t="inlineStr">
        <is>
          <t>Нічик Н.О.</t>
        </is>
      </c>
      <c r="F18" s="38" t="n"/>
      <c r="G18" s="38" t="n"/>
      <c r="H18" s="38" t="n">
        <v>2</v>
      </c>
      <c r="I18" s="38" t="n"/>
      <c r="J18" s="38" t="n"/>
      <c r="K18" s="61" t="n"/>
      <c r="L18" s="61" t="n"/>
      <c r="M18" s="38" t="n"/>
      <c r="N18" s="38" t="n"/>
      <c r="O18" s="38" t="n">
        <v>2</v>
      </c>
      <c r="P18" s="38" t="n"/>
      <c r="Q18" s="38" t="n"/>
      <c r="R18" s="61" t="n"/>
      <c r="S18" s="61" t="n"/>
      <c r="T18" s="38" t="n"/>
      <c r="U18" s="38" t="n"/>
      <c r="V18" s="38" t="n">
        <v>2</v>
      </c>
      <c r="W18" s="38" t="n"/>
      <c r="X18" s="38" t="n"/>
      <c r="Y18" s="61" t="n"/>
      <c r="Z18" s="61" t="n"/>
      <c r="AA18" s="38" t="n"/>
      <c r="AB18" s="38" t="n"/>
      <c r="AC18" s="38" t="n">
        <v>2</v>
      </c>
      <c r="AD18" s="38" t="n"/>
      <c r="AE18" s="38" t="n"/>
      <c r="AF18" s="46">
        <f>IF(SUM(F18:AE18)=0,"Очікую",SUM(F18:AE18))</f>
        <v/>
      </c>
      <c r="AG18" s="46" t="n"/>
      <c r="AH18" s="4" t="n"/>
      <c r="AI18" s="17" t="n"/>
    </row>
    <row r="19" ht="12.95" customHeight="1">
      <c r="A19" s="15" t="n"/>
      <c r="B19" s="4" t="n"/>
      <c r="C19" s="47" t="n">
        <v>8</v>
      </c>
      <c r="D19" s="37" t="inlineStr">
        <is>
          <t>Інформатика</t>
        </is>
      </c>
      <c r="E19" s="37" t="inlineStr">
        <is>
          <t>Андрльє І.О.</t>
        </is>
      </c>
      <c r="F19" s="38" t="n"/>
      <c r="G19" s="38" t="n"/>
      <c r="H19" s="38" t="n">
        <v>2</v>
      </c>
      <c r="I19" s="38" t="n"/>
      <c r="J19" s="38" t="n"/>
      <c r="K19" s="61" t="n"/>
      <c r="L19" s="61" t="n"/>
      <c r="M19" s="38" t="n"/>
      <c r="N19" s="38" t="n"/>
      <c r="O19" s="38" t="n">
        <v>2</v>
      </c>
      <c r="P19" s="38" t="n"/>
      <c r="Q19" s="38" t="n"/>
      <c r="R19" s="61" t="n"/>
      <c r="S19" s="61" t="n"/>
      <c r="T19" s="38" t="n"/>
      <c r="U19" s="38" t="n"/>
      <c r="V19" s="38" t="n">
        <v>2</v>
      </c>
      <c r="W19" s="38" t="n"/>
      <c r="X19" s="38" t="n"/>
      <c r="Y19" s="61" t="n"/>
      <c r="Z19" s="61" t="n"/>
      <c r="AA19" s="38" t="n"/>
      <c r="AB19" s="38" t="n"/>
      <c r="AC19" s="38" t="n">
        <v>2</v>
      </c>
      <c r="AD19" s="38" t="n"/>
      <c r="AE19" s="38" t="n"/>
      <c r="AF19" s="46">
        <f>IF(SUM(F19:AE19)=0,"Очікую",SUM(F19:AE19))</f>
        <v/>
      </c>
      <c r="AG19" s="46" t="n"/>
      <c r="AH19" s="4" t="n"/>
      <c r="AI19" s="17" t="n"/>
    </row>
    <row r="20" ht="12.95" customHeight="1">
      <c r="A20" s="15" t="n"/>
      <c r="B20" s="4" t="n"/>
      <c r="C20" s="47" t="n">
        <v>9</v>
      </c>
      <c r="D20" s="37" t="inlineStr">
        <is>
          <t>Історія України</t>
        </is>
      </c>
      <c r="E20" s="37" t="inlineStr">
        <is>
          <t>Левчук Т.Г.</t>
        </is>
      </c>
      <c r="F20" s="38" t="n"/>
      <c r="G20" s="38" t="n"/>
      <c r="H20" s="38" t="n"/>
      <c r="I20" s="38" t="n"/>
      <c r="J20" s="38" t="n">
        <v>2</v>
      </c>
      <c r="K20" s="61" t="n"/>
      <c r="L20" s="61" t="n"/>
      <c r="M20" s="38" t="n"/>
      <c r="N20" s="38" t="n"/>
      <c r="O20" s="38" t="n"/>
      <c r="P20" s="38" t="n"/>
      <c r="Q20" s="38" t="n">
        <v>2</v>
      </c>
      <c r="R20" s="61" t="n"/>
      <c r="S20" s="61" t="n"/>
      <c r="T20" s="38" t="n"/>
      <c r="U20" s="38" t="n"/>
      <c r="V20" s="38" t="n"/>
      <c r="W20" s="38" t="n"/>
      <c r="X20" s="38" t="n">
        <v>2</v>
      </c>
      <c r="Y20" s="61" t="n"/>
      <c r="Z20" s="61" t="n"/>
      <c r="AA20" s="38" t="n"/>
      <c r="AB20" s="38" t="n"/>
      <c r="AC20" s="38" t="n"/>
      <c r="AD20" s="38" t="n"/>
      <c r="AE20" s="38" t="n">
        <v>2</v>
      </c>
      <c r="AF20" s="46">
        <f>IF(SUM(F20:AE20)=0,"Очікую",SUM(F20:AE20))</f>
        <v/>
      </c>
      <c r="AG20" s="46" t="n"/>
      <c r="AH20" s="4" t="n"/>
      <c r="AI20" s="17" t="n"/>
    </row>
    <row r="21" ht="12.95" customHeight="1">
      <c r="A21" s="15" t="n"/>
      <c r="B21" s="4" t="n"/>
      <c r="C21" s="47" t="n">
        <v>10</v>
      </c>
      <c r="D21" s="37" t="inlineStr">
        <is>
          <t>Математика</t>
        </is>
      </c>
      <c r="E21" s="37" t="inlineStr">
        <is>
          <t>Земляна Т.М.</t>
        </is>
      </c>
      <c r="F21" s="38" t="n">
        <v>2</v>
      </c>
      <c r="G21" s="38" t="n">
        <v>2</v>
      </c>
      <c r="H21" s="38" t="n"/>
      <c r="I21" s="38" t="n"/>
      <c r="J21" s="38" t="n"/>
      <c r="K21" s="61" t="n"/>
      <c r="L21" s="61" t="n"/>
      <c r="M21" s="38" t="n">
        <v>2</v>
      </c>
      <c r="N21" s="38" t="n">
        <v>2</v>
      </c>
      <c r="O21" s="38" t="n"/>
      <c r="P21" s="38" t="n"/>
      <c r="Q21" s="38" t="n"/>
      <c r="R21" s="61" t="n"/>
      <c r="S21" s="61" t="n"/>
      <c r="T21" s="38" t="n">
        <v>2</v>
      </c>
      <c r="U21" s="38" t="n">
        <v>2</v>
      </c>
      <c r="V21" s="38" t="n"/>
      <c r="W21" s="38" t="n"/>
      <c r="X21" s="38" t="n"/>
      <c r="Y21" s="61" t="n"/>
      <c r="Z21" s="61" t="n"/>
      <c r="AA21" s="38" t="n">
        <v>2</v>
      </c>
      <c r="AB21" s="38" t="n">
        <v>2</v>
      </c>
      <c r="AC21" s="38" t="n"/>
      <c r="AD21" s="38" t="n"/>
      <c r="AE21" s="38" t="n"/>
      <c r="AF21" s="46">
        <f>IF(SUM(F21:AE21)=0,"Очікую",SUM(F21:AE21))</f>
        <v/>
      </c>
      <c r="AG21" s="46" t="n"/>
      <c r="AH21" s="4" t="n"/>
      <c r="AI21" s="17" t="n"/>
    </row>
    <row r="22" ht="12.95" customHeight="1">
      <c r="A22" s="15" t="n"/>
      <c r="B22" s="4" t="n"/>
      <c r="C22" s="47" t="n">
        <v>11</v>
      </c>
      <c r="D22" s="37" t="inlineStr">
        <is>
          <t>Українська література</t>
        </is>
      </c>
      <c r="E22" s="37" t="inlineStr">
        <is>
          <t>Антропова Л.І.</t>
        </is>
      </c>
      <c r="F22" s="38" t="n"/>
      <c r="G22" s="38" t="n"/>
      <c r="H22" s="38" t="n">
        <v>2</v>
      </c>
      <c r="I22" s="38" t="n"/>
      <c r="J22" s="38" t="n"/>
      <c r="K22" s="61" t="n"/>
      <c r="L22" s="61" t="n"/>
      <c r="M22" s="38" t="n"/>
      <c r="N22" s="38" t="n"/>
      <c r="O22" s="38" t="n">
        <v>2</v>
      </c>
      <c r="P22" s="38" t="n"/>
      <c r="Q22" s="38" t="n"/>
      <c r="R22" s="61" t="n"/>
      <c r="S22" s="61" t="n"/>
      <c r="T22" s="38" t="n"/>
      <c r="U22" s="38" t="n"/>
      <c r="V22" s="38" t="n">
        <v>2</v>
      </c>
      <c r="W22" s="38" t="n"/>
      <c r="X22" s="38" t="n"/>
      <c r="Y22" s="61" t="n"/>
      <c r="Z22" s="61" t="n"/>
      <c r="AA22" s="38" t="n"/>
      <c r="AB22" s="38" t="n"/>
      <c r="AC22" s="38" t="n">
        <v>2</v>
      </c>
      <c r="AD22" s="38" t="n"/>
      <c r="AE22" s="38" t="n"/>
      <c r="AF22" s="46">
        <f>IF(SUM(F22:AE22)=0,"Очікую",SUM(F22:AE22))</f>
        <v/>
      </c>
      <c r="AG22" s="46" t="n"/>
      <c r="AH22" s="4" t="n"/>
      <c r="AI22" s="17" t="n"/>
    </row>
    <row r="23" ht="12.95" customHeight="1">
      <c r="A23" s="15" t="n"/>
      <c r="B23" s="4" t="n"/>
      <c r="C23" s="47" t="n">
        <v>12</v>
      </c>
      <c r="D23" s="37" t="inlineStr">
        <is>
          <t>Українська мова</t>
        </is>
      </c>
      <c r="E23" s="37" t="inlineStr">
        <is>
          <t>Антропова Л.І.</t>
        </is>
      </c>
      <c r="F23" s="38" t="n"/>
      <c r="G23" s="38" t="n"/>
      <c r="H23" s="38" t="n"/>
      <c r="I23" s="38" t="n">
        <v>2</v>
      </c>
      <c r="J23" s="38" t="n"/>
      <c r="K23" s="61" t="n"/>
      <c r="L23" s="61" t="n"/>
      <c r="M23" s="38" t="n"/>
      <c r="N23" s="38" t="n"/>
      <c r="O23" s="38" t="n"/>
      <c r="P23" s="38" t="n">
        <v>2</v>
      </c>
      <c r="Q23" s="38" t="n"/>
      <c r="R23" s="61" t="n"/>
      <c r="S23" s="61" t="n"/>
      <c r="T23" s="38" t="n"/>
      <c r="U23" s="38" t="n"/>
      <c r="V23" s="38" t="n"/>
      <c r="W23" s="38" t="n">
        <v>2</v>
      </c>
      <c r="X23" s="38" t="n"/>
      <c r="Y23" s="61" t="n"/>
      <c r="Z23" s="61" t="n"/>
      <c r="AA23" s="38" t="n"/>
      <c r="AB23" s="38" t="n"/>
      <c r="AC23" s="38" t="n"/>
      <c r="AD23" s="38" t="n">
        <v>2</v>
      </c>
      <c r="AE23" s="38" t="n"/>
      <c r="AF23" s="46">
        <f>IF(SUM(F23:AE23)=0,"Очікую",SUM(F23:AE23))</f>
        <v/>
      </c>
      <c r="AG23" s="46" t="n"/>
      <c r="AH23" s="4" t="n"/>
      <c r="AI23" s="17" t="n"/>
    </row>
    <row r="24" ht="12.95" customHeight="1">
      <c r="A24" s="15" t="n"/>
      <c r="B24" s="4" t="n"/>
      <c r="C24" s="47" t="n">
        <v>13</v>
      </c>
      <c r="D24" s="37" t="inlineStr">
        <is>
          <t>Фізика</t>
        </is>
      </c>
      <c r="E24" s="37" t="inlineStr">
        <is>
          <t>Калюта Н.М.</t>
        </is>
      </c>
      <c r="F24" s="38" t="n"/>
      <c r="G24" s="38" t="n">
        <v>2</v>
      </c>
      <c r="H24" s="38" t="n"/>
      <c r="I24" s="38" t="n">
        <v>2</v>
      </c>
      <c r="J24" s="38" t="n"/>
      <c r="K24" s="61" t="n"/>
      <c r="L24" s="61" t="n"/>
      <c r="M24" s="38" t="n"/>
      <c r="N24" s="38" t="n">
        <v>2</v>
      </c>
      <c r="O24" s="38" t="n"/>
      <c r="P24" s="38" t="n">
        <v>2</v>
      </c>
      <c r="Q24" s="38" t="n"/>
      <c r="R24" s="61" t="n"/>
      <c r="S24" s="61" t="n"/>
      <c r="T24" s="38" t="n"/>
      <c r="U24" s="38" t="n">
        <v>2</v>
      </c>
      <c r="V24" s="38" t="n"/>
      <c r="W24" s="38" t="n">
        <v>2</v>
      </c>
      <c r="X24" s="38" t="n"/>
      <c r="Y24" s="61" t="n"/>
      <c r="Z24" s="61" t="n"/>
      <c r="AA24" s="38" t="n"/>
      <c r="AB24" s="38" t="n">
        <v>2</v>
      </c>
      <c r="AC24" s="38" t="n"/>
      <c r="AD24" s="38" t="n">
        <v>2</v>
      </c>
      <c r="AE24" s="38" t="n"/>
      <c r="AF24" s="46">
        <f>IF(SUM(F24:AE24)=0,"Очікую",SUM(F24:AE24))</f>
        <v/>
      </c>
      <c r="AG24" s="46" t="n"/>
      <c r="AH24" s="4" t="n"/>
      <c r="AI24" s="17" t="n"/>
    </row>
    <row r="25" ht="12.95" customHeight="1">
      <c r="A25" s="15" t="n"/>
      <c r="B25" s="4" t="n"/>
      <c r="C25" s="47" t="n">
        <v>14</v>
      </c>
      <c r="D25" s="37" t="inlineStr">
        <is>
          <t>Фізична культура</t>
        </is>
      </c>
      <c r="E25" s="37" t="inlineStr">
        <is>
          <t>Галеніна І.С.</t>
        </is>
      </c>
      <c r="F25" s="38" t="n"/>
      <c r="G25" s="38" t="n"/>
      <c r="H25" s="38" t="n">
        <v>2</v>
      </c>
      <c r="I25" s="38" t="n"/>
      <c r="J25" s="38" t="n"/>
      <c r="K25" s="61" t="n"/>
      <c r="L25" s="61" t="n"/>
      <c r="M25" s="38" t="n"/>
      <c r="N25" s="38" t="n"/>
      <c r="O25" s="38" t="n">
        <v>2</v>
      </c>
      <c r="P25" s="38" t="n"/>
      <c r="Q25" s="38" t="n">
        <v>2</v>
      </c>
      <c r="R25" s="61" t="n"/>
      <c r="S25" s="61" t="n"/>
      <c r="T25" s="38" t="n"/>
      <c r="U25" s="38" t="n"/>
      <c r="V25" s="38" t="n">
        <v>2</v>
      </c>
      <c r="W25" s="38" t="n"/>
      <c r="X25" s="38" t="n"/>
      <c r="Y25" s="61" t="n"/>
      <c r="Z25" s="61" t="n"/>
      <c r="AA25" s="38" t="n"/>
      <c r="AB25" s="38" t="n"/>
      <c r="AC25" s="38" t="n">
        <v>2</v>
      </c>
      <c r="AD25" s="38" t="n"/>
      <c r="AE25" s="38" t="n">
        <v>2</v>
      </c>
      <c r="AF25" s="46">
        <f>IF(SUM(F25:AE25)=0,"Очікую",SUM(F25:AE25))</f>
        <v/>
      </c>
      <c r="AG25" s="46" t="n"/>
      <c r="AH25" s="4" t="n"/>
      <c r="AI25" s="17" t="n"/>
    </row>
    <row r="26" ht="12.95" customHeight="1">
      <c r="A26" s="15" t="n"/>
      <c r="B26" s="4" t="n"/>
      <c r="C26" s="47" t="n">
        <v>15</v>
      </c>
      <c r="D26" s="37" t="inlineStr">
        <is>
          <t>Хімія</t>
        </is>
      </c>
      <c r="E26" s="37" t="inlineStr">
        <is>
          <t>Пономарьов К.М.</t>
        </is>
      </c>
      <c r="F26" s="38" t="n"/>
      <c r="G26" s="38" t="n">
        <v>2</v>
      </c>
      <c r="H26" s="38" t="n"/>
      <c r="I26" s="38" t="n"/>
      <c r="J26" s="38" t="n"/>
      <c r="K26" s="61" t="n"/>
      <c r="L26" s="61" t="n"/>
      <c r="M26" s="38" t="n"/>
      <c r="N26" s="38" t="n">
        <v>2</v>
      </c>
      <c r="O26" s="38" t="n"/>
      <c r="P26" s="38" t="n"/>
      <c r="Q26" s="38" t="n"/>
      <c r="R26" s="61" t="n"/>
      <c r="S26" s="61" t="n"/>
      <c r="T26" s="38" t="n"/>
      <c r="U26" s="38" t="n">
        <v>2</v>
      </c>
      <c r="V26" s="38" t="n"/>
      <c r="W26" s="38" t="n"/>
      <c r="X26" s="38" t="n"/>
      <c r="Y26" s="61" t="n"/>
      <c r="Z26" s="61" t="n"/>
      <c r="AA26" s="38" t="n"/>
      <c r="AB26" s="38" t="n">
        <v>2</v>
      </c>
      <c r="AC26" s="38" t="n"/>
      <c r="AD26" s="38" t="n"/>
      <c r="AE26" s="38" t="n"/>
      <c r="AF26" s="46">
        <f>IF(SUM(F26:AE26)=0,"Очікую",SUM(F26:AE26))</f>
        <v/>
      </c>
      <c r="AG26" s="46" t="n"/>
      <c r="AH26" s="4" t="n"/>
      <c r="AI26" s="17" t="n"/>
    </row>
    <row r="27" ht="12.95" customHeight="1">
      <c r="A27" s="15" t="n"/>
      <c r="B27" s="4" t="n"/>
      <c r="C27" s="45" t="n"/>
      <c r="D27" s="45" t="n"/>
      <c r="E27" s="45" t="n"/>
      <c r="F27" s="46">
        <f>IF($AF27="Очікую","Оч",SUM(F12:F26))</f>
        <v/>
      </c>
      <c r="G27" s="46">
        <f>IF($AF27="Очікую","Оч",SUM(G12:G26))</f>
        <v/>
      </c>
      <c r="H27" s="46">
        <f>IF($AF27="Очікую","Оч",SUM(H12:H26))</f>
        <v/>
      </c>
      <c r="I27" s="46">
        <f>IF($AF27="Очікую","Оч",SUM(I12:I26))</f>
        <v/>
      </c>
      <c r="J27" s="46">
        <f>IF($AF27="Очікую","Оч",SUM(J12:J26))</f>
        <v/>
      </c>
      <c r="K27" s="46">
        <f>IF($AF27="Очікую","Оч",SUM(K12:K26))</f>
        <v/>
      </c>
      <c r="L27" s="46">
        <f>IF($AF27="Очікую","Оч",SUM(L12:L26))</f>
        <v/>
      </c>
      <c r="M27" s="46">
        <f>IF($AF27="Очікую","Оч",SUM(M12:M26))</f>
        <v/>
      </c>
      <c r="N27" s="46">
        <f>IF($AF27="Очікую","Оч",SUM(N12:N26))</f>
        <v/>
      </c>
      <c r="O27" s="46">
        <f>IF($AF27="Очікую","Оч",SUM(O12:O26))</f>
        <v/>
      </c>
      <c r="P27" s="46">
        <f>IF($AF27="Очікую","Оч",SUM(P12:P26))</f>
        <v/>
      </c>
      <c r="Q27" s="46">
        <f>IF($AF27="Очікую","Оч",SUM(Q12:Q26))</f>
        <v/>
      </c>
      <c r="R27" s="46">
        <f>IF($AF27="Очікую","Оч",SUM(R12:R26))</f>
        <v/>
      </c>
      <c r="S27" s="46">
        <f>IF($AF27="Очікую","Оч",SUM(S12:S26))</f>
        <v/>
      </c>
      <c r="T27" s="46">
        <f>IF($AF27="Очікую","Оч",SUM(T12:T26))</f>
        <v/>
      </c>
      <c r="U27" s="46">
        <f>IF($AF27="Очікую","Оч",SUM(U12:U26))</f>
        <v/>
      </c>
      <c r="V27" s="46">
        <f>IF($AF27="Очікую","Оч",SUM(V12:V26))</f>
        <v/>
      </c>
      <c r="W27" s="46">
        <f>IF($AF27="Очікую","Оч",SUM(W12:W26))</f>
        <v/>
      </c>
      <c r="X27" s="46">
        <f>IF($AF27="Очікую","Оч",SUM(X12:X26))</f>
        <v/>
      </c>
      <c r="Y27" s="46">
        <f>IF($AF27="Очікую","Оч",SUM(Y12:Y26))</f>
        <v/>
      </c>
      <c r="Z27" s="46">
        <f>IF($AF27="Очікую","Оч",SUM(Z12:Z26))</f>
        <v/>
      </c>
      <c r="AA27" s="46">
        <f>IF($AF27="Очікую","Оч",SUM(AA12:AA26))</f>
        <v/>
      </c>
      <c r="AB27" s="46">
        <f>IF($AF27="Очікую","Оч",SUM(AB12:AB26))</f>
        <v/>
      </c>
      <c r="AC27" s="46">
        <f>IF($AF27="Очікую","Оч",SUM(AC12:AC26))</f>
        <v/>
      </c>
      <c r="AD27" s="46">
        <f>IF($AF27="Очікую","Оч",SUM(AD12:AD26))</f>
        <v/>
      </c>
      <c r="AE27" s="46">
        <f>IF($AF27="Очікую","Оч",SUM(AE12:AE26))</f>
        <v/>
      </c>
      <c r="AF27" s="46">
        <f>IF(SUM(AF12:AF26)=0,"Очікую",SUM(AF12:AF26))</f>
        <v/>
      </c>
      <c r="AG27" s="45" t="n"/>
      <c r="AH27" s="4" t="n"/>
      <c r="AI27" s="17" t="n"/>
    </row>
    <row r="28" ht="12.95" customHeight="1">
      <c r="A28" s="15" t="n"/>
      <c r="B28" s="4" t="n"/>
      <c r="C28" s="45" t="n"/>
      <c r="D28" s="45" t="n"/>
      <c r="E28" s="45" t="n"/>
      <c r="F28" s="45" t="n"/>
      <c r="G28" s="45" t="n"/>
      <c r="H28" s="45" t="n"/>
      <c r="I28" s="45" t="n"/>
      <c r="J28" s="45" t="n"/>
      <c r="K28" s="45" t="n"/>
      <c r="L28" s="45" t="n"/>
      <c r="M28" s="45" t="n"/>
      <c r="N28" s="45" t="n"/>
      <c r="O28" s="45" t="n"/>
      <c r="P28" s="45" t="n"/>
      <c r="Q28" s="45" t="n"/>
      <c r="R28" s="45" t="n"/>
      <c r="S28" s="45" t="n"/>
      <c r="T28" s="45" t="n"/>
      <c r="U28" s="45" t="n"/>
      <c r="V28" s="45" t="n"/>
      <c r="W28" s="45" t="n"/>
      <c r="X28" s="45" t="n"/>
      <c r="Y28" s="45" t="n"/>
      <c r="Z28" s="45" t="n"/>
      <c r="AA28" s="45" t="n"/>
      <c r="AB28" s="45" t="n"/>
      <c r="AC28" s="45" t="n"/>
      <c r="AD28" s="45" t="n"/>
      <c r="AE28" s="45" t="n"/>
      <c r="AF28" s="45" t="n"/>
      <c r="AG28" s="45" t="n"/>
      <c r="AH28" s="4" t="n"/>
      <c r="AI28" s="17" t="n"/>
    </row>
    <row r="29" ht="12.95" customHeight="1">
      <c r="A29" s="15" t="n"/>
      <c r="B29" s="4" t="n"/>
      <c r="C29" s="45" t="n"/>
      <c r="D29" s="45" t="n"/>
      <c r="E29" s="45" t="n"/>
      <c r="F29" s="10" t="n"/>
      <c r="G29" s="10" t="n"/>
      <c r="H29" s="10" t="n"/>
      <c r="I29" s="10" t="n"/>
      <c r="J29" s="10" t="n"/>
      <c r="K29" s="10" t="n"/>
      <c r="L29" s="10" t="n"/>
      <c r="M29" s="10" t="n"/>
      <c r="N29" s="10" t="n"/>
      <c r="O29" s="10" t="n"/>
      <c r="P29" s="10" t="n"/>
      <c r="Q29" s="10" t="n"/>
      <c r="R29" s="10" t="n"/>
      <c r="S29" s="10" t="n"/>
      <c r="T29" s="10" t="n"/>
      <c r="U29" s="10" t="n"/>
      <c r="V29" s="10" t="n"/>
      <c r="W29" s="10" t="n"/>
      <c r="X29" s="10" t="n"/>
      <c r="Y29" s="10" t="n"/>
      <c r="Z29" s="10" t="n"/>
      <c r="AA29" s="10" t="n"/>
      <c r="AB29" s="10" t="n"/>
      <c r="AC29" s="10" t="n"/>
      <c r="AD29" s="10" t="n"/>
      <c r="AE29" s="10" t="n"/>
      <c r="AF29" s="45" t="n"/>
      <c r="AG29" s="45" t="n"/>
      <c r="AH29" s="4" t="n"/>
      <c r="AI29" s="17" t="n"/>
    </row>
    <row r="30" ht="12.95" customHeight="1">
      <c r="A30" s="15" t="n"/>
      <c r="B30" s="4" t="n"/>
      <c r="C30" s="45" t="inlineStr">
        <is>
          <t>Завідувач відділення  ПЗСО   ______________  Маргарита БРІТІКОВА</t>
        </is>
      </c>
      <c r="AH30" s="4" t="n"/>
      <c r="AI30" s="17" t="n"/>
    </row>
    <row r="31" ht="12.95" customHeight="1">
      <c r="A31" s="15" t="n"/>
      <c r="B31" s="4" t="n"/>
      <c r="C31" s="4" t="n"/>
      <c r="D31" s="4" t="n"/>
      <c r="E31" s="4" t="n"/>
      <c r="F31" s="4" t="n"/>
      <c r="G31" s="4" t="n"/>
      <c r="H31" s="4" t="n"/>
      <c r="I31" s="4" t="n"/>
      <c r="J31" s="4" t="n"/>
      <c r="K31" s="4" t="n"/>
      <c r="L31" s="4" t="n"/>
      <c r="M31" s="4" t="n"/>
      <c r="N31" s="4" t="n"/>
      <c r="O31" s="4" t="n"/>
      <c r="P31" s="4" t="n"/>
      <c r="Q31" s="4" t="n"/>
      <c r="R31" s="4" t="n"/>
      <c r="S31" s="4" t="n"/>
      <c r="T31" s="4" t="n"/>
      <c r="U31" s="4" t="n"/>
      <c r="V31" s="4" t="n"/>
      <c r="W31" s="4" t="n"/>
      <c r="X31" s="4" t="n"/>
      <c r="Y31" s="4" t="n"/>
      <c r="Z31" s="4" t="n"/>
      <c r="AA31" s="4" t="n"/>
      <c r="AB31" s="4" t="n"/>
      <c r="AC31" s="4" t="n"/>
      <c r="AD31" s="4" t="n"/>
      <c r="AE31" s="4" t="n"/>
      <c r="AF31" s="4" t="n"/>
      <c r="AG31" s="4" t="n"/>
      <c r="AH31" s="4" t="n"/>
      <c r="AI31" s="17" t="n"/>
    </row>
    <row r="32" ht="12.95" customHeight="1">
      <c r="A32" s="13" t="n"/>
      <c r="B32" s="14" t="n"/>
      <c r="C32" s="14" t="n"/>
      <c r="D32" s="14" t="n"/>
      <c r="E32" s="14" t="n"/>
      <c r="F32" s="14" t="n"/>
      <c r="G32" s="14" t="n"/>
      <c r="H32" s="14" t="n"/>
      <c r="I32" s="14" t="n"/>
      <c r="J32" s="14" t="n"/>
      <c r="K32" s="14" t="n"/>
      <c r="L32" s="14" t="n"/>
      <c r="M32" s="14" t="n"/>
      <c r="N32" s="14" t="n"/>
      <c r="O32" s="14" t="n"/>
      <c r="P32" s="14" t="n"/>
      <c r="Q32" s="14" t="n"/>
      <c r="R32" s="14" t="n"/>
      <c r="S32" s="14" t="n"/>
      <c r="T32" s="14" t="n"/>
      <c r="U32" s="14" t="n"/>
      <c r="V32" s="14" t="n"/>
      <c r="W32" s="14" t="n"/>
      <c r="X32" s="14" t="n"/>
      <c r="Y32" s="14" t="n"/>
      <c r="Z32" s="14" t="n"/>
      <c r="AA32" s="14" t="n"/>
      <c r="AB32" s="14" t="n"/>
      <c r="AC32" s="14" t="n"/>
      <c r="AD32" s="14" t="n"/>
      <c r="AE32" s="14" t="n"/>
      <c r="AF32" s="14" t="n"/>
      <c r="AG32" s="14" t="n"/>
      <c r="AH32" s="14" t="n"/>
      <c r="AI32" s="13" t="n"/>
    </row>
    <row r="33" hidden="1" ht="12.95" customHeight="1"/>
    <row r="34" hidden="1" ht="12.95" customHeight="1"/>
    <row r="35" hidden="1" ht="12.95" customHeight="1"/>
    <row r="36" hidden="1" ht="12.95" customHeight="1"/>
    <row r="37" hidden="1" ht="12.95" customHeight="1"/>
    <row r="38" hidden="1" ht="12.95" customHeight="1"/>
    <row r="39" hidden="1" ht="12.95" customHeight="1"/>
    <row r="40" hidden="1" ht="12.95" customHeight="1"/>
    <row r="41" hidden="1" ht="12.95" customHeight="1"/>
    <row r="42" hidden="1" ht="12.95" customHeight="1"/>
    <row r="43" hidden="1" ht="12.95" customHeight="1"/>
    <row r="44" hidden="1" ht="12.95" customHeight="1"/>
    <row r="45" hidden="1" ht="12.95" customHeight="1"/>
    <row r="46" hidden="1" ht="12.95" customHeight="1" thickBot="1"/>
    <row r="47" hidden="1" ht="12" customHeight="1"/>
  </sheetData>
  <mergeCells count="14">
    <mergeCell ref="C30:AG30"/>
    <mergeCell ref="C6:AG6"/>
    <mergeCell ref="AF10:AF11"/>
    <mergeCell ref="C5:AG5"/>
    <mergeCell ref="D4:E4"/>
    <mergeCell ref="C8:AG8"/>
    <mergeCell ref="C10:C11"/>
    <mergeCell ref="E10:E11"/>
    <mergeCell ref="F10:AE10"/>
    <mergeCell ref="D3:E3"/>
    <mergeCell ref="C7:AG7"/>
    <mergeCell ref="D10:D11"/>
    <mergeCell ref="C9:AG9"/>
    <mergeCell ref="AG10:AG11"/>
  </mergeCells>
  <printOptions horizontalCentered="1"/>
  <pageMargins left="0.1968503937007874" right="0.1968503937007874" top="0.1968503937007874" bottom="0.1968503937007874" header="0" footer="0"/>
  <pageSetup orientation="landscape" paperSize="9"/>
</worksheet>
</file>

<file path=xl/worksheets/sheet5.xml><?xml version="1.0" encoding="utf-8"?>
<worksheet xmlns="http://schemas.openxmlformats.org/spreadsheetml/2006/main">
  <sheetPr>
    <tabColor rgb="FF0070C0"/>
    <outlinePr summaryBelow="1" summaryRight="1"/>
    <pageSetUpPr fitToPage="1"/>
  </sheetPr>
  <dimension ref="A1:AI32"/>
  <sheetViews>
    <sheetView zoomScaleNormal="100" workbookViewId="0">
      <selection activeCell="A1" sqref="A1"/>
    </sheetView>
  </sheetViews>
  <sheetFormatPr baseColWidth="8" defaultColWidth="0" defaultRowHeight="12" customHeight="1" zeroHeight="1"/>
  <cols>
    <col width="1.453125" customWidth="1" style="2" min="1" max="2"/>
    <col width="2.36328125" customWidth="1" style="2" min="3" max="3"/>
    <col width="12.54296875" customWidth="1" style="2" min="4" max="4"/>
    <col width="11.90625" customWidth="1" style="2" min="5" max="5"/>
    <col width="2.08984375" customWidth="1" style="2" min="6" max="36"/>
    <col width="4.05" customWidth="1" min="32" max="32"/>
    <col width="5.55" customWidth="1" min="33" max="33"/>
    <col width="1.5" customWidth="1" min="34" max="34"/>
    <col width="1.5" customWidth="1" min="35" max="35"/>
    <col hidden="1" width="13" customWidth="1" min="36" max="36"/>
    <col hidden="1" width="4" customWidth="1" style="2" min="37" max="37"/>
    <col hidden="1" width="5.54296875" customWidth="1" style="2" min="38" max="38"/>
    <col hidden="1" width="1.453125" customWidth="1" style="2" min="39" max="40"/>
    <col hidden="1" width="13" customWidth="1" min="40" max="40"/>
    <col hidden="1" width="5.81640625" customWidth="1" style="2" min="41" max="16384"/>
  </cols>
  <sheetData>
    <row r="1" ht="12" customFormat="1" customHeight="1" s="3" thickBot="1">
      <c r="A1" s="12" t="inlineStr">
        <is>
          <t>S</t>
        </is>
      </c>
      <c r="B1" s="16" t="n"/>
      <c r="C1" s="16" t="n"/>
      <c r="D1" s="16" t="n"/>
      <c r="E1" s="16" t="n"/>
      <c r="F1" s="16" t="n"/>
      <c r="G1" s="16" t="n"/>
      <c r="H1" s="16" t="n"/>
      <c r="I1" s="16" t="n"/>
      <c r="J1" s="16" t="n"/>
      <c r="K1" s="16" t="n"/>
      <c r="L1" s="16" t="n"/>
      <c r="M1" s="16" t="n"/>
      <c r="N1" s="16" t="n"/>
      <c r="O1" s="16" t="n"/>
      <c r="P1" s="16" t="n"/>
      <c r="Q1" s="16" t="n"/>
      <c r="R1" s="16" t="n"/>
      <c r="S1" s="16" t="n"/>
      <c r="T1" s="16" t="n"/>
      <c r="U1" s="16" t="n"/>
      <c r="V1" s="16" t="n"/>
      <c r="W1" s="16" t="n"/>
      <c r="X1" s="16" t="n"/>
      <c r="Y1" s="16" t="n"/>
      <c r="Z1" s="16" t="n"/>
      <c r="AA1" s="16" t="n"/>
      <c r="AB1" s="16" t="n"/>
      <c r="AC1" s="16" t="n"/>
      <c r="AD1" s="16" t="n"/>
      <c r="AE1" s="16" t="n"/>
      <c r="AF1" s="16" t="n"/>
      <c r="AG1" s="16" t="n"/>
      <c r="AH1" s="16" t="n"/>
      <c r="AI1" s="11" t="n"/>
    </row>
    <row r="2" ht="12" customFormat="1" customHeight="1" s="1">
      <c r="A2" s="15" t="n"/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  <c r="AA2" s="4" t="n"/>
      <c r="AB2" s="4" t="n"/>
      <c r="AC2" s="4" t="n"/>
      <c r="AD2" s="4" t="n"/>
      <c r="AE2" s="4" t="n"/>
      <c r="AF2" s="4" t="n"/>
      <c r="AG2" s="4" t="n"/>
      <c r="AH2" s="4" t="n"/>
      <c r="AI2" s="17" t="n"/>
    </row>
    <row r="3" ht="15" customHeight="1">
      <c r="A3" s="15" t="n"/>
      <c r="B3" s="4" t="n"/>
      <c r="C3" s="5" t="n"/>
      <c r="D3" s="42" t="inlineStr">
        <is>
          <t>Міністерство освіти і науки України</t>
        </is>
      </c>
      <c r="F3" s="5" t="n"/>
      <c r="G3" s="5" t="n"/>
      <c r="H3" s="5" t="n"/>
      <c r="I3" s="5" t="n"/>
      <c r="J3" s="5" t="n"/>
      <c r="K3" s="5" t="n"/>
      <c r="L3" s="5" t="n"/>
      <c r="M3" s="5" t="n"/>
      <c r="N3" s="5" t="n"/>
      <c r="O3" s="5" t="n"/>
      <c r="P3" s="5" t="n"/>
      <c r="Q3" s="5" t="n"/>
      <c r="R3" s="5" t="n"/>
      <c r="S3" s="5" t="n"/>
      <c r="T3" s="5" t="n"/>
      <c r="U3" s="5" t="n"/>
      <c r="V3" s="5" t="n"/>
      <c r="W3" s="5" t="n"/>
      <c r="X3" s="5" t="n"/>
      <c r="Y3" s="5" t="n"/>
      <c r="Z3" s="5" t="n"/>
      <c r="AA3" s="5" t="n"/>
      <c r="AB3" s="5" t="n"/>
      <c r="AC3" s="5" t="n"/>
      <c r="AD3" s="5" t="n"/>
      <c r="AE3" s="5" t="n"/>
      <c r="AF3" s="5" t="n"/>
      <c r="AG3" s="5" t="n"/>
      <c r="AH3" s="4" t="n"/>
      <c r="AI3" s="17" t="n"/>
    </row>
    <row r="4" ht="65.09999999999999" customHeight="1">
      <c r="A4" s="15" t="n"/>
      <c r="B4" s="4" t="n"/>
      <c r="C4" s="45" t="n"/>
      <c r="D4" s="43" t="inlineStr">
        <is>
          <t>Відокремлений структурний підрозділ "Фаховий коледж нафтогазових технологій, інженерії та інфраструктури сервісу Одеського національного технологічного університету"</t>
        </is>
      </c>
      <c r="F4" s="44" t="n"/>
      <c r="G4" s="44" t="n"/>
      <c r="H4" s="44" t="n"/>
      <c r="I4" s="44" t="n"/>
      <c r="J4" s="44" t="n"/>
      <c r="K4" s="44" t="n"/>
      <c r="L4" s="44" t="n"/>
      <c r="M4" s="44" t="n"/>
      <c r="N4" s="44" t="n"/>
      <c r="O4" s="44" t="n"/>
      <c r="P4" s="44" t="n"/>
      <c r="Q4" s="44" t="n"/>
      <c r="R4" s="44" t="n"/>
      <c r="S4" s="44" t="n"/>
      <c r="T4" s="44" t="n"/>
      <c r="U4" s="44" t="n"/>
      <c r="V4" s="44" t="n"/>
      <c r="W4" s="44" t="n"/>
      <c r="X4" s="44" t="n"/>
      <c r="Y4" s="44" t="n"/>
      <c r="Z4" s="44" t="n"/>
      <c r="AA4" s="44" t="n"/>
      <c r="AB4" s="44" t="n"/>
      <c r="AC4" s="44" t="n"/>
      <c r="AD4" s="44" t="n"/>
      <c r="AE4" s="44" t="n"/>
      <c r="AF4" s="45" t="n"/>
      <c r="AG4" s="45" t="n"/>
      <c r="AH4" s="4" t="n"/>
      <c r="AI4" s="17" t="n"/>
    </row>
    <row r="5" ht="15" customHeight="1">
      <c r="A5" s="15" t="n"/>
      <c r="B5" s="4" t="n"/>
      <c r="C5" s="44" t="inlineStr">
        <is>
          <t>ВІДОМІСТЬ ОБЛІКУ ГОДИН РОБОТИ ВИКЛАДАЧА</t>
        </is>
      </c>
      <c r="AH5" s="4" t="n"/>
      <c r="AI5" s="17" t="n"/>
    </row>
    <row r="6" ht="15" customHeight="1">
      <c r="A6" s="15" t="n"/>
      <c r="B6" s="4" t="n"/>
      <c r="C6" s="45" t="inlineStr">
        <is>
          <t xml:space="preserve"> </t>
        </is>
      </c>
      <c r="AH6" s="4" t="n"/>
      <c r="AI6" s="17" t="n"/>
    </row>
    <row r="7" ht="15" customHeight="1">
      <c r="A7" s="15" t="n"/>
      <c r="B7" s="4" t="n"/>
      <c r="C7" s="44" t="inlineStr">
        <is>
          <t>за вересень 2025 р.</t>
        </is>
      </c>
      <c r="AH7" s="4" t="n"/>
      <c r="AI7" s="17" t="n"/>
    </row>
    <row r="8" ht="15" customHeight="1">
      <c r="A8" s="15" t="n"/>
      <c r="B8" s="4" t="n"/>
      <c r="C8" s="40" t="inlineStr">
        <is>
          <t>Спеціальнiсть 1 курс І група 25-5</t>
        </is>
      </c>
      <c r="AH8" s="4" t="n"/>
      <c r="AI8" s="17" t="n"/>
    </row>
    <row r="9" ht="15" customHeight="1">
      <c r="A9" s="15" t="n"/>
      <c r="B9" s="4" t="n"/>
      <c r="C9" s="41" t="n"/>
      <c r="D9" s="57" t="n"/>
      <c r="E9" s="57" t="n"/>
      <c r="F9" s="57" t="n"/>
      <c r="G9" s="57" t="n"/>
      <c r="H9" s="57" t="n"/>
      <c r="I9" s="57" t="n"/>
      <c r="J9" s="57" t="n"/>
      <c r="K9" s="57" t="n"/>
      <c r="L9" s="57" t="n"/>
      <c r="M9" s="57" t="n"/>
      <c r="N9" s="57" t="n"/>
      <c r="O9" s="57" t="n"/>
      <c r="P9" s="57" t="n"/>
      <c r="Q9" s="57" t="n"/>
      <c r="R9" s="57" t="n"/>
      <c r="S9" s="57" t="n"/>
      <c r="T9" s="57" t="n"/>
      <c r="U9" s="57" t="n"/>
      <c r="V9" s="57" t="n"/>
      <c r="W9" s="57" t="n"/>
      <c r="X9" s="57" t="n"/>
      <c r="Y9" s="57" t="n"/>
      <c r="Z9" s="57" t="n"/>
      <c r="AA9" s="57" t="n"/>
      <c r="AB9" s="57" t="n"/>
      <c r="AC9" s="57" t="n"/>
      <c r="AD9" s="57" t="n"/>
      <c r="AE9" s="57" t="n"/>
      <c r="AF9" s="57" t="n"/>
      <c r="AG9" s="57" t="n"/>
      <c r="AH9" s="4" t="n"/>
      <c r="AI9" s="17" t="n"/>
    </row>
    <row r="10" ht="12.95" customHeight="1">
      <c r="A10" s="15" t="n"/>
      <c r="B10" s="4" t="n"/>
      <c r="C10" s="47" t="inlineStr">
        <is>
          <t>№</t>
        </is>
      </c>
      <c r="D10" s="46" t="inlineStr">
        <is>
          <t>Предмети</t>
        </is>
      </c>
      <c r="E10" s="47" t="inlineStr">
        <is>
          <t>Прізвище та ініціали викладача</t>
        </is>
      </c>
      <c r="F10" s="46" t="inlineStr">
        <is>
          <t>Числа місяця</t>
        </is>
      </c>
      <c r="G10" s="58" t="n"/>
      <c r="H10" s="58" t="n"/>
      <c r="I10" s="58" t="n"/>
      <c r="J10" s="58" t="n"/>
      <c r="K10" s="58" t="n"/>
      <c r="L10" s="58" t="n"/>
      <c r="M10" s="58" t="n"/>
      <c r="N10" s="58" t="n"/>
      <c r="O10" s="58" t="n"/>
      <c r="P10" s="58" t="n"/>
      <c r="Q10" s="58" t="n"/>
      <c r="R10" s="58" t="n"/>
      <c r="S10" s="58" t="n"/>
      <c r="T10" s="58" t="n"/>
      <c r="U10" s="58" t="n"/>
      <c r="V10" s="58" t="n"/>
      <c r="W10" s="58" t="n"/>
      <c r="X10" s="58" t="n"/>
      <c r="Y10" s="58" t="n"/>
      <c r="Z10" s="58" t="n"/>
      <c r="AA10" s="58" t="n"/>
      <c r="AB10" s="58" t="n"/>
      <c r="AC10" s="58" t="n"/>
      <c r="AD10" s="58" t="n"/>
      <c r="AE10" s="59" t="n"/>
      <c r="AF10" s="47" t="inlineStr">
        <is>
          <t>Дано годин</t>
        </is>
      </c>
      <c r="AG10" s="46" t="inlineStr">
        <is>
          <t>Примітка</t>
        </is>
      </c>
      <c r="AH10" s="4" t="n"/>
      <c r="AI10" s="17" t="n"/>
    </row>
    <row r="11" ht="12.95" customHeight="1">
      <c r="A11" s="15" t="n"/>
      <c r="B11" s="4" t="n"/>
      <c r="C11" s="60" t="n"/>
      <c r="D11" s="60" t="n"/>
      <c r="E11" s="60" t="n"/>
      <c r="F11" s="46" t="n">
        <v>1</v>
      </c>
      <c r="G11" s="46" t="n">
        <v>2</v>
      </c>
      <c r="H11" s="46" t="n">
        <v>3</v>
      </c>
      <c r="I11" s="46" t="n">
        <v>4</v>
      </c>
      <c r="J11" s="46" t="n">
        <v>5</v>
      </c>
      <c r="K11" s="46" t="n">
        <v>6</v>
      </c>
      <c r="L11" s="46" t="n">
        <v>7</v>
      </c>
      <c r="M11" s="46" t="n">
        <v>8</v>
      </c>
      <c r="N11" s="46" t="n">
        <v>9</v>
      </c>
      <c r="O11" s="46" t="n">
        <v>10</v>
      </c>
      <c r="P11" s="46" t="n">
        <v>11</v>
      </c>
      <c r="Q11" s="46" t="n">
        <v>12</v>
      </c>
      <c r="R11" s="46" t="n">
        <v>13</v>
      </c>
      <c r="S11" s="46" t="n">
        <v>14</v>
      </c>
      <c r="T11" s="46" t="n">
        <v>15</v>
      </c>
      <c r="U11" s="46" t="n">
        <v>16</v>
      </c>
      <c r="V11" s="46" t="n">
        <v>17</v>
      </c>
      <c r="W11" s="46" t="n">
        <v>18</v>
      </c>
      <c r="X11" s="46" t="n">
        <v>19</v>
      </c>
      <c r="Y11" s="46" t="n">
        <v>20</v>
      </c>
      <c r="Z11" s="46" t="n">
        <v>21</v>
      </c>
      <c r="AA11" s="46" t="n">
        <v>22</v>
      </c>
      <c r="AB11" s="46" t="n">
        <v>23</v>
      </c>
      <c r="AC11" s="46" t="n">
        <v>24</v>
      </c>
      <c r="AD11" s="46" t="n">
        <v>25</v>
      </c>
      <c r="AE11" s="46" t="n">
        <v>26</v>
      </c>
      <c r="AF11" s="60" t="n"/>
      <c r="AG11" s="60" t="n"/>
      <c r="AH11" s="4" t="n"/>
      <c r="AI11" s="17" t="n"/>
    </row>
    <row r="12" ht="12.95" customHeight="1">
      <c r="A12" s="15" t="n"/>
      <c r="B12" s="4" t="n"/>
      <c r="C12" s="47" t="n">
        <v>1</v>
      </c>
      <c r="D12" s="37" t="inlineStr">
        <is>
          <t>Астрономія</t>
        </is>
      </c>
      <c r="E12" s="37" t="inlineStr">
        <is>
          <t>Наговська Т.С.</t>
        </is>
      </c>
      <c r="F12" s="38" t="n"/>
      <c r="G12" s="38" t="n"/>
      <c r="H12" s="38" t="n">
        <v>2</v>
      </c>
      <c r="I12" s="38" t="n"/>
      <c r="J12" s="38" t="n">
        <v>2</v>
      </c>
      <c r="K12" s="61" t="n"/>
      <c r="L12" s="61" t="n"/>
      <c r="M12" s="38" t="n"/>
      <c r="N12" s="38" t="n"/>
      <c r="O12" s="38" t="n">
        <v>2</v>
      </c>
      <c r="P12" s="38" t="n"/>
      <c r="Q12" s="38" t="n">
        <v>2</v>
      </c>
      <c r="R12" s="61" t="n"/>
      <c r="S12" s="61" t="n"/>
      <c r="T12" s="38" t="n"/>
      <c r="U12" s="38" t="n"/>
      <c r="V12" s="38" t="n">
        <v>2</v>
      </c>
      <c r="W12" s="38" t="n"/>
      <c r="X12" s="38" t="n">
        <v>2</v>
      </c>
      <c r="Y12" s="61" t="n"/>
      <c r="Z12" s="61" t="n"/>
      <c r="AA12" s="38" t="n"/>
      <c r="AB12" s="38" t="n"/>
      <c r="AC12" s="38" t="n">
        <v>2</v>
      </c>
      <c r="AD12" s="38" t="n"/>
      <c r="AE12" s="38" t="n">
        <v>2</v>
      </c>
      <c r="AF12" s="46">
        <f>IF(SUM(F12:AE12)=0,"Очікую",SUM(F12:AE12))</f>
        <v/>
      </c>
      <c r="AG12" s="46" t="n"/>
      <c r="AH12" s="4" t="n"/>
      <c r="AI12" s="17" t="n"/>
    </row>
    <row r="13" ht="12.95" customHeight="1">
      <c r="A13" s="15" t="n"/>
      <c r="B13" s="4" t="n"/>
      <c r="C13" s="47" t="n">
        <v>2</v>
      </c>
      <c r="D13" s="37" t="inlineStr">
        <is>
          <t>Біологія</t>
        </is>
      </c>
      <c r="E13" s="37" t="inlineStr">
        <is>
          <t>Богданенко О.В.</t>
        </is>
      </c>
      <c r="F13" s="38" t="n"/>
      <c r="G13" s="38" t="n"/>
      <c r="H13" s="38" t="n"/>
      <c r="I13" s="38" t="n">
        <v>2</v>
      </c>
      <c r="J13" s="38" t="n"/>
      <c r="K13" s="61" t="n"/>
      <c r="L13" s="61" t="n"/>
      <c r="M13" s="38" t="n"/>
      <c r="N13" s="38" t="n"/>
      <c r="O13" s="38" t="n"/>
      <c r="P13" s="38" t="n">
        <v>2</v>
      </c>
      <c r="Q13" s="38" t="n"/>
      <c r="R13" s="61" t="n"/>
      <c r="S13" s="61" t="n"/>
      <c r="T13" s="38" t="n"/>
      <c r="U13" s="38" t="n"/>
      <c r="V13" s="38" t="n"/>
      <c r="W13" s="38" t="n">
        <v>2</v>
      </c>
      <c r="X13" s="38" t="n"/>
      <c r="Y13" s="61" t="n"/>
      <c r="Z13" s="61" t="n"/>
      <c r="AA13" s="38" t="n"/>
      <c r="AB13" s="38" t="n"/>
      <c r="AC13" s="38" t="n"/>
      <c r="AD13" s="38" t="n">
        <v>2</v>
      </c>
      <c r="AE13" s="38" t="n"/>
      <c r="AF13" s="46">
        <f>IF(SUM(F13:AE13)=0,"Очікую",SUM(F13:AE13))</f>
        <v/>
      </c>
      <c r="AG13" s="46" t="n"/>
      <c r="AH13" s="4" t="n"/>
      <c r="AI13" s="17" t="n"/>
    </row>
    <row r="14" ht="12.95" customHeight="1">
      <c r="A14" s="15" t="n"/>
      <c r="B14" s="4" t="n"/>
      <c r="C14" s="47" t="n">
        <v>3</v>
      </c>
      <c r="D14" s="37" t="inlineStr">
        <is>
          <t>Всесвітня історія</t>
        </is>
      </c>
      <c r="E14" s="37" t="inlineStr">
        <is>
          <t>Мельничук С.А.</t>
        </is>
      </c>
      <c r="F14" s="38" t="n"/>
      <c r="G14" s="38" t="n"/>
      <c r="H14" s="38" t="n">
        <v>2</v>
      </c>
      <c r="I14" s="38" t="n"/>
      <c r="J14" s="38" t="n"/>
      <c r="K14" s="61" t="n"/>
      <c r="L14" s="61" t="n"/>
      <c r="M14" s="38" t="n"/>
      <c r="N14" s="38" t="n"/>
      <c r="O14" s="38" t="n">
        <v>2</v>
      </c>
      <c r="P14" s="38" t="n"/>
      <c r="Q14" s="38" t="n"/>
      <c r="R14" s="61" t="n"/>
      <c r="S14" s="61" t="n"/>
      <c r="T14" s="38" t="n"/>
      <c r="U14" s="38" t="n"/>
      <c r="V14" s="38" t="n">
        <v>2</v>
      </c>
      <c r="W14" s="38" t="n"/>
      <c r="X14" s="38" t="n"/>
      <c r="Y14" s="61" t="n"/>
      <c r="Z14" s="61" t="n"/>
      <c r="AA14" s="38" t="n"/>
      <c r="AB14" s="38" t="n"/>
      <c r="AC14" s="38" t="n">
        <v>2</v>
      </c>
      <c r="AD14" s="38" t="n"/>
      <c r="AE14" s="38" t="n"/>
      <c r="AF14" s="46">
        <f>IF(SUM(F14:AE14)=0,"Очікую",SUM(F14:AE14))</f>
        <v/>
      </c>
      <c r="AG14" s="46" t="n"/>
      <c r="AH14" s="4" t="n"/>
      <c r="AI14" s="17" t="n"/>
    </row>
    <row r="15" ht="12.95" customHeight="1">
      <c r="A15" s="15" t="n"/>
      <c r="B15" s="4" t="n"/>
      <c r="C15" s="47" t="n">
        <v>4</v>
      </c>
      <c r="D15" s="39" t="inlineStr">
        <is>
          <t>Географія</t>
        </is>
      </c>
      <c r="E15" s="39" t="inlineStr">
        <is>
          <t>Наговська Т.С.</t>
        </is>
      </c>
      <c r="F15" s="38" t="n">
        <v>2</v>
      </c>
      <c r="G15" s="38" t="n"/>
      <c r="H15" s="38" t="n"/>
      <c r="I15" s="38" t="n">
        <v>2</v>
      </c>
      <c r="J15" s="38" t="n"/>
      <c r="K15" s="61" t="n"/>
      <c r="L15" s="61" t="n"/>
      <c r="M15" s="38" t="n">
        <v>2</v>
      </c>
      <c r="N15" s="38" t="n"/>
      <c r="O15" s="38" t="n"/>
      <c r="P15" s="38" t="n"/>
      <c r="Q15" s="38" t="n"/>
      <c r="R15" s="61" t="n"/>
      <c r="S15" s="61" t="n"/>
      <c r="T15" s="38" t="n">
        <v>2</v>
      </c>
      <c r="U15" s="38" t="n"/>
      <c r="V15" s="38" t="n"/>
      <c r="W15" s="38" t="n"/>
      <c r="X15" s="38" t="n"/>
      <c r="Y15" s="61" t="n"/>
      <c r="Z15" s="61" t="n"/>
      <c r="AA15" s="38" t="n">
        <v>2</v>
      </c>
      <c r="AB15" s="38" t="n"/>
      <c r="AC15" s="38" t="n"/>
      <c r="AD15" s="38" t="n"/>
      <c r="AE15" s="38" t="n"/>
      <c r="AF15" s="46">
        <f>IF(SUM(F15:AE15)=0,"Очікую",SUM(F15:AE15))</f>
        <v/>
      </c>
      <c r="AG15" s="46" t="n"/>
      <c r="AH15" s="4" t="n"/>
      <c r="AI15" s="17" t="n"/>
    </row>
    <row r="16" ht="12.95" customHeight="1">
      <c r="A16" s="15" t="n"/>
      <c r="B16" s="4" t="n"/>
      <c r="C16" s="47" t="n">
        <v>5</v>
      </c>
      <c r="D16" s="37" t="inlineStr">
        <is>
          <t>Зарубіжна література</t>
        </is>
      </c>
      <c r="E16" s="37" t="inlineStr">
        <is>
          <t>Бабенко Л. Е.</t>
        </is>
      </c>
      <c r="F16" s="38" t="n"/>
      <c r="G16" s="38" t="n"/>
      <c r="H16" s="38" t="n"/>
      <c r="I16" s="38" t="n"/>
      <c r="J16" s="38" t="n"/>
      <c r="K16" s="61" t="n"/>
      <c r="L16" s="61" t="n"/>
      <c r="M16" s="38" t="n"/>
      <c r="N16" s="38" t="n"/>
      <c r="O16" s="38" t="n"/>
      <c r="P16" s="38" t="n">
        <v>2</v>
      </c>
      <c r="Q16" s="38" t="n"/>
      <c r="R16" s="61" t="n"/>
      <c r="S16" s="61" t="n"/>
      <c r="T16" s="38" t="n"/>
      <c r="U16" s="38" t="n"/>
      <c r="V16" s="38" t="n"/>
      <c r="W16" s="38" t="n">
        <v>2</v>
      </c>
      <c r="X16" s="38" t="n"/>
      <c r="Y16" s="61" t="n"/>
      <c r="Z16" s="61" t="n"/>
      <c r="AA16" s="38" t="n"/>
      <c r="AB16" s="38" t="n"/>
      <c r="AC16" s="38" t="n"/>
      <c r="AD16" s="38" t="n">
        <v>2</v>
      </c>
      <c r="AE16" s="38" t="n"/>
      <c r="AF16" s="46">
        <f>IF(SUM(F16:AE16)=0,"Очікую",SUM(F16:AE16))</f>
        <v/>
      </c>
      <c r="AG16" s="46" t="n"/>
      <c r="AH16" s="4" t="n"/>
      <c r="AI16" s="17" t="n"/>
    </row>
    <row r="17" ht="12.95" customHeight="1">
      <c r="A17" s="15" t="n"/>
      <c r="B17" s="4" t="n"/>
      <c r="C17" s="47" t="n">
        <v>6</v>
      </c>
      <c r="D17" s="39" t="inlineStr">
        <is>
          <t>Захист України</t>
        </is>
      </c>
      <c r="E17" s="39" t="inlineStr">
        <is>
          <t>Лазар В.І.</t>
        </is>
      </c>
      <c r="F17" s="38" t="n"/>
      <c r="G17" s="38" t="n"/>
      <c r="H17" s="38" t="n"/>
      <c r="I17" s="38" t="n"/>
      <c r="J17" s="38" t="n">
        <v>2</v>
      </c>
      <c r="K17" s="61" t="n"/>
      <c r="L17" s="61" t="n"/>
      <c r="M17" s="38" t="n"/>
      <c r="N17" s="38" t="n"/>
      <c r="O17" s="38" t="n"/>
      <c r="P17" s="38" t="n"/>
      <c r="Q17" s="38" t="n">
        <v>2</v>
      </c>
      <c r="R17" s="61" t="n"/>
      <c r="S17" s="61" t="n"/>
      <c r="T17" s="38" t="n"/>
      <c r="U17" s="38" t="n"/>
      <c r="V17" s="38" t="n"/>
      <c r="W17" s="38" t="n"/>
      <c r="X17" s="38" t="n">
        <v>2</v>
      </c>
      <c r="Y17" s="61" t="n"/>
      <c r="Z17" s="61" t="n"/>
      <c r="AA17" s="38" t="n"/>
      <c r="AB17" s="38" t="n"/>
      <c r="AC17" s="38" t="n"/>
      <c r="AD17" s="38" t="n"/>
      <c r="AE17" s="38" t="n">
        <v>2</v>
      </c>
      <c r="AF17" s="46">
        <f>IF(SUM(F17:AE17)=0,"Очікую",SUM(F17:AE17))</f>
        <v/>
      </c>
      <c r="AG17" s="46" t="n"/>
      <c r="AH17" s="4" t="n"/>
      <c r="AI17" s="17" t="n"/>
    </row>
    <row r="18" ht="12.95" customHeight="1">
      <c r="A18" s="15" t="n"/>
      <c r="B18" s="4" t="n"/>
      <c r="C18" s="47" t="n">
        <v>7</v>
      </c>
      <c r="D18" s="37" t="inlineStr">
        <is>
          <t>Іноземна мова</t>
        </is>
      </c>
      <c r="E18" s="37" t="inlineStr">
        <is>
          <t>Нічик Н.О.</t>
        </is>
      </c>
      <c r="F18" s="38" t="n"/>
      <c r="G18" s="38" t="n"/>
      <c r="H18" s="38" t="n">
        <v>2</v>
      </c>
      <c r="I18" s="38" t="n"/>
      <c r="J18" s="38" t="n"/>
      <c r="K18" s="61" t="n"/>
      <c r="L18" s="61" t="n"/>
      <c r="M18" s="38" t="n"/>
      <c r="N18" s="38" t="n"/>
      <c r="O18" s="38" t="n">
        <v>2</v>
      </c>
      <c r="P18" s="38" t="n"/>
      <c r="Q18" s="38" t="n"/>
      <c r="R18" s="61" t="n"/>
      <c r="S18" s="61" t="n"/>
      <c r="T18" s="38" t="n"/>
      <c r="U18" s="38" t="n"/>
      <c r="V18" s="38" t="n">
        <v>2</v>
      </c>
      <c r="W18" s="38" t="n"/>
      <c r="X18" s="38" t="n"/>
      <c r="Y18" s="61" t="n"/>
      <c r="Z18" s="61" t="n"/>
      <c r="AA18" s="38" t="n"/>
      <c r="AB18" s="38" t="n"/>
      <c r="AC18" s="38" t="n">
        <v>2</v>
      </c>
      <c r="AD18" s="38" t="n"/>
      <c r="AE18" s="38" t="n"/>
      <c r="AF18" s="46">
        <f>IF(SUM(F18:AE18)=0,"Очікую",SUM(F18:AE18))</f>
        <v/>
      </c>
      <c r="AG18" s="46" t="n"/>
      <c r="AH18" s="4" t="n"/>
      <c r="AI18" s="17" t="n"/>
    </row>
    <row r="19" ht="12.95" customHeight="1">
      <c r="A19" s="15" t="n"/>
      <c r="B19" s="4" t="n"/>
      <c r="C19" s="47" t="n">
        <v>8</v>
      </c>
      <c r="D19" s="37" t="inlineStr">
        <is>
          <t>Інформатика</t>
        </is>
      </c>
      <c r="E19" s="37" t="inlineStr">
        <is>
          <t>Андрльє І.О.</t>
        </is>
      </c>
      <c r="F19" s="38" t="n">
        <v>2</v>
      </c>
      <c r="G19" s="38" t="n"/>
      <c r="H19" s="38" t="n"/>
      <c r="I19" s="38" t="n"/>
      <c r="J19" s="38" t="n"/>
      <c r="K19" s="61" t="n"/>
      <c r="L19" s="61" t="n"/>
      <c r="M19" s="38" t="n">
        <v>2</v>
      </c>
      <c r="N19" s="38" t="n"/>
      <c r="O19" s="38" t="n"/>
      <c r="P19" s="38" t="n"/>
      <c r="Q19" s="38" t="n"/>
      <c r="R19" s="61" t="n"/>
      <c r="S19" s="61" t="n"/>
      <c r="T19" s="38" t="n">
        <v>2</v>
      </c>
      <c r="U19" s="38" t="n"/>
      <c r="V19" s="38" t="n"/>
      <c r="W19" s="38" t="n"/>
      <c r="X19" s="38" t="n"/>
      <c r="Y19" s="61" t="n"/>
      <c r="Z19" s="61" t="n"/>
      <c r="AA19" s="38" t="n">
        <v>2</v>
      </c>
      <c r="AB19" s="38" t="n"/>
      <c r="AC19" s="38" t="n"/>
      <c r="AD19" s="38" t="n"/>
      <c r="AE19" s="38" t="n"/>
      <c r="AF19" s="46">
        <f>IF(SUM(F19:AE19)=0,"Очікую",SUM(F19:AE19))</f>
        <v/>
      </c>
      <c r="AG19" s="46" t="n"/>
      <c r="AH19" s="4" t="n"/>
      <c r="AI19" s="17" t="n"/>
    </row>
    <row r="20" ht="12.95" customHeight="1">
      <c r="A20" s="15" t="n"/>
      <c r="B20" s="4" t="n"/>
      <c r="C20" s="47" t="n">
        <v>9</v>
      </c>
      <c r="D20" s="37" t="inlineStr">
        <is>
          <t>Історія України</t>
        </is>
      </c>
      <c r="E20" s="37" t="inlineStr">
        <is>
          <t>Левчук Т.Г.</t>
        </is>
      </c>
      <c r="F20" s="38" t="n"/>
      <c r="G20" s="38" t="n"/>
      <c r="H20" s="38" t="n"/>
      <c r="I20" s="38" t="n"/>
      <c r="J20" s="38" t="n">
        <v>2</v>
      </c>
      <c r="K20" s="61" t="n"/>
      <c r="L20" s="61" t="n"/>
      <c r="M20" s="38" t="n"/>
      <c r="N20" s="38" t="n"/>
      <c r="O20" s="38" t="n"/>
      <c r="P20" s="38" t="n"/>
      <c r="Q20" s="38" t="n">
        <v>2</v>
      </c>
      <c r="R20" s="61" t="n"/>
      <c r="S20" s="61" t="n"/>
      <c r="T20" s="38" t="n"/>
      <c r="U20" s="38" t="n"/>
      <c r="V20" s="38" t="n"/>
      <c r="W20" s="38" t="n"/>
      <c r="X20" s="38" t="n">
        <v>2</v>
      </c>
      <c r="Y20" s="61" t="n"/>
      <c r="Z20" s="61" t="n"/>
      <c r="AA20" s="38" t="n"/>
      <c r="AB20" s="38" t="n"/>
      <c r="AC20" s="38" t="n"/>
      <c r="AD20" s="38" t="n"/>
      <c r="AE20" s="38" t="n">
        <v>2</v>
      </c>
      <c r="AF20" s="46">
        <f>IF(SUM(F20:AE20)=0,"Очікую",SUM(F20:AE20))</f>
        <v/>
      </c>
      <c r="AG20" s="46" t="n"/>
      <c r="AH20" s="4" t="n"/>
      <c r="AI20" s="17" t="n"/>
    </row>
    <row r="21" ht="12.95" customHeight="1">
      <c r="A21" s="15" t="n"/>
      <c r="B21" s="4" t="n"/>
      <c r="C21" s="47" t="n">
        <v>10</v>
      </c>
      <c r="D21" s="37" t="inlineStr">
        <is>
          <t>Математика</t>
        </is>
      </c>
      <c r="E21" s="37" t="inlineStr">
        <is>
          <t>Земляна Т.М.</t>
        </is>
      </c>
      <c r="F21" s="38" t="n"/>
      <c r="G21" s="38" t="n">
        <v>2</v>
      </c>
      <c r="H21" s="38" t="n"/>
      <c r="I21" s="38" t="n">
        <v>2</v>
      </c>
      <c r="J21" s="38" t="n"/>
      <c r="K21" s="61" t="n"/>
      <c r="L21" s="61" t="n"/>
      <c r="M21" s="38" t="n"/>
      <c r="N21" s="38" t="n">
        <v>2</v>
      </c>
      <c r="O21" s="38" t="n"/>
      <c r="P21" s="38" t="n">
        <v>2</v>
      </c>
      <c r="Q21" s="38" t="n"/>
      <c r="R21" s="61" t="n"/>
      <c r="S21" s="61" t="n"/>
      <c r="T21" s="38" t="n"/>
      <c r="U21" s="38" t="n">
        <v>2</v>
      </c>
      <c r="V21" s="38" t="n"/>
      <c r="W21" s="38" t="n">
        <v>2</v>
      </c>
      <c r="X21" s="38" t="n"/>
      <c r="Y21" s="61" t="n"/>
      <c r="Z21" s="61" t="n"/>
      <c r="AA21" s="38" t="n"/>
      <c r="AB21" s="38" t="n">
        <v>2</v>
      </c>
      <c r="AC21" s="38" t="n"/>
      <c r="AD21" s="38" t="n">
        <v>2</v>
      </c>
      <c r="AE21" s="38" t="n"/>
      <c r="AF21" s="46">
        <f>IF(SUM(F21:AE21)=0,"Очікую",SUM(F21:AE21))</f>
        <v/>
      </c>
      <c r="AG21" s="46" t="n"/>
      <c r="AH21" s="4" t="n"/>
      <c r="AI21" s="17" t="n"/>
    </row>
    <row r="22" ht="12.95" customHeight="1">
      <c r="A22" s="15" t="n"/>
      <c r="B22" s="4" t="n"/>
      <c r="C22" s="47" t="n">
        <v>11</v>
      </c>
      <c r="D22" s="37" t="inlineStr">
        <is>
          <t>Українська література</t>
        </is>
      </c>
      <c r="E22" s="37" t="inlineStr">
        <is>
          <t>Юрченко О.Б.</t>
        </is>
      </c>
      <c r="F22" s="38" t="n"/>
      <c r="G22" s="38" t="n"/>
      <c r="H22" s="38" t="n"/>
      <c r="I22" s="38" t="n"/>
      <c r="J22" s="38" t="n">
        <v>2</v>
      </c>
      <c r="K22" s="61" t="n"/>
      <c r="L22" s="61" t="n"/>
      <c r="M22" s="38" t="n"/>
      <c r="N22" s="38" t="n"/>
      <c r="O22" s="38" t="n"/>
      <c r="P22" s="38" t="n"/>
      <c r="Q22" s="38" t="n">
        <v>2</v>
      </c>
      <c r="R22" s="61" t="n"/>
      <c r="S22" s="61" t="n"/>
      <c r="T22" s="38" t="n"/>
      <c r="U22" s="38" t="n"/>
      <c r="V22" s="38" t="n"/>
      <c r="W22" s="38" t="n"/>
      <c r="X22" s="38" t="n">
        <v>2</v>
      </c>
      <c r="Y22" s="61" t="n"/>
      <c r="Z22" s="61" t="n"/>
      <c r="AA22" s="38" t="n"/>
      <c r="AB22" s="38" t="n"/>
      <c r="AC22" s="38" t="n"/>
      <c r="AD22" s="38" t="n"/>
      <c r="AE22" s="38" t="n">
        <v>2</v>
      </c>
      <c r="AF22" s="46">
        <f>IF(SUM(F22:AE22)=0,"Очікую",SUM(F22:AE22))</f>
        <v/>
      </c>
      <c r="AG22" s="46" t="n"/>
      <c r="AH22" s="4" t="n"/>
      <c r="AI22" s="17" t="n"/>
    </row>
    <row r="23" ht="12.95" customHeight="1">
      <c r="A23" s="15" t="n"/>
      <c r="B23" s="4" t="n"/>
      <c r="C23" s="47" t="n">
        <v>12</v>
      </c>
      <c r="D23" s="37" t="inlineStr">
        <is>
          <t>Українська мова</t>
        </is>
      </c>
      <c r="E23" s="37" t="inlineStr">
        <is>
          <t>Юрченко О.Б.</t>
        </is>
      </c>
      <c r="F23" s="38" t="n"/>
      <c r="G23" s="38" t="n"/>
      <c r="H23" s="38" t="n"/>
      <c r="I23" s="38" t="n">
        <v>2</v>
      </c>
      <c r="J23" s="38" t="n"/>
      <c r="K23" s="61" t="n"/>
      <c r="L23" s="61" t="n"/>
      <c r="M23" s="38" t="n"/>
      <c r="N23" s="38" t="n"/>
      <c r="O23" s="38" t="n"/>
      <c r="P23" s="38" t="n">
        <v>2</v>
      </c>
      <c r="Q23" s="38" t="n"/>
      <c r="R23" s="61" t="n"/>
      <c r="S23" s="61" t="n"/>
      <c r="T23" s="38" t="n"/>
      <c r="U23" s="38" t="n"/>
      <c r="V23" s="38" t="n"/>
      <c r="W23" s="38" t="n">
        <v>2</v>
      </c>
      <c r="X23" s="38" t="n"/>
      <c r="Y23" s="61" t="n"/>
      <c r="Z23" s="61" t="n"/>
      <c r="AA23" s="38" t="n"/>
      <c r="AB23" s="38" t="n"/>
      <c r="AC23" s="38" t="n"/>
      <c r="AD23" s="38" t="n">
        <v>2</v>
      </c>
      <c r="AE23" s="38" t="n"/>
      <c r="AF23" s="46">
        <f>IF(SUM(F23:AE23)=0,"Очікую",SUM(F23:AE23))</f>
        <v/>
      </c>
      <c r="AG23" s="46" t="n"/>
      <c r="AH23" s="4" t="n"/>
      <c r="AI23" s="17" t="n"/>
    </row>
    <row r="24" ht="12.95" customHeight="1">
      <c r="A24" s="15" t="n"/>
      <c r="B24" s="4" t="n"/>
      <c r="C24" s="47" t="n">
        <v>13</v>
      </c>
      <c r="D24" s="37" t="inlineStr">
        <is>
          <t>Фізика</t>
        </is>
      </c>
      <c r="E24" s="37" t="inlineStr">
        <is>
          <t>Калюта Н.М.</t>
        </is>
      </c>
      <c r="F24" s="38" t="n"/>
      <c r="G24" s="38" t="n"/>
      <c r="H24" s="38" t="n">
        <v>2</v>
      </c>
      <c r="I24" s="38" t="n"/>
      <c r="J24" s="38" t="n">
        <v>2</v>
      </c>
      <c r="K24" s="61" t="n"/>
      <c r="L24" s="61" t="n"/>
      <c r="M24" s="38" t="n"/>
      <c r="N24" s="38" t="n"/>
      <c r="O24" s="38" t="n">
        <v>2</v>
      </c>
      <c r="P24" s="38" t="n"/>
      <c r="Q24" s="38" t="n">
        <v>2</v>
      </c>
      <c r="R24" s="61" t="n"/>
      <c r="S24" s="61" t="n"/>
      <c r="T24" s="38" t="n"/>
      <c r="U24" s="38" t="n"/>
      <c r="V24" s="38" t="n">
        <v>2</v>
      </c>
      <c r="W24" s="38" t="n"/>
      <c r="X24" s="38" t="n">
        <v>2</v>
      </c>
      <c r="Y24" s="61" t="n"/>
      <c r="Z24" s="61" t="n"/>
      <c r="AA24" s="38" t="n"/>
      <c r="AB24" s="38" t="n"/>
      <c r="AC24" s="38" t="n">
        <v>2</v>
      </c>
      <c r="AD24" s="38" t="n"/>
      <c r="AE24" s="38" t="n">
        <v>2</v>
      </c>
      <c r="AF24" s="46">
        <f>IF(SUM(F24:AE24)=0,"Очікую",SUM(F24:AE24))</f>
        <v/>
      </c>
      <c r="AG24" s="46" t="n"/>
      <c r="AH24" s="4" t="n"/>
      <c r="AI24" s="17" t="n"/>
    </row>
    <row r="25" ht="12.95" customHeight="1">
      <c r="A25" s="15" t="n"/>
      <c r="B25" s="4" t="n"/>
      <c r="C25" s="47" t="n">
        <v>14</v>
      </c>
      <c r="D25" s="37" t="inlineStr">
        <is>
          <t>Фізична культура</t>
        </is>
      </c>
      <c r="E25" s="37" t="inlineStr">
        <is>
          <t>Галеніна І.С.</t>
        </is>
      </c>
      <c r="F25" s="38" t="n"/>
      <c r="G25" s="38" t="n"/>
      <c r="H25" s="38" t="n">
        <v>2</v>
      </c>
      <c r="I25" s="38" t="n"/>
      <c r="J25" s="38" t="n"/>
      <c r="K25" s="61" t="n"/>
      <c r="L25" s="61" t="n"/>
      <c r="M25" s="38" t="n">
        <v>2</v>
      </c>
      <c r="N25" s="38" t="n"/>
      <c r="O25" s="38" t="n">
        <v>2</v>
      </c>
      <c r="P25" s="38" t="n"/>
      <c r="Q25" s="38" t="n"/>
      <c r="R25" s="61" t="n"/>
      <c r="S25" s="61" t="n"/>
      <c r="T25" s="38" t="n"/>
      <c r="U25" s="38" t="n"/>
      <c r="V25" s="38" t="n">
        <v>2</v>
      </c>
      <c r="W25" s="38" t="n"/>
      <c r="X25" s="38" t="n"/>
      <c r="Y25" s="61" t="n"/>
      <c r="Z25" s="61" t="n"/>
      <c r="AA25" s="38" t="n">
        <v>2</v>
      </c>
      <c r="AB25" s="38" t="n"/>
      <c r="AC25" s="38" t="n">
        <v>2</v>
      </c>
      <c r="AD25" s="38" t="n"/>
      <c r="AE25" s="38" t="n"/>
      <c r="AF25" s="46">
        <f>IF(SUM(F25:AE25)=0,"Очікую",SUM(F25:AE25))</f>
        <v/>
      </c>
      <c r="AG25" s="46" t="n"/>
      <c r="AH25" s="4" t="n"/>
      <c r="AI25" s="17" t="n"/>
    </row>
    <row r="26" ht="12.95" customHeight="1">
      <c r="A26" s="15" t="n"/>
      <c r="B26" s="4" t="n"/>
      <c r="C26" s="47" t="n">
        <v>15</v>
      </c>
      <c r="D26" s="37" t="inlineStr">
        <is>
          <t>Хімія</t>
        </is>
      </c>
      <c r="E26" s="37" t="inlineStr">
        <is>
          <t>Пономарьов К.М.</t>
        </is>
      </c>
      <c r="F26" s="38" t="n"/>
      <c r="G26" s="38" t="n">
        <v>2</v>
      </c>
      <c r="H26" s="38" t="n"/>
      <c r="I26" s="38" t="n"/>
      <c r="J26" s="38" t="n"/>
      <c r="K26" s="61" t="n"/>
      <c r="L26" s="61" t="n"/>
      <c r="M26" s="38" t="n"/>
      <c r="N26" s="38" t="n">
        <v>2</v>
      </c>
      <c r="O26" s="38" t="n"/>
      <c r="P26" s="38" t="n"/>
      <c r="Q26" s="38" t="n"/>
      <c r="R26" s="61" t="n"/>
      <c r="S26" s="61" t="n"/>
      <c r="T26" s="38" t="n"/>
      <c r="U26" s="38" t="n">
        <v>2</v>
      </c>
      <c r="V26" s="38" t="n"/>
      <c r="W26" s="38" t="n"/>
      <c r="X26" s="38" t="n"/>
      <c r="Y26" s="61" t="n"/>
      <c r="Z26" s="61" t="n"/>
      <c r="AA26" s="38" t="n"/>
      <c r="AB26" s="38" t="n">
        <v>2</v>
      </c>
      <c r="AC26" s="38" t="n"/>
      <c r="AD26" s="38" t="n"/>
      <c r="AE26" s="38" t="n"/>
      <c r="AF26" s="46">
        <f>IF(SUM(F26:AE26)=0,"Очікую",SUM(F26:AE26))</f>
        <v/>
      </c>
      <c r="AG26" s="46" t="n"/>
      <c r="AH26" s="4" t="n"/>
      <c r="AI26" s="17" t="n"/>
    </row>
    <row r="27" ht="12.95" customHeight="1">
      <c r="A27" s="15" t="n"/>
      <c r="B27" s="4" t="n"/>
      <c r="C27" s="45" t="n"/>
      <c r="D27" s="45" t="n"/>
      <c r="E27" s="45" t="n"/>
      <c r="F27" s="46">
        <f>IF($AF27="Очікую","Оч",SUM(F12:F26))</f>
        <v/>
      </c>
      <c r="G27" s="46">
        <f>IF($AF27="Очікую","Оч",SUM(G12:G26))</f>
        <v/>
      </c>
      <c r="H27" s="46">
        <f>IF($AF27="Очікую","Оч",SUM(H12:H26))</f>
        <v/>
      </c>
      <c r="I27" s="46">
        <f>IF($AF27="Очікую","Оч",SUM(I12:I26))</f>
        <v/>
      </c>
      <c r="J27" s="46">
        <f>IF($AF27="Очікую","Оч",SUM(J12:J26))</f>
        <v/>
      </c>
      <c r="K27" s="46">
        <f>IF($AF27="Очікую","Оч",SUM(K12:K26))</f>
        <v/>
      </c>
      <c r="L27" s="46">
        <f>IF($AF27="Очікую","Оч",SUM(L12:L26))</f>
        <v/>
      </c>
      <c r="M27" s="46">
        <f>IF($AF27="Очікую","Оч",SUM(M12:M26))</f>
        <v/>
      </c>
      <c r="N27" s="46">
        <f>IF($AF27="Очікую","Оч",SUM(N12:N26))</f>
        <v/>
      </c>
      <c r="O27" s="46">
        <f>IF($AF27="Очікую","Оч",SUM(O12:O26))</f>
        <v/>
      </c>
      <c r="P27" s="46">
        <f>IF($AF27="Очікую","Оч",SUM(P12:P26))</f>
        <v/>
      </c>
      <c r="Q27" s="46">
        <f>IF($AF27="Очікую","Оч",SUM(Q12:Q26))</f>
        <v/>
      </c>
      <c r="R27" s="46">
        <f>IF($AF27="Очікую","Оч",SUM(R12:R26))</f>
        <v/>
      </c>
      <c r="S27" s="46">
        <f>IF($AF27="Очікую","Оч",SUM(S12:S26))</f>
        <v/>
      </c>
      <c r="T27" s="46">
        <f>IF($AF27="Очікую","Оч",SUM(T12:T26))</f>
        <v/>
      </c>
      <c r="U27" s="46">
        <f>IF($AF27="Очікую","Оч",SUM(U12:U26))</f>
        <v/>
      </c>
      <c r="V27" s="46">
        <f>IF($AF27="Очікую","Оч",SUM(V12:V26))</f>
        <v/>
      </c>
      <c r="W27" s="46">
        <f>IF($AF27="Очікую","Оч",SUM(W12:W26))</f>
        <v/>
      </c>
      <c r="X27" s="46">
        <f>IF($AF27="Очікую","Оч",SUM(X12:X26))</f>
        <v/>
      </c>
      <c r="Y27" s="46">
        <f>IF($AF27="Очікую","Оч",SUM(Y12:Y26))</f>
        <v/>
      </c>
      <c r="Z27" s="46">
        <f>IF($AF27="Очікую","Оч",SUM(Z12:Z26))</f>
        <v/>
      </c>
      <c r="AA27" s="46">
        <f>IF($AF27="Очікую","Оч",SUM(AA12:AA26))</f>
        <v/>
      </c>
      <c r="AB27" s="46">
        <f>IF($AF27="Очікую","Оч",SUM(AB12:AB26))</f>
        <v/>
      </c>
      <c r="AC27" s="46">
        <f>IF($AF27="Очікую","Оч",SUM(AC12:AC26))</f>
        <v/>
      </c>
      <c r="AD27" s="46">
        <f>IF($AF27="Очікую","Оч",SUM(AD12:AD26))</f>
        <v/>
      </c>
      <c r="AE27" s="46">
        <f>IF($AF27="Очікую","Оч",SUM(AE12:AE26))</f>
        <v/>
      </c>
      <c r="AF27" s="46">
        <f>IF(SUM(AF12:AF26)=0,"Очікую",SUM(AF12:AF26))</f>
        <v/>
      </c>
      <c r="AG27" s="45" t="n"/>
      <c r="AH27" s="4" t="n"/>
      <c r="AI27" s="17" t="n"/>
    </row>
    <row r="28" ht="12.95" customHeight="1">
      <c r="A28" s="15" t="n"/>
      <c r="B28" s="4" t="n"/>
      <c r="C28" s="45" t="n"/>
      <c r="D28" s="45" t="n"/>
      <c r="E28" s="45" t="n"/>
      <c r="F28" s="45" t="n"/>
      <c r="G28" s="45" t="n"/>
      <c r="H28" s="45" t="n"/>
      <c r="I28" s="45" t="n"/>
      <c r="J28" s="45" t="n"/>
      <c r="K28" s="45" t="n"/>
      <c r="L28" s="45" t="n"/>
      <c r="M28" s="45" t="n"/>
      <c r="N28" s="45" t="n"/>
      <c r="O28" s="45" t="n"/>
      <c r="P28" s="45" t="n"/>
      <c r="Q28" s="45" t="n"/>
      <c r="R28" s="45" t="n"/>
      <c r="S28" s="45" t="n"/>
      <c r="T28" s="45" t="n"/>
      <c r="U28" s="45" t="n"/>
      <c r="V28" s="45" t="n"/>
      <c r="W28" s="45" t="n"/>
      <c r="X28" s="45" t="n"/>
      <c r="Y28" s="45" t="n"/>
      <c r="Z28" s="45" t="n"/>
      <c r="AA28" s="45" t="n"/>
      <c r="AB28" s="45" t="n"/>
      <c r="AC28" s="45" t="n"/>
      <c r="AD28" s="45" t="n"/>
      <c r="AE28" s="45" t="n"/>
      <c r="AF28" s="45" t="n"/>
      <c r="AG28" s="45" t="n"/>
      <c r="AH28" s="4" t="n"/>
      <c r="AI28" s="17" t="n"/>
    </row>
    <row r="29" ht="12.95" customHeight="1">
      <c r="A29" s="15" t="n"/>
      <c r="B29" s="4" t="n"/>
      <c r="C29" s="45" t="n"/>
      <c r="D29" s="45" t="n"/>
      <c r="E29" s="45" t="n"/>
      <c r="F29" s="10" t="n"/>
      <c r="G29" s="10" t="n"/>
      <c r="H29" s="10" t="n"/>
      <c r="I29" s="10" t="n"/>
      <c r="J29" s="10" t="n"/>
      <c r="K29" s="10" t="n"/>
      <c r="L29" s="10" t="n"/>
      <c r="M29" s="10" t="n"/>
      <c r="N29" s="10" t="n"/>
      <c r="O29" s="10" t="n"/>
      <c r="P29" s="10" t="n"/>
      <c r="Q29" s="10" t="n"/>
      <c r="R29" s="10" t="n"/>
      <c r="S29" s="10" t="n"/>
      <c r="T29" s="10" t="n"/>
      <c r="U29" s="10" t="n"/>
      <c r="V29" s="10" t="n"/>
      <c r="W29" s="10" t="n"/>
      <c r="X29" s="10" t="n"/>
      <c r="Y29" s="10" t="n"/>
      <c r="Z29" s="10" t="n"/>
      <c r="AA29" s="10" t="n"/>
      <c r="AB29" s="10" t="n"/>
      <c r="AC29" s="10" t="n"/>
      <c r="AD29" s="10" t="n"/>
      <c r="AE29" s="10" t="n"/>
      <c r="AF29" s="45" t="n"/>
      <c r="AG29" s="45" t="n"/>
      <c r="AH29" s="4" t="n"/>
      <c r="AI29" s="17" t="n"/>
    </row>
    <row r="30" ht="12.95" customHeight="1">
      <c r="A30" s="15" t="n"/>
      <c r="B30" s="4" t="n"/>
      <c r="C30" s="45" t="inlineStr">
        <is>
          <t>Завідувач відділення  ПЗСО   ______________  Маргарита БРІТІКОВА</t>
        </is>
      </c>
      <c r="AH30" s="4" t="n"/>
      <c r="AI30" s="17" t="n"/>
    </row>
    <row r="31" ht="12.95" customHeight="1">
      <c r="A31" s="15" t="n"/>
      <c r="B31" s="4" t="n"/>
      <c r="C31" s="4" t="n"/>
      <c r="D31" s="4" t="n"/>
      <c r="E31" s="4" t="n"/>
      <c r="F31" s="4" t="n"/>
      <c r="G31" s="4" t="n"/>
      <c r="H31" s="4" t="n"/>
      <c r="I31" s="4" t="n"/>
      <c r="J31" s="4" t="n"/>
      <c r="K31" s="4" t="n"/>
      <c r="L31" s="4" t="n"/>
      <c r="M31" s="4" t="n"/>
      <c r="N31" s="4" t="n"/>
      <c r="O31" s="4" t="n"/>
      <c r="P31" s="4" t="n"/>
      <c r="Q31" s="4" t="n"/>
      <c r="R31" s="4" t="n"/>
      <c r="S31" s="4" t="n"/>
      <c r="T31" s="4" t="n"/>
      <c r="U31" s="4" t="n"/>
      <c r="V31" s="4" t="n"/>
      <c r="W31" s="4" t="n"/>
      <c r="X31" s="4" t="n"/>
      <c r="Y31" s="4" t="n"/>
      <c r="Z31" s="4" t="n"/>
      <c r="AA31" s="4" t="n"/>
      <c r="AB31" s="4" t="n"/>
      <c r="AC31" s="4" t="n"/>
      <c r="AD31" s="4" t="n"/>
      <c r="AE31" s="4" t="n"/>
      <c r="AF31" s="4" t="n"/>
      <c r="AG31" s="4" t="n"/>
      <c r="AH31" s="4" t="n"/>
      <c r="AI31" s="17" t="n"/>
    </row>
    <row r="32" ht="12.95" customHeight="1">
      <c r="A32" s="13" t="n"/>
      <c r="B32" s="14" t="n"/>
      <c r="C32" s="14" t="n"/>
      <c r="D32" s="14" t="n"/>
      <c r="E32" s="14" t="n"/>
      <c r="F32" s="14" t="n"/>
      <c r="G32" s="14" t="n"/>
      <c r="H32" s="14" t="n"/>
      <c r="I32" s="14" t="n"/>
      <c r="J32" s="14" t="n"/>
      <c r="K32" s="14" t="n"/>
      <c r="L32" s="14" t="n"/>
      <c r="M32" s="14" t="n"/>
      <c r="N32" s="14" t="n"/>
      <c r="O32" s="14" t="n"/>
      <c r="P32" s="14" t="n"/>
      <c r="Q32" s="14" t="n"/>
      <c r="R32" s="14" t="n"/>
      <c r="S32" s="14" t="n"/>
      <c r="T32" s="14" t="n"/>
      <c r="U32" s="14" t="n"/>
      <c r="V32" s="14" t="n"/>
      <c r="W32" s="14" t="n"/>
      <c r="X32" s="14" t="n"/>
      <c r="Y32" s="14" t="n"/>
      <c r="Z32" s="14" t="n"/>
      <c r="AA32" s="14" t="n"/>
      <c r="AB32" s="14" t="n"/>
      <c r="AC32" s="14" t="n"/>
      <c r="AD32" s="14" t="n"/>
      <c r="AE32" s="14" t="n"/>
      <c r="AF32" s="14" t="n"/>
      <c r="AG32" s="14" t="n"/>
      <c r="AH32" s="14" t="n"/>
      <c r="AI32" s="13" t="n"/>
    </row>
    <row r="33" hidden="1" ht="12.95" customHeight="1"/>
    <row r="34" hidden="1" ht="12.95" customHeight="1"/>
    <row r="35" hidden="1" ht="12.95" customHeight="1"/>
    <row r="36" hidden="1" ht="12.95" customHeight="1"/>
    <row r="37" hidden="1" ht="12.95" customHeight="1"/>
    <row r="38" hidden="1" ht="12.95" customHeight="1"/>
    <row r="39" hidden="1" ht="12.95" customHeight="1"/>
    <row r="40" hidden="1" ht="12.95" customHeight="1"/>
    <row r="41" hidden="1" ht="12.95" customHeight="1"/>
    <row r="42" hidden="1" ht="12.95" customHeight="1"/>
    <row r="43" hidden="1" ht="12.95" customHeight="1"/>
    <row r="44" hidden="1" ht="12.95" customHeight="1"/>
    <row r="45" hidden="1" ht="12.95" customHeight="1"/>
    <row r="46" hidden="1" ht="12.95" customHeight="1" thickBot="1"/>
    <row r="47" hidden="1" ht="12" customHeight="1"/>
  </sheetData>
  <mergeCells count="14">
    <mergeCell ref="C30:AG30"/>
    <mergeCell ref="C6:AG6"/>
    <mergeCell ref="AF10:AF11"/>
    <mergeCell ref="C5:AG5"/>
    <mergeCell ref="D4:E4"/>
    <mergeCell ref="C8:AG8"/>
    <mergeCell ref="C10:C11"/>
    <mergeCell ref="E10:E11"/>
    <mergeCell ref="F10:AE10"/>
    <mergeCell ref="D3:E3"/>
    <mergeCell ref="C7:AG7"/>
    <mergeCell ref="D10:D11"/>
    <mergeCell ref="C9:AG9"/>
    <mergeCell ref="AG10:AG11"/>
  </mergeCells>
  <printOptions horizontalCentered="1"/>
  <pageMargins left="0.1968503937007874" right="0.1968503937007874" top="0.1968503937007874" bottom="0.1968503937007874" header="0" footer="0"/>
  <pageSetup orientation="landscape" paperSize="9"/>
</worksheet>
</file>

<file path=xl/worksheets/sheet6.xml><?xml version="1.0" encoding="utf-8"?>
<worksheet xmlns="http://schemas.openxmlformats.org/spreadsheetml/2006/main">
  <sheetPr>
    <tabColor theme="9" tint="-0.249977111117893"/>
    <outlinePr summaryBelow="1" summaryRight="1"/>
    <pageSetUpPr fitToPage="1"/>
  </sheetPr>
  <dimension ref="A1:L33"/>
  <sheetViews>
    <sheetView zoomScaleNormal="100" workbookViewId="0">
      <selection activeCell="A1" sqref="A1"/>
    </sheetView>
  </sheetViews>
  <sheetFormatPr baseColWidth="8" defaultColWidth="0" defaultRowHeight="0" customHeight="1" zeroHeight="1"/>
  <cols>
    <col width="1.453125" customWidth="1" style="2" min="1" max="2"/>
    <col width="3.6328125" customWidth="1" style="2" min="3" max="3"/>
    <col width="16.453125" customWidth="1" style="2" min="4" max="4"/>
    <col width="6.81640625" customWidth="1" style="2" min="5" max="20"/>
    <col width="1.5" customWidth="1" min="11" max="11"/>
    <col width="1.5" customWidth="1" min="12" max="12"/>
    <col hidden="1" width="13" customWidth="1" min="13" max="13"/>
    <col hidden="1" width="13" customWidth="1" min="14" max="14"/>
    <col hidden="1" width="13" customWidth="1" min="15" max="15"/>
    <col hidden="1" width="13" customWidth="1" min="16" max="16"/>
    <col hidden="1" width="13" customWidth="1" min="17" max="17"/>
    <col hidden="1" width="13" customWidth="1" min="18" max="18"/>
    <col hidden="1" width="13" customWidth="1" min="19" max="19"/>
    <col hidden="1" width="13" customWidth="1" min="20" max="20"/>
    <col hidden="1" width="1.453125" customWidth="1" style="2" min="21" max="22"/>
    <col hidden="1" width="13" customWidth="1" min="22" max="22"/>
    <col hidden="1" style="2" min="23" max="58"/>
    <col hidden="1" width="5.81640625" customWidth="1" style="2" min="59" max="16384"/>
  </cols>
  <sheetData>
    <row r="1" ht="12" customFormat="1" customHeight="1" s="3" thickBot="1">
      <c r="A1" s="12" t="inlineStr">
        <is>
          <t>S</t>
        </is>
      </c>
      <c r="B1" s="16" t="n"/>
      <c r="C1" s="16" t="n"/>
      <c r="D1" s="16" t="n"/>
      <c r="E1" s="16" t="n"/>
      <c r="F1" s="16" t="n"/>
      <c r="G1" s="16" t="n"/>
      <c r="H1" s="16" t="n"/>
      <c r="I1" s="16" t="n"/>
      <c r="J1" s="16" t="n"/>
      <c r="K1" s="16" t="n"/>
      <c r="L1" s="11" t="n"/>
    </row>
    <row r="2" ht="12" customFormat="1" customHeight="1" s="1">
      <c r="A2" s="15" t="n"/>
      <c r="B2" s="4" t="n"/>
      <c r="C2" s="18" t="n"/>
      <c r="D2" s="18" t="n"/>
      <c r="E2" s="18" t="n"/>
      <c r="F2" s="18" t="n"/>
      <c r="G2" s="18" t="n"/>
      <c r="H2" s="18" t="n"/>
      <c r="I2" s="18" t="n"/>
      <c r="J2" s="18" t="n"/>
      <c r="K2" s="4" t="n"/>
      <c r="L2" s="17" t="n"/>
    </row>
    <row r="3" ht="15" customHeight="1">
      <c r="A3" s="15" t="n"/>
      <c r="B3" s="4" t="n"/>
      <c r="C3" s="51" t="inlineStr">
        <is>
          <t>Міністерство освіти і науки України</t>
        </is>
      </c>
      <c r="K3" s="4" t="n"/>
      <c r="L3" s="17" t="n"/>
    </row>
    <row r="4" ht="80.09999999999999" customHeight="1">
      <c r="A4" s="15" t="n"/>
      <c r="B4" s="4" t="n"/>
      <c r="C4" s="52" t="inlineStr">
        <is>
          <t>Відокремлений структурний підрозділ
"Фаховий коледж нафтогазових технологій,
інженерій та інфраструктури сервісу
Одеського національного технологічного університету"</t>
        </is>
      </c>
      <c r="K4" s="4" t="n"/>
      <c r="L4" s="17" t="n"/>
    </row>
    <row r="5" ht="20.1" customHeight="1">
      <c r="A5" s="15" t="n"/>
      <c r="B5" s="4" t="n"/>
      <c r="C5" s="20" t="n"/>
      <c r="D5" s="20" t="n"/>
      <c r="E5" s="20" t="n"/>
      <c r="F5" s="20" t="n"/>
      <c r="G5" s="20" t="n"/>
      <c r="H5" s="20" t="n"/>
      <c r="I5" s="20" t="n"/>
      <c r="J5" s="20" t="n"/>
      <c r="K5" s="4" t="n"/>
      <c r="L5" s="17" t="n"/>
    </row>
    <row r="6" ht="18" customHeight="1">
      <c r="A6" s="15" t="n"/>
      <c r="B6" s="4" t="n"/>
      <c r="C6" s="53" t="inlineStr">
        <is>
          <t>ВІДОМІСТЬ ОБЛІКУ ГОДИН ВИКЛАДАЧА</t>
        </is>
      </c>
      <c r="K6" s="4" t="n"/>
      <c r="L6" s="17" t="n"/>
    </row>
    <row r="7" ht="18.95" customHeight="1">
      <c r="A7" s="15" t="n"/>
      <c r="B7" s="4" t="n"/>
      <c r="C7" s="21" t="n"/>
      <c r="D7" s="21" t="n"/>
      <c r="E7" s="21" t="n"/>
      <c r="F7" s="21" t="n"/>
      <c r="G7" s="21" t="n"/>
      <c r="H7" s="21" t="n"/>
      <c r="I7" s="21" t="n"/>
      <c r="J7" s="21" t="n"/>
      <c r="K7" s="4" t="n"/>
      <c r="L7" s="17" t="n"/>
    </row>
    <row r="8" ht="18.75" customHeight="1">
      <c r="A8" s="15" t="n"/>
      <c r="B8" s="4" t="n"/>
      <c r="C8" s="22" t="inlineStr">
        <is>
          <t>за вересень 2025 р.</t>
        </is>
      </c>
      <c r="D8" s="58" t="n"/>
      <c r="E8" s="58" t="n"/>
      <c r="F8" s="58" t="n"/>
      <c r="G8" s="58" t="n"/>
      <c r="H8" s="58" t="n"/>
      <c r="I8" s="58" t="n"/>
      <c r="J8" s="59" t="n"/>
      <c r="K8" s="4" t="n"/>
      <c r="L8" s="17" t="n"/>
    </row>
    <row r="9" ht="36.95" customHeight="1">
      <c r="A9" s="15" t="n"/>
      <c r="B9" s="4" t="n"/>
      <c r="C9" s="22" t="inlineStr">
        <is>
          <t>№</t>
        </is>
      </c>
      <c r="D9" s="23" t="inlineStr">
        <is>
          <t>Прізвище викладача</t>
        </is>
      </c>
      <c r="E9" s="24" t="inlineStr">
        <is>
          <t>25-1</t>
        </is>
      </c>
      <c r="F9" s="24" t="inlineStr">
        <is>
          <t>25-2</t>
        </is>
      </c>
      <c r="G9" s="24" t="inlineStr">
        <is>
          <t>25-3</t>
        </is>
      </c>
      <c r="H9" s="24" t="inlineStr">
        <is>
          <t>25-4</t>
        </is>
      </c>
      <c r="I9" s="24" t="inlineStr">
        <is>
          <t>25-5</t>
        </is>
      </c>
      <c r="J9" s="22" t="inlineStr">
        <is>
          <t>Всього</t>
        </is>
      </c>
      <c r="K9" s="4" t="n"/>
      <c r="L9" s="17" t="n"/>
    </row>
    <row r="10" ht="18.75" customHeight="1">
      <c r="A10" s="15" t="n"/>
      <c r="B10" s="4" t="n"/>
      <c r="C10" s="25" t="n">
        <v>1</v>
      </c>
      <c r="D10" s="26" t="inlineStr">
        <is>
          <t>Андрльє І.О.</t>
        </is>
      </c>
      <c r="E10" s="27">
        <f>'25-1'!$AF$19</f>
        <v/>
      </c>
      <c r="F10" s="27">
        <f>'25-2'!$AF$19</f>
        <v/>
      </c>
      <c r="G10" s="27">
        <f>'25-3'!$AF$19</f>
        <v/>
      </c>
      <c r="H10" s="27">
        <f>'25-4'!$AF$19</f>
        <v/>
      </c>
      <c r="I10" s="27">
        <f>'25-5'!$AF$19</f>
        <v/>
      </c>
      <c r="J10" s="28">
        <f>IF(SUM(E10:I10)=0,"Очікую",SUM(E10:I10))</f>
        <v/>
      </c>
      <c r="K10" s="4" t="n"/>
      <c r="L10" s="17" t="n"/>
    </row>
    <row r="11" ht="18.75" customHeight="1">
      <c r="A11" s="15" t="n"/>
      <c r="B11" s="4" t="n"/>
      <c r="C11" s="25" t="n">
        <v>2</v>
      </c>
      <c r="D11" s="29" t="inlineStr">
        <is>
          <t>Антропова Л.І.</t>
        </is>
      </c>
      <c r="E11" s="30" t="n"/>
      <c r="F11" s="30">
        <f>'25-2'!$AF$22 + '25-2'!$AF$23</f>
        <v/>
      </c>
      <c r="G11" s="30" t="n"/>
      <c r="H11" s="30">
        <f>'25-4'!$AF$22 + '25-4'!$AF$23</f>
        <v/>
      </c>
      <c r="I11" s="30" t="n"/>
      <c r="J11" s="28">
        <f>IF(SUM(E11:I11)=0,"Очікую",SUM(E11:I11))</f>
        <v/>
      </c>
      <c r="K11" s="4" t="n"/>
      <c r="L11" s="17" t="n"/>
    </row>
    <row r="12" ht="18.75" customHeight="1">
      <c r="A12" s="15" t="n"/>
      <c r="B12" s="4" t="n"/>
      <c r="C12" s="25" t="n">
        <v>3</v>
      </c>
      <c r="D12" s="29" t="inlineStr">
        <is>
          <t>Бабенко Л. Е.</t>
        </is>
      </c>
      <c r="E12" s="30" t="n"/>
      <c r="F12" s="30">
        <f>'25-2'!$AF$16</f>
        <v/>
      </c>
      <c r="G12" s="30">
        <f>'25-3'!$AF$16</f>
        <v/>
      </c>
      <c r="H12" s="30">
        <f>'25-4'!$AF$16</f>
        <v/>
      </c>
      <c r="I12" s="30">
        <f>'25-5'!$AF$16</f>
        <v/>
      </c>
      <c r="J12" s="28">
        <f>IF(SUM(E12:I12)=0,"Очікую",SUM(E12:I12))</f>
        <v/>
      </c>
      <c r="K12" s="4" t="n"/>
      <c r="L12" s="17" t="n"/>
    </row>
    <row r="13" ht="18.75" customHeight="1">
      <c r="A13" s="15" t="n"/>
      <c r="B13" s="4" t="n"/>
      <c r="C13" s="25" t="n">
        <v>4</v>
      </c>
      <c r="D13" s="26" t="inlineStr">
        <is>
          <t>Бабенко Л.Е.</t>
        </is>
      </c>
      <c r="E13" s="27">
        <f>'25-1'!$AF$16</f>
        <v/>
      </c>
      <c r="F13" s="27" t="n"/>
      <c r="G13" s="27" t="n"/>
      <c r="H13" s="27" t="n"/>
      <c r="I13" s="27" t="n"/>
      <c r="J13" s="28">
        <f>IF(SUM(E13:I13)=0,"Очікую",SUM(E13:I13))</f>
        <v/>
      </c>
      <c r="K13" s="4" t="n"/>
      <c r="L13" s="17" t="n"/>
    </row>
    <row r="14" ht="18.75" customHeight="1">
      <c r="A14" s="15" t="n"/>
      <c r="B14" s="4" t="n"/>
      <c r="C14" s="25" t="n">
        <v>5</v>
      </c>
      <c r="D14" s="29" t="inlineStr">
        <is>
          <t>Богданенко О.В.</t>
        </is>
      </c>
      <c r="E14" s="31">
        <f>'25-1'!$AF$13</f>
        <v/>
      </c>
      <c r="F14" s="31">
        <f>'25-2'!$AF$13</f>
        <v/>
      </c>
      <c r="G14" s="31">
        <f>'25-3'!$AF$13</f>
        <v/>
      </c>
      <c r="H14" s="31">
        <f>'25-4'!$AF$13</f>
        <v/>
      </c>
      <c r="I14" s="31">
        <f>'25-5'!$AF$13</f>
        <v/>
      </c>
      <c r="J14" s="28">
        <f>IF(SUM(E14:I14)=0,"Очікую",SUM(E14:I14))</f>
        <v/>
      </c>
      <c r="K14" s="4" t="n"/>
      <c r="L14" s="17" t="n"/>
    </row>
    <row r="15" ht="18.75" customHeight="1">
      <c r="A15" s="15" t="n"/>
      <c r="B15" s="4" t="n"/>
      <c r="C15" s="25" t="n">
        <v>6</v>
      </c>
      <c r="D15" s="29" t="inlineStr">
        <is>
          <t>Бондаренко О.С.</t>
        </is>
      </c>
      <c r="E15" s="30">
        <f>'25-1'!$AF$21</f>
        <v/>
      </c>
      <c r="F15" s="30">
        <f>'25-2'!$AF$21</f>
        <v/>
      </c>
      <c r="G15" s="30" t="n"/>
      <c r="H15" s="30" t="n"/>
      <c r="I15" s="30" t="n"/>
      <c r="J15" s="28">
        <f>IF(SUM(E15:I15)=0,"Очікую",SUM(E15:I15))</f>
        <v/>
      </c>
      <c r="K15" s="4" t="n"/>
      <c r="L15" s="17" t="n"/>
    </row>
    <row r="16" ht="18.75" customHeight="1">
      <c r="A16" s="15" t="n"/>
      <c r="B16" s="4" t="n"/>
      <c r="C16" s="25" t="n">
        <v>7</v>
      </c>
      <c r="D16" s="29" t="inlineStr">
        <is>
          <t>Возіян О.Г.</t>
        </is>
      </c>
      <c r="E16" s="30">
        <f>'25-1'!$AF$25</f>
        <v/>
      </c>
      <c r="F16" s="30">
        <f>'25-2'!$AF$25</f>
        <v/>
      </c>
      <c r="G16" s="30" t="n"/>
      <c r="H16" s="30" t="n"/>
      <c r="I16" s="30" t="n"/>
      <c r="J16" s="28">
        <f>IF(SUM(E16:I16)=0,"Очікую",SUM(E16:I16))</f>
        <v/>
      </c>
      <c r="K16" s="4" t="n"/>
      <c r="L16" s="17" t="n"/>
    </row>
    <row r="17" ht="18.75" customHeight="1">
      <c r="A17" s="15" t="n"/>
      <c r="B17" s="4" t="n"/>
      <c r="C17" s="25" t="n">
        <v>8</v>
      </c>
      <c r="D17" s="29" t="inlineStr">
        <is>
          <t>Галеніна І.С.</t>
        </is>
      </c>
      <c r="E17" s="30" t="n"/>
      <c r="F17" s="30" t="n"/>
      <c r="G17" s="30">
        <f>'25-3'!$AF$25</f>
        <v/>
      </c>
      <c r="H17" s="30">
        <f>'25-4'!$AF$25</f>
        <v/>
      </c>
      <c r="I17" s="30">
        <f>'25-5'!$AF$25</f>
        <v/>
      </c>
      <c r="J17" s="28">
        <f>IF(SUM(E17:I17)=0,"Очікую",SUM(E17:I17))</f>
        <v/>
      </c>
      <c r="K17" s="4" t="n"/>
      <c r="L17" s="17" t="n"/>
    </row>
    <row r="18" ht="18.75" customHeight="1">
      <c r="A18" s="15" t="n"/>
      <c r="B18" s="4" t="n"/>
      <c r="C18" s="25" t="n">
        <v>9</v>
      </c>
      <c r="D18" s="29" t="inlineStr">
        <is>
          <t>Земляна Т.М.</t>
        </is>
      </c>
      <c r="E18" s="30" t="n"/>
      <c r="F18" s="30" t="n"/>
      <c r="G18" s="30">
        <f>'25-3'!$AF$21</f>
        <v/>
      </c>
      <c r="H18" s="30">
        <f>'25-4'!$AF$21</f>
        <v/>
      </c>
      <c r="I18" s="30">
        <f>'25-5'!$AF$21</f>
        <v/>
      </c>
      <c r="J18" s="28">
        <f>IF(SUM(E18:I18)=0,"Очікую",SUM(E18:I18))</f>
        <v/>
      </c>
      <c r="K18" s="4" t="n"/>
      <c r="L18" s="17" t="n"/>
    </row>
    <row r="19" ht="18.75" customHeight="1">
      <c r="A19" s="15" t="n"/>
      <c r="B19" s="4" t="n"/>
      <c r="C19" s="25" t="n">
        <v>10</v>
      </c>
      <c r="D19" s="29" t="inlineStr">
        <is>
          <t>Калюта Н.М.</t>
        </is>
      </c>
      <c r="E19" s="30">
        <f>'25-1'!$AF$24</f>
        <v/>
      </c>
      <c r="F19" s="30">
        <f>'25-2'!$AF$24</f>
        <v/>
      </c>
      <c r="G19" s="30">
        <f>'25-3'!$AF$24</f>
        <v/>
      </c>
      <c r="H19" s="30">
        <f>'25-4'!$AF$24</f>
        <v/>
      </c>
      <c r="I19" s="30">
        <f>'25-5'!$AF$24</f>
        <v/>
      </c>
      <c r="J19" s="28">
        <f>IF(SUM(E19:I19)=0,"Очікую",SUM(E19:I19))</f>
        <v/>
      </c>
      <c r="K19" s="4" t="n"/>
      <c r="L19" s="17" t="n"/>
    </row>
    <row r="20" ht="18.75" customHeight="1">
      <c r="A20" s="15" t="n"/>
      <c r="B20" s="4" t="n"/>
      <c r="C20" s="25" t="n">
        <v>11</v>
      </c>
      <c r="D20" s="26" t="inlineStr">
        <is>
          <t>Лазар В.І.</t>
        </is>
      </c>
      <c r="E20" s="27">
        <f>'25-1'!$AF$17</f>
        <v/>
      </c>
      <c r="F20" s="27">
        <f>'25-2'!$AF$17</f>
        <v/>
      </c>
      <c r="G20" s="27">
        <f>'25-3'!$AF$17</f>
        <v/>
      </c>
      <c r="H20" s="27">
        <f>'25-4'!$AF$17</f>
        <v/>
      </c>
      <c r="I20" s="27">
        <f>'25-5'!$AF$17</f>
        <v/>
      </c>
      <c r="J20" s="28">
        <f>IF(SUM(E20:I20)=0,"Очікую",SUM(E20:I20))</f>
        <v/>
      </c>
      <c r="K20" s="4" t="n"/>
      <c r="L20" s="17" t="n"/>
    </row>
    <row r="21" ht="18.75" customHeight="1">
      <c r="A21" s="15" t="n"/>
      <c r="B21" s="4" t="n"/>
      <c r="C21" s="25" t="n">
        <v>12</v>
      </c>
      <c r="D21" s="32" t="inlineStr">
        <is>
          <t>Левчук Т.Г.</t>
        </is>
      </c>
      <c r="E21" s="30">
        <f>'25-1'!$AF$20</f>
        <v/>
      </c>
      <c r="F21" s="30">
        <f>'25-2'!$AF$20</f>
        <v/>
      </c>
      <c r="G21" s="30">
        <f>'25-3'!$AF$20</f>
        <v/>
      </c>
      <c r="H21" s="30">
        <f>'25-4'!$AF$20</f>
        <v/>
      </c>
      <c r="I21" s="30">
        <f>'25-5'!$AF$20</f>
        <v/>
      </c>
      <c r="J21" s="28">
        <f>IF(SUM(E21:I21)=0,"Очікую",SUM(E21:I21))</f>
        <v/>
      </c>
      <c r="K21" s="4" t="n"/>
      <c r="L21" s="17" t="n"/>
    </row>
    <row r="22" ht="18.75" customHeight="1">
      <c r="A22" s="15" t="n"/>
      <c r="B22" s="4" t="n"/>
      <c r="C22" s="25" t="n">
        <v>13</v>
      </c>
      <c r="D22" s="29" t="inlineStr">
        <is>
          <t>Мельничук С.А.</t>
        </is>
      </c>
      <c r="E22" s="27">
        <f>'25-1'!$AF$14</f>
        <v/>
      </c>
      <c r="F22" s="27">
        <f>'25-2'!$AF$14</f>
        <v/>
      </c>
      <c r="G22" s="27">
        <f>'25-3'!$AF$14</f>
        <v/>
      </c>
      <c r="H22" s="27">
        <f>'25-4'!$AF$14</f>
        <v/>
      </c>
      <c r="I22" s="27">
        <f>'25-5'!$AF$14</f>
        <v/>
      </c>
      <c r="J22" s="28">
        <f>IF(SUM(E22:I22)=0,"Очікую",SUM(E22:I22))</f>
        <v/>
      </c>
      <c r="K22" s="4" t="n"/>
      <c r="L22" s="17" t="n"/>
    </row>
    <row r="23" ht="18.75" customHeight="1">
      <c r="A23" s="15" t="n"/>
      <c r="B23" s="4" t="n"/>
      <c r="C23" s="25" t="n">
        <v>14</v>
      </c>
      <c r="D23" s="26" t="inlineStr">
        <is>
          <t>Наговська Т.С.</t>
        </is>
      </c>
      <c r="E23" s="27">
        <f>'25-1'!$AF$12 + '25-1'!$AF$15</f>
        <v/>
      </c>
      <c r="F23" s="27">
        <f>'25-2'!$AF$12 + '25-2'!$AF$15</f>
        <v/>
      </c>
      <c r="G23" s="27">
        <f>'25-3'!$AF$12 + '25-3'!$AF$15</f>
        <v/>
      </c>
      <c r="H23" s="27">
        <f>'25-4'!$AF$12 + '25-4'!$AF$15</f>
        <v/>
      </c>
      <c r="I23" s="27">
        <f>'25-5'!$AF$12 + '25-5'!$AF$15</f>
        <v/>
      </c>
      <c r="J23" s="28">
        <f>IF(SUM(E23:I23)=0,"Очікую",SUM(E23:I23))</f>
        <v/>
      </c>
      <c r="K23" s="4" t="n"/>
      <c r="L23" s="17" t="n"/>
    </row>
    <row r="24" ht="18.75" customHeight="1">
      <c r="A24" s="15" t="n"/>
      <c r="B24" s="4" t="n"/>
      <c r="C24" s="25" t="n">
        <v>15</v>
      </c>
      <c r="D24" s="32" t="inlineStr">
        <is>
          <t>Нічик Н.О.</t>
        </is>
      </c>
      <c r="E24" s="27">
        <f>'25-1'!$AF$18</f>
        <v/>
      </c>
      <c r="F24" s="27">
        <f>'25-2'!$AF$18</f>
        <v/>
      </c>
      <c r="G24" s="27">
        <f>'25-3'!$AF$18</f>
        <v/>
      </c>
      <c r="H24" s="27">
        <f>'25-4'!$AF$18</f>
        <v/>
      </c>
      <c r="I24" s="27">
        <f>'25-5'!$AF$18</f>
        <v/>
      </c>
      <c r="J24" s="28">
        <f>IF(SUM(E24:I24)=0,"Очікую",SUM(E24:I24))</f>
        <v/>
      </c>
      <c r="K24" s="4" t="n"/>
      <c r="L24" s="17" t="n"/>
    </row>
    <row r="25" ht="18.75" customHeight="1">
      <c r="A25" s="15" t="n"/>
      <c r="B25" s="4" t="n"/>
      <c r="C25" s="25" t="n">
        <v>16</v>
      </c>
      <c r="D25" s="29" t="inlineStr">
        <is>
          <t>Пономарьов К.М.</t>
        </is>
      </c>
      <c r="E25" s="30" t="n"/>
      <c r="F25" s="30" t="n"/>
      <c r="G25" s="30" t="n"/>
      <c r="H25" s="30">
        <f>'25-4'!$AF$26</f>
        <v/>
      </c>
      <c r="I25" s="30">
        <f>'25-5'!$AF$26</f>
        <v/>
      </c>
      <c r="J25" s="28">
        <f>IF(SUM(E25:I25)=0,"Очікую",SUM(E25:I25))</f>
        <v/>
      </c>
      <c r="K25" s="4" t="n"/>
      <c r="L25" s="17" t="n"/>
    </row>
    <row r="26" ht="18.75" customHeight="1">
      <c r="A26" s="15" t="n"/>
      <c r="B26" s="4" t="n"/>
      <c r="C26" s="25" t="n">
        <v>17</v>
      </c>
      <c r="D26" s="29" t="inlineStr">
        <is>
          <t>Сахно Н.О.</t>
        </is>
      </c>
      <c r="E26" s="30">
        <f>'25-1'!$AF$26</f>
        <v/>
      </c>
      <c r="F26" s="30">
        <f>'25-2'!$AF$26</f>
        <v/>
      </c>
      <c r="G26" s="30">
        <f>'25-3'!$AF$26</f>
        <v/>
      </c>
      <c r="H26" s="30" t="n"/>
      <c r="I26" s="30" t="n"/>
      <c r="J26" s="28">
        <f>IF(SUM(E26:I26)=0,"Очікую",SUM(E26:I26))</f>
        <v/>
      </c>
      <c r="K26" s="4" t="n"/>
      <c r="L26" s="17" t="n"/>
    </row>
    <row r="27" ht="18.75" customHeight="1">
      <c r="A27" s="15" t="n"/>
      <c r="B27" s="4" t="n"/>
      <c r="C27" s="25" t="n">
        <v>18</v>
      </c>
      <c r="D27" s="29" t="inlineStr">
        <is>
          <t>Юрченко О.Б.</t>
        </is>
      </c>
      <c r="E27" s="30">
        <f>'25-1'!$AF$22 + '25-1'!$AF$23</f>
        <v/>
      </c>
      <c r="F27" s="30" t="n"/>
      <c r="G27" s="30">
        <f>'25-3'!$AF$22 + '25-3'!$AF$23</f>
        <v/>
      </c>
      <c r="H27" s="30" t="n"/>
      <c r="I27" s="30">
        <f>'25-5'!$AF$22 + '25-5'!$AF$23</f>
        <v/>
      </c>
      <c r="J27" s="28">
        <f>IF(SUM(E27:I27)=0,"Очікую",SUM(E27:I27))</f>
        <v/>
      </c>
      <c r="K27" s="4" t="n"/>
      <c r="L27" s="17" t="n"/>
    </row>
    <row r="28" ht="18.75" customHeight="1">
      <c r="A28" s="15" t="n"/>
      <c r="B28" s="4" t="n"/>
      <c r="C28" s="33" t="n"/>
      <c r="D28" s="33" t="n"/>
      <c r="E28" s="34">
        <f>IF(SUM(E10:E27)=0,"Очікую",SUM(E10:E27))</f>
        <v/>
      </c>
      <c r="F28" s="34">
        <f>IF(SUM(F10:F27)=0,"Очікую",SUM(F10:F27))</f>
        <v/>
      </c>
      <c r="G28" s="34">
        <f>IF(SUM(G10:G27)=0,"Очікую",SUM(G10:G27))</f>
        <v/>
      </c>
      <c r="H28" s="34">
        <f>IF(SUM(H10:H27)=0,"Очікую",SUM(H10:H27))</f>
        <v/>
      </c>
      <c r="I28" s="34">
        <f>IF(SUM(I10:I27)=0,"Очікую",SUM(I10:I27))</f>
        <v/>
      </c>
      <c r="J28" s="28">
        <f>IF(SUM(J10:J27)=0,"Очікую",SUM(J10:J27))</f>
        <v/>
      </c>
      <c r="K28" s="4" t="n"/>
      <c r="L28" s="17" t="n"/>
    </row>
    <row r="29" ht="18.75" customHeight="1">
      <c r="A29" s="15" t="n"/>
      <c r="B29" s="4" t="n"/>
      <c r="C29" s="51" t="n"/>
      <c r="D29" s="35" t="n"/>
      <c r="E29" s="36" t="n"/>
      <c r="F29" s="36" t="n"/>
      <c r="G29" s="36" t="n"/>
      <c r="H29" s="36" t="n"/>
      <c r="I29" s="36" t="n"/>
      <c r="J29" s="22" t="inlineStr">
        <is>
          <t>Всього</t>
        </is>
      </c>
      <c r="K29" s="4" t="n"/>
      <c r="L29" s="17" t="n"/>
    </row>
    <row r="30" ht="18.75" customHeight="1">
      <c r="A30" s="15" t="n"/>
      <c r="B30" s="4" t="n"/>
      <c r="C30" s="51" t="n"/>
      <c r="D30" s="33" t="n"/>
      <c r="E30" s="36" t="n"/>
      <c r="F30" s="36" t="n"/>
      <c r="G30" s="36" t="n"/>
      <c r="H30" s="36" t="n"/>
      <c r="I30" s="36" t="n"/>
      <c r="J30" s="36" t="n"/>
      <c r="K30" s="4" t="n"/>
      <c r="L30" s="17" t="n"/>
    </row>
    <row r="31" ht="18.75" customHeight="1">
      <c r="A31" s="15" t="n"/>
      <c r="B31" s="4" t="n"/>
      <c r="C31" s="51" t="inlineStr">
        <is>
          <t>Завідувач відділення  ПЗСО   ______________  Маргарита БРІТІКОВА</t>
        </is>
      </c>
      <c r="K31" s="4" t="n"/>
      <c r="L31" s="17" t="n"/>
    </row>
    <row r="32" ht="18.75" customHeight="1">
      <c r="A32" s="15" t="n"/>
      <c r="B32" s="4" t="n"/>
      <c r="C32" s="18" t="n"/>
      <c r="D32" s="18" t="n"/>
      <c r="E32" s="18" t="n"/>
      <c r="F32" s="18" t="n"/>
      <c r="G32" s="18" t="n"/>
      <c r="H32" s="18" t="n"/>
      <c r="I32" s="18" t="n"/>
      <c r="J32" s="18" t="n"/>
      <c r="K32" s="4" t="n"/>
      <c r="L32" s="17" t="n"/>
    </row>
    <row r="33" ht="18.75" customHeight="1">
      <c r="A33" s="13" t="n"/>
      <c r="B33" s="14" t="n"/>
      <c r="C33" s="14" t="n"/>
      <c r="D33" s="14" t="n"/>
      <c r="E33" s="14" t="n"/>
      <c r="F33" s="14" t="n"/>
      <c r="G33" s="14" t="n"/>
      <c r="H33" s="14" t="n"/>
      <c r="I33" s="14" t="n"/>
      <c r="J33" s="14" t="n"/>
      <c r="K33" s="14" t="n"/>
      <c r="L33" s="13" t="n"/>
    </row>
    <row r="34" hidden="1" ht="18.75" customHeight="1"/>
    <row r="35" hidden="1" ht="18.75" customHeight="1"/>
    <row r="36" hidden="1" ht="18.75" customHeight="1"/>
    <row r="37" hidden="1" ht="18.75" customHeight="1"/>
    <row r="38" hidden="1" ht="18.75" customHeight="1"/>
    <row r="39" hidden="1" ht="18.75" customHeight="1"/>
    <row r="40" hidden="1" ht="18.75" customHeight="1"/>
    <row r="41" hidden="1" ht="18.75" customHeight="1"/>
    <row r="42" hidden="1" ht="18.75" customHeight="1"/>
    <row r="43" hidden="1" ht="18.75" customHeight="1"/>
    <row r="44" hidden="1" ht="18.75" customHeight="1"/>
    <row r="45" hidden="1" ht="18.75" customHeight="1"/>
    <row r="46" hidden="1" ht="18.75" customHeight="1"/>
    <row r="47" hidden="1" ht="18.75" customHeight="1"/>
    <row r="48" hidden="1" ht="18.75" customHeight="1"/>
    <row r="49" hidden="1" ht="18.75" customHeight="1"/>
    <row r="50" hidden="1" ht="18.75" customHeight="1"/>
    <row r="51" hidden="1" ht="18.75" customHeight="1"/>
    <row r="52" hidden="1" ht="18.75" customHeight="1"/>
    <row r="53" hidden="1" ht="18.75" customHeight="1"/>
    <row r="54" hidden="1" ht="18.75" customHeight="1"/>
    <row r="55" hidden="1" ht="18.75" customHeight="1"/>
    <row r="56" hidden="1" ht="18.75" customHeight="1"/>
    <row r="57" hidden="1" ht="18.75" customHeight="1"/>
    <row r="58" hidden="1" ht="18.75" customHeight="1"/>
    <row r="59" hidden="1" ht="18.75" customHeight="1"/>
    <row r="60" hidden="1" ht="18.75" customHeight="1"/>
    <row r="61" hidden="1" ht="18.75" customHeight="1"/>
    <row r="62" hidden="1" ht="18.75" customHeight="1"/>
    <row r="63" hidden="1" ht="18.75" customHeight="1"/>
    <row r="64" hidden="1" ht="18.75" customHeight="1"/>
    <row r="65" hidden="1" ht="18.75" customHeight="1"/>
    <row r="66" hidden="1" ht="18.75" customHeight="1"/>
    <row r="67" hidden="1" ht="18.75" customHeight="1"/>
    <row r="68" hidden="1" ht="18.75" customHeight="1"/>
    <row r="69" hidden="1" ht="18.75" customHeight="1"/>
    <row r="70" hidden="1" ht="18.75" customHeight="1"/>
    <row r="71" hidden="1" ht="18.75" customHeight="1"/>
    <row r="72" hidden="1" ht="18.75" customHeight="1"/>
    <row r="73" hidden="1" ht="18.75" customHeight="1"/>
    <row r="74" hidden="1" ht="18.75" customHeight="1"/>
    <row r="75" hidden="1" ht="18.75" customHeight="1"/>
    <row r="76" hidden="1" ht="18.75" customHeight="1"/>
    <row r="77" hidden="1" ht="18.75" customHeight="1"/>
    <row r="78" hidden="1" ht="18.75" customHeight="1"/>
    <row r="79" hidden="1" ht="18.75" customHeight="1"/>
    <row r="80" hidden="1" ht="18.75" customHeight="1"/>
    <row r="81" hidden="1" ht="18.75" customHeight="1"/>
    <row r="82" hidden="1" ht="18.75" customHeight="1"/>
    <row r="83" hidden="1" ht="18.75" customHeight="1"/>
    <row r="84" hidden="1" ht="18.75" customHeight="1"/>
    <row r="85" hidden="1" ht="18.75" customHeight="1"/>
    <row r="86" hidden="1" ht="18.75" customHeight="1"/>
    <row r="87" hidden="1" ht="18.75" customHeight="1"/>
    <row r="88" hidden="1" ht="18.75" customHeight="1"/>
    <row r="89" hidden="1" ht="18.75" customHeight="1"/>
    <row r="90" hidden="1" ht="18.75" customHeight="1"/>
    <row r="91" hidden="1" ht="18.75" customHeight="1"/>
    <row r="92" hidden="1" ht="18.75" customHeight="1"/>
    <row r="93" hidden="1" ht="18.75" customHeight="1"/>
    <row r="94" hidden="1" ht="18.75" customHeight="1"/>
    <row r="95" hidden="1" ht="18.75" customHeight="1"/>
    <row r="96" hidden="1" ht="18.75" customHeight="1"/>
    <row r="97" hidden="1" ht="18.75" customHeight="1"/>
    <row r="98" hidden="1" ht="18.75" customHeight="1"/>
    <row r="99" hidden="1" ht="18.75" customHeight="1"/>
    <row r="100" hidden="1" ht="18.75" customHeight="1"/>
    <row r="101" hidden="1" ht="18.75" customHeight="1"/>
    <row r="102" hidden="1" ht="18.75" customHeight="1"/>
    <row r="103" hidden="1" ht="18.75" customHeight="1"/>
    <row r="104" hidden="1" ht="18.75" customHeight="1"/>
    <row r="105" hidden="1" ht="18.75" customHeight="1"/>
    <row r="106" hidden="1" ht="18.75" customHeight="1"/>
    <row r="107" hidden="1" ht="18.75" customHeight="1"/>
    <row r="108" hidden="1" ht="18.75" customHeight="1"/>
    <row r="109" hidden="1" ht="18.75" customHeight="1"/>
    <row r="110" hidden="1" ht="18.75" customHeight="1"/>
    <row r="111" hidden="1" ht="18.75" customHeight="1"/>
    <row r="112" hidden="1" ht="18.75" customHeight="1"/>
    <row r="113" hidden="1" ht="18.75" customHeight="1"/>
    <row r="114" hidden="1" ht="12.95" customHeight="1" thickBot="1"/>
    <row r="115" hidden="1" ht="12" customHeight="1"/>
    <row r="116" hidden="1" ht="12" customHeight="1"/>
    <row r="117" hidden="1" ht="12" customHeight="1"/>
    <row r="118" hidden="1" ht="12" customHeight="1"/>
    <row r="119" hidden="1" ht="12" customHeight="1"/>
    <row r="120" hidden="1" ht="12" customHeight="1"/>
    <row r="121" hidden="1" ht="12" customHeight="1"/>
    <row r="122" hidden="1" ht="12" customHeight="1"/>
    <row r="123" hidden="1" ht="12" customHeight="1"/>
    <row r="124" hidden="1" ht="12" customHeight="1"/>
    <row r="125" hidden="1" ht="12" customHeight="1"/>
    <row r="126" hidden="1" ht="12" customHeight="1"/>
    <row r="127" hidden="1" ht="12" customHeight="1"/>
    <row r="128" hidden="1" ht="12" customHeight="1"/>
    <row r="129" hidden="1" ht="12" customHeight="1"/>
    <row r="130" hidden="1" ht="12" customHeight="1"/>
    <row r="131" hidden="1" ht="12" customHeight="1"/>
    <row r="132" hidden="1" ht="12" customHeight="1"/>
    <row r="133" hidden="1" ht="12" customHeight="1"/>
    <row r="134" hidden="1" ht="12" customHeight="1"/>
    <row r="135" hidden="1" ht="12" customHeight="1"/>
    <row r="136" hidden="1" ht="12" customHeight="1"/>
    <row r="137" hidden="1" ht="12" customHeight="1"/>
    <row r="138" hidden="1" ht="12" customHeight="1"/>
    <row r="139" hidden="1" ht="12" customHeight="1"/>
    <row r="140" hidden="1" ht="12" customHeight="1"/>
    <row r="141" hidden="1" ht="12" customHeight="1"/>
    <row r="142" hidden="1" ht="12" customHeight="1"/>
    <row r="143" hidden="1" ht="12" customHeight="1"/>
    <row r="144" hidden="1" ht="12" customHeight="1"/>
    <row r="145" hidden="1" ht="12" customHeight="1"/>
    <row r="146" hidden="1" ht="12" customHeight="1"/>
    <row r="147" hidden="1" ht="12" customHeight="1"/>
    <row r="148" hidden="1" ht="12" customHeight="1"/>
    <row r="149" hidden="1" ht="12" customHeight="1"/>
    <row r="150" hidden="1" ht="12" customHeight="1"/>
    <row r="151" hidden="1" ht="12" customHeight="1"/>
    <row r="152" hidden="1" ht="12" customHeight="1"/>
    <row r="153" hidden="1" ht="12" customHeight="1"/>
    <row r="154" hidden="1" ht="12" customHeight="1"/>
    <row r="155" hidden="1" ht="12" customHeight="1"/>
    <row r="156" hidden="1" ht="12" customHeight="1"/>
    <row r="157" hidden="1" ht="12" customHeight="1"/>
    <row r="158" hidden="1" ht="12" customHeight="1"/>
  </sheetData>
  <mergeCells count="5">
    <mergeCell ref="C4:J4"/>
    <mergeCell ref="C3:J3"/>
    <mergeCell ref="C6:J6"/>
    <mergeCell ref="C31:J31"/>
    <mergeCell ref="C8:J8"/>
  </mergeCells>
  <printOptions horizontalCentered="1"/>
  <pageMargins left="0.1968503937007874" right="0.1968503937007874" top="0.1968503937007874" bottom="0.1968503937007874" header="0" footer="0"/>
  <pageSetup orientation="portrait" paperSize="9" scale="38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SURKOV</dc:creator>
  <dcterms:created xmlns:dcterms="http://purl.org/dc/terms/" xmlns:xsi="http://www.w3.org/2001/XMLSchema-instance" xsi:type="dcterms:W3CDTF">2024-10-09T11:05:57Z</dcterms:created>
  <dcterms:modified xmlns:dcterms="http://purl.org/dc/terms/" xmlns:xsi="http://www.w3.org/2001/XMLSchema-instance" xsi:type="dcterms:W3CDTF">2026-06-18T15:58:18Z</dcterms:modified>
  <cp:lastModifiedBy>Maxim Surkov</cp:lastModifiedBy>
  <cp:lastPrinted>2026-04-27T16:54:37Z</cp:lastPrinted>
</cp:coreProperties>
</file>