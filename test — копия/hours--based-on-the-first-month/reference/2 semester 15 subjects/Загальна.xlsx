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51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'25-1'!$C$3:$M$19</definedName>
    <definedName name="A1048577" localSheetId="1">#REF!</definedName>
    <definedName name="Ф80" localSheetId="1">#REF!</definedName>
    <definedName name="_xlnm.Print_Area" localSheetId="1">'25-2'!$C$3:$M$19</definedName>
    <definedName name="A1048577" localSheetId="2">#REF!</definedName>
    <definedName name="Ф80" localSheetId="2">#REF!</definedName>
    <definedName name="_xlnm.Print_Area" localSheetId="2">'25-3'!$C$3:$M$19</definedName>
    <definedName name="A1048577" localSheetId="3">#REF!</definedName>
    <definedName name="Ф80" localSheetId="3">#REF!</definedName>
    <definedName name="_xlnm.Print_Area" localSheetId="3">'25-4'!$C$3:$M$19</definedName>
    <definedName name="A1048577" localSheetId="4">#REF!</definedName>
    <definedName name="Ф80" localSheetId="4">#REF!</definedName>
    <definedName name="_xlnm.Print_Area" localSheetId="4">'25-5'!$C$3:$M$19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rial Cyr"/>
      <charset val="204"/>
      <sz val="10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sz val="10"/>
    </font>
    <font>
      <name val="Times New Roman"/>
      <charset val="204"/>
      <family val="1"/>
      <sz val="12"/>
    </font>
    <font>
      <name val="Calibri"/>
      <family val="2"/>
      <color theme="1"/>
      <sz val="11"/>
      <scheme val="minor"/>
    </font>
    <font>
      <name val="Calibri"/>
      <charset val="204"/>
      <family val="2"/>
      <color rgb="FF000000"/>
      <sz val="11"/>
    </font>
    <font>
      <name val="Arial Cyr"/>
      <charset val="204"/>
      <sz val="10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color rgb="FFFF0000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BFBFB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auto="1"/>
      </left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2">
    <xf numFmtId="0" fontId="9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</cellStyleXfs>
  <cellXfs count="38">
    <xf numFmtId="0" fontId="0" fillId="0" borderId="0" pivotButton="0" quotePrefix="0" xfId="0"/>
    <xf numFmtId="0" fontId="5" fillId="3" borderId="0" applyAlignment="1" pivotButton="0" quotePrefix="0" xfId="26">
      <alignment horizontal="center" vertical="center"/>
    </xf>
    <xf numFmtId="0" fontId="10" fillId="2" borderId="0" applyAlignment="1" pivotButton="0" quotePrefix="0" xfId="27">
      <alignment vertical="center"/>
    </xf>
    <xf numFmtId="0" fontId="5" fillId="2" borderId="0" applyAlignment="1" pivotButton="0" quotePrefix="0" xfId="26">
      <alignment horizontal="center" vertical="center"/>
    </xf>
    <xf numFmtId="0" fontId="6" fillId="0" borderId="1" applyAlignment="1" pivotButton="0" quotePrefix="0" xfId="1">
      <alignment horizontal="left" vertical="center" wrapText="1"/>
    </xf>
    <xf numFmtId="0" fontId="6" fillId="0" borderId="1" applyAlignment="1" pivotButton="0" quotePrefix="0" xfId="1">
      <alignment horizontal="left" vertical="center"/>
    </xf>
    <xf numFmtId="0" fontId="6" fillId="0" borderId="7" applyAlignment="1" pivotButton="0" quotePrefix="0" xfId="1">
      <alignment horizontal="left" vertical="center" wrapText="1"/>
    </xf>
    <xf numFmtId="0" fontId="6" fillId="0" borderId="7" applyAlignment="1" pivotButton="0" quotePrefix="0" xfId="1">
      <alignment horizontal="left" vertical="center"/>
    </xf>
    <xf numFmtId="0" fontId="11" fillId="2" borderId="9" applyAlignment="1" pivotButton="0" quotePrefix="0" xfId="27">
      <alignment horizontal="center" vertical="center"/>
    </xf>
    <xf numFmtId="0" fontId="6" fillId="0" borderId="10" applyAlignment="1" pivotButton="0" quotePrefix="0" xfId="26">
      <alignment horizontal="center" vertical="center" wrapText="1"/>
    </xf>
    <xf numFmtId="0" fontId="6" fillId="4" borderId="10" applyAlignment="1" pivotButton="0" quotePrefix="0" xfId="26">
      <alignment horizontal="center" vertical="center" wrapText="1"/>
    </xf>
    <xf numFmtId="0" fontId="11" fillId="4" borderId="9" applyAlignment="1" pivotButton="0" quotePrefix="0" xfId="27">
      <alignment horizontal="center" vertical="center"/>
    </xf>
    <xf numFmtId="0" fontId="6" fillId="4" borderId="1" applyAlignment="1" pivotButton="0" quotePrefix="0" xfId="1">
      <alignment horizontal="left" vertical="center" wrapText="1"/>
    </xf>
    <xf numFmtId="0" fontId="6" fillId="4" borderId="7" applyAlignment="1" pivotButton="0" quotePrefix="0" xfId="1">
      <alignment horizontal="left" vertical="center" wrapText="1"/>
    </xf>
    <xf numFmtId="0" fontId="6" fillId="4" borderId="6" applyAlignment="1" pivotButton="0" quotePrefix="0" xfId="1">
      <alignment horizontal="left" vertical="center" wrapText="1"/>
    </xf>
    <xf numFmtId="0" fontId="6" fillId="4" borderId="11" applyAlignment="1" pivotButton="0" quotePrefix="0" xfId="1">
      <alignment horizontal="left" vertical="center" wrapText="1"/>
    </xf>
    <xf numFmtId="0" fontId="11" fillId="4" borderId="12" applyAlignment="1" pivotButton="0" quotePrefix="0" xfId="27">
      <alignment horizontal="center" vertical="center"/>
    </xf>
    <xf numFmtId="0" fontId="11" fillId="2" borderId="8" applyAlignment="1" pivotButton="0" quotePrefix="0" xfId="27">
      <alignment horizontal="center" vertical="center"/>
    </xf>
    <xf numFmtId="0" fontId="11" fillId="2" borderId="16" applyAlignment="1" pivotButton="0" quotePrefix="0" xfId="27">
      <alignment horizontal="center" vertical="center"/>
    </xf>
    <xf numFmtId="0" fontId="11" fillId="2" borderId="14" applyAlignment="1" pivotButton="0" quotePrefix="0" xfId="27">
      <alignment horizontal="center" vertical="center"/>
    </xf>
    <xf numFmtId="0" fontId="11" fillId="2" borderId="13" applyAlignment="1" pivotButton="0" quotePrefix="0" xfId="27">
      <alignment horizontal="center" vertical="center"/>
    </xf>
    <xf numFmtId="0" fontId="11" fillId="2" borderId="15" applyAlignment="1" pivotButton="0" quotePrefix="0" xfId="27">
      <alignment horizontal="center" vertical="center" wrapText="1"/>
    </xf>
    <xf numFmtId="0" fontId="6" fillId="0" borderId="7" applyAlignment="1" pivotButton="0" quotePrefix="0" xfId="1">
      <alignment horizontal="center" vertical="center" wrapText="1"/>
    </xf>
    <xf numFmtId="0" fontId="6" fillId="4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/>
    </xf>
    <xf numFmtId="0" fontId="6" fillId="0" borderId="1" applyAlignment="1" pivotButton="0" quotePrefix="0" xfId="1">
      <alignment horizontal="center" vertical="center" wrapText="1"/>
    </xf>
    <xf numFmtId="0" fontId="6" fillId="4" borderId="6" applyAlignment="1" pivotButton="0" quotePrefix="0" xfId="1">
      <alignment horizontal="center" vertical="center" wrapText="1"/>
    </xf>
    <xf numFmtId="0" fontId="12" fillId="5" borderId="0" applyAlignment="1" applyProtection="1" pivotButton="0" quotePrefix="0" xfId="5">
      <alignment horizontal="center" vertical="center"/>
      <protection locked="1" hidden="1"/>
    </xf>
    <xf numFmtId="0" fontId="5" fillId="3" borderId="2" applyAlignment="1" pivotButton="0" quotePrefix="0" xfId="26">
      <alignment vertical="center"/>
    </xf>
    <xf numFmtId="0" fontId="5" fillId="3" borderId="5" applyAlignment="1" pivotButton="0" quotePrefix="0" xfId="26">
      <alignment vertical="center"/>
    </xf>
    <xf numFmtId="0" fontId="5" fillId="3" borderId="4" applyAlignment="1" pivotButton="0" quotePrefix="0" xfId="26">
      <alignment vertical="center"/>
    </xf>
    <xf numFmtId="0" fontId="5" fillId="3" borderId="3" applyAlignment="1" pivotButton="0" quotePrefix="0" xfId="26">
      <alignment vertical="center"/>
    </xf>
    <xf numFmtId="0" fontId="5" fillId="3" borderId="0" applyAlignment="1" pivotButton="0" quotePrefix="0" xfId="26">
      <alignment vertical="center"/>
    </xf>
    <xf numFmtId="0" fontId="11" fillId="2" borderId="13" applyAlignment="1" pivotButton="0" quotePrefix="0" xfId="27">
      <alignment horizontal="center" vertical="center"/>
    </xf>
    <xf numFmtId="0" fontId="11" fillId="2" borderId="14" applyAlignment="1" pivotButton="0" quotePrefix="0" xfId="27">
      <alignment horizontal="center" vertical="center"/>
    </xf>
    <xf numFmtId="0" fontId="11" fillId="2" borderId="15" applyAlignment="1" pivotButton="0" quotePrefix="0" xfId="27">
      <alignment horizontal="center" vertical="center"/>
    </xf>
    <xf numFmtId="0" fontId="0" fillId="0" borderId="19" pivotButton="0" quotePrefix="0" xfId="0"/>
    <xf numFmtId="0" fontId="0" fillId="0" borderId="16" pivotButton="0" quotePrefix="0" xfId="0"/>
  </cellXfs>
  <cellStyles count="32">
    <cellStyle name="Обычный" xfId="0" builtinId="0"/>
    <cellStyle name="Обычный 2" xfId="1"/>
    <cellStyle name="Обычный 10" xfId="2"/>
    <cellStyle name="Обычный 10 2" xfId="3"/>
    <cellStyle name="Обычный 11" xfId="4"/>
    <cellStyle name="Обычный 11 2" xfId="5"/>
    <cellStyle name="Обычный 12" xfId="6"/>
    <cellStyle name="Обычный 13" xfId="7"/>
    <cellStyle name="Обычный 13 2" xfId="8"/>
    <cellStyle name="Обычный 2 2" xfId="9"/>
    <cellStyle name="Обычный 2 3" xfId="10"/>
    <cellStyle name="Обычный 2 3 2" xfId="11"/>
    <cellStyle name="Обычный 2 4" xfId="12"/>
    <cellStyle name="Обычный 2 4 2" xfId="13"/>
    <cellStyle name="Обычный 2 5" xfId="14"/>
    <cellStyle name="Обычный 3" xfId="15"/>
    <cellStyle name="Обычный 3 2" xfId="16"/>
    <cellStyle name="Обычный 4" xfId="17"/>
    <cellStyle name="Обычный 4 2" xfId="18"/>
    <cellStyle name="Обычный 5" xfId="19"/>
    <cellStyle name="Обычный 6" xfId="20"/>
    <cellStyle name="Обычный 7" xfId="21"/>
    <cellStyle name="Обычный 8" xfId="22"/>
    <cellStyle name="Обычный 8 2" xfId="23"/>
    <cellStyle name="Обычный 9" xfId="24"/>
    <cellStyle name="Обычный 9 2" xfId="25"/>
    <cellStyle name="Обычный 14" xfId="26"/>
    <cellStyle name="Обычный 13 2 2" xfId="27"/>
    <cellStyle name="Обычный 2 6" xfId="28"/>
    <cellStyle name="Обычный 13 2 2 2" xfId="29"/>
    <cellStyle name="Обычный 13 2 2 3" xfId="30"/>
    <cellStyle name="Обычный 13 2 2 4" xfId="3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0">
    <tabColor rgb="FF0070C0"/>
    <outlinePr summaryBelow="1" summaryRight="1"/>
    <pageSetUpPr fitToPage="1"/>
  </sheetPr>
  <dimension ref="A1:O21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3" min="1" max="2"/>
    <col width="3.7109375" customWidth="1" style="3" min="3" max="3"/>
    <col width="23.7109375" customWidth="1" style="3" min="4" max="4"/>
    <col width="20.7109375" customWidth="1" style="3" min="5" max="5"/>
    <col width="13.7109375" customWidth="1" style="3" min="6" max="18"/>
    <col width="2.71" customWidth="1" min="14" max="14"/>
    <col width="2.71" customWidth="1" min="15" max="15"/>
    <col hidden="1" width="13" customWidth="1" min="16" max="16"/>
    <col hidden="1" width="13" customWidth="1" min="17" max="17"/>
    <col hidden="1" width="13" customWidth="1" min="18" max="18"/>
    <col hidden="1" width="15.7109375" customWidth="1" style="3" min="19" max="19"/>
    <col hidden="1" width="2.7109375" customWidth="1" style="3" min="20" max="21"/>
    <col hidden="1" width="13" customWidth="1" min="21" max="21"/>
    <col hidden="1" width="9.140625" customWidth="1" style="3" min="22" max="22"/>
    <col hidden="1" style="3" min="23" max="33"/>
    <col hidden="1" width="9.140625" customWidth="1" style="3" min="34" max="34"/>
    <col hidden="1" style="3" min="35" max="43"/>
    <col hidden="1" width="9.140625" customWidth="1" style="3" min="44" max="44"/>
    <col hidden="1" style="3" min="45" max="48"/>
    <col hidden="1" width="9.140625" customWidth="1" style="3" min="49" max="49"/>
    <col hidden="1" style="3" min="50" max="61"/>
    <col hidden="1" width="9.140625" customWidth="1" style="3" min="62" max="62"/>
    <col hidden="1" style="3" min="63" max="66"/>
    <col hidden="1" width="9.140625" customWidth="1" style="3" min="67" max="67"/>
    <col hidden="1" style="3" min="68" max="79"/>
    <col hidden="1" width="9.140625" customWidth="1" style="3" min="80" max="16384"/>
  </cols>
  <sheetData>
    <row r="1" ht="12" customFormat="1" customHeight="1" s="1" thickBot="1">
      <c r="A1" s="27" t="inlineStr">
        <is>
          <t>S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2" t="n"/>
    </row>
    <row r="2" ht="12" customFormat="1" customHeight="1" s="1" thickBot="1">
      <c r="A2" s="30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8" t="n"/>
    </row>
    <row r="3" ht="30" customFormat="1" customHeight="1" s="1" thickBot="1">
      <c r="A3" s="30" t="n"/>
      <c r="B3" s="2" t="n"/>
      <c r="C3" s="33" t="inlineStr">
        <is>
          <t>№</t>
        </is>
      </c>
      <c r="D3" s="34" t="inlineStr">
        <is>
          <t>Предмети</t>
        </is>
      </c>
      <c r="E3" s="21" t="inlineStr">
        <is>
          <t>Прізвище та
ініціали викладача</t>
        </is>
      </c>
      <c r="F3" s="17" t="inlineStr">
        <is>
          <t>План</t>
        </is>
      </c>
      <c r="G3" s="18" t="inlineStr">
        <is>
          <t>Січень</t>
        </is>
      </c>
      <c r="H3" s="34" t="inlineStr">
        <is>
          <t>Лютий</t>
        </is>
      </c>
      <c r="I3" s="18" t="inlineStr">
        <is>
          <t>Березень</t>
        </is>
      </c>
      <c r="J3" s="34" t="inlineStr">
        <is>
          <t>Квітень</t>
        </is>
      </c>
      <c r="K3" s="18" t="inlineStr">
        <is>
          <t>Травень</t>
        </is>
      </c>
      <c r="L3" s="34" t="inlineStr">
        <is>
          <t>Червень</t>
        </is>
      </c>
      <c r="M3" s="17" t="inlineStr">
        <is>
          <t>Різниця</t>
        </is>
      </c>
      <c r="N3" s="2" t="n"/>
      <c r="O3" s="28" t="n"/>
    </row>
    <row r="4" ht="15" customFormat="1" customHeight="1" s="1">
      <c r="A4" s="30" t="n"/>
      <c r="B4" s="2" t="n"/>
      <c r="C4" s="9" t="n">
        <v>1</v>
      </c>
      <c r="D4" s="6" t="inlineStr">
        <is>
          <t>Астрономія</t>
        </is>
      </c>
      <c r="E4" s="6" t="inlineStr">
        <is>
          <t>Наговська Т.С.</t>
        </is>
      </c>
      <c r="F4" s="8" t="n">
        <v>46</v>
      </c>
      <c r="G4" s="22">
        <f>'[Січень.xlsx]25-1'!$Y12</f>
        <v/>
      </c>
      <c r="H4" s="22">
        <f>'[Лютий.xlsx]25-1'!$AF12</f>
        <v/>
      </c>
      <c r="I4" s="22">
        <f>'[Березень.xlsx]25-1'!$AI12</f>
        <v/>
      </c>
      <c r="J4" s="22">
        <f>'[Квітень.xlsx]25-1'!$AJ12</f>
        <v/>
      </c>
      <c r="K4" s="22">
        <f>'[Травень.xlsx]25-1'!$AJ12</f>
        <v/>
      </c>
      <c r="L4" s="22">
        <f>'[Червень.xlsx]25-1'!$AI12</f>
        <v/>
      </c>
      <c r="M4" s="8">
        <f>IF(COUNTBLANK(F4:L4)&gt;0,"Очікую", IF(F4-SUM(G4:L4)=0,"0", IF(F4-SUM(G4:L4)&lt;0,"Надлишок " &amp; (F4-SUM(G4:L4))*(-1),"Не вистачає " &amp; F4-SUM(G4:L4))))</f>
        <v/>
      </c>
      <c r="N4" s="2" t="n"/>
      <c r="O4" s="28" t="n"/>
    </row>
    <row r="5" ht="15" customFormat="1" customHeight="1" s="1">
      <c r="A5" s="30" t="n"/>
      <c r="B5" s="2" t="n"/>
      <c r="C5" s="10" t="n">
        <v>2</v>
      </c>
      <c r="D5" s="12" t="inlineStr">
        <is>
          <t>Біологія</t>
        </is>
      </c>
      <c r="E5" s="13" t="inlineStr">
        <is>
          <t>Богданенко О.В.</t>
        </is>
      </c>
      <c r="F5" s="11" t="n">
        <v>72</v>
      </c>
      <c r="G5" s="23">
        <f>'[Січень.xlsx]25-1'!$Y13</f>
        <v/>
      </c>
      <c r="H5" s="23">
        <f>'[Лютий.xlsx]25-1'!$AF13</f>
        <v/>
      </c>
      <c r="I5" s="23">
        <f>'[Березень.xlsx]25-1'!$AI13</f>
        <v/>
      </c>
      <c r="J5" s="23">
        <f>'[Квітень.xlsx]25-1'!$AJ13</f>
        <v/>
      </c>
      <c r="K5" s="23">
        <f>'[Травень.xlsx]25-1'!$AJ13</f>
        <v/>
      </c>
      <c r="L5" s="23">
        <f>'[Червень.xlsx]25-1'!$AI13</f>
        <v/>
      </c>
      <c r="M5" s="11">
        <f>IF(COUNTBLANK(F5:L5)&gt;0,"Очікую", IF(F5-SUM(G5:L5)=0,"0", IF(F5-SUM(G5:L5)&lt;0,"Надлишок " &amp; (F5-SUM(G5:L5))*(-1),"Не вистачає " &amp; F5-SUM(G5:L5))))</f>
        <v/>
      </c>
      <c r="N5" s="2" t="n"/>
      <c r="O5" s="28" t="n"/>
    </row>
    <row r="6" ht="15" customFormat="1" customHeight="1" s="1">
      <c r="A6" s="30" t="n"/>
      <c r="B6" s="2" t="n"/>
      <c r="C6" s="9" t="n">
        <v>3</v>
      </c>
      <c r="D6" s="5" t="inlineStr">
        <is>
          <t>Всесвітня історія</t>
        </is>
      </c>
      <c r="E6" s="7" t="inlineStr">
        <is>
          <t>Мельничук С.А.</t>
        </is>
      </c>
      <c r="F6" s="8" t="n">
        <v>46</v>
      </c>
      <c r="G6" s="24">
        <f>'[Січень.xlsx]25-1'!$Y14</f>
        <v/>
      </c>
      <c r="H6" s="24">
        <f>'[Лютий.xlsx]25-1'!$AF14</f>
        <v/>
      </c>
      <c r="I6" s="24">
        <f>'[Березень.xlsx]25-1'!$AI14</f>
        <v/>
      </c>
      <c r="J6" s="24">
        <f>'[Квітень.xlsx]25-1'!$AJ14</f>
        <v/>
      </c>
      <c r="K6" s="24">
        <f>'[Травень.xlsx]25-1'!$AJ14</f>
        <v/>
      </c>
      <c r="L6" s="24">
        <f>'[Червень.xlsx]25-1'!$AI14</f>
        <v/>
      </c>
      <c r="M6" s="8">
        <f>IF(COUNTBLANK(F6:L6)&gt;0,"Очікую", IF(F6-SUM(G6:L6)=0,"0", IF(F6-SUM(G6:L6)&lt;0,"Надлишок " &amp; (F6-SUM(G6:L6))*(-1),"Не вистачає " &amp; F6-SUM(G6:L6))))</f>
        <v/>
      </c>
      <c r="N6" s="2" t="n"/>
      <c r="O6" s="28" t="n"/>
    </row>
    <row r="7" ht="15" customFormat="1" customHeight="1" s="1">
      <c r="A7" s="30" t="n"/>
      <c r="B7" s="2" t="n"/>
      <c r="C7" s="10" t="n">
        <v>4</v>
      </c>
      <c r="D7" s="12" t="inlineStr">
        <is>
          <t>Географія</t>
        </is>
      </c>
      <c r="E7" s="13" t="inlineStr">
        <is>
          <t>Наговська Т.С.</t>
        </is>
      </c>
      <c r="F7" s="11" t="n">
        <v>48</v>
      </c>
      <c r="G7" s="23">
        <f>'[Січень.xlsx]25-1'!$Y15</f>
        <v/>
      </c>
      <c r="H7" s="23">
        <f>'[Лютий.xlsx]25-1'!$AF15</f>
        <v/>
      </c>
      <c r="I7" s="23">
        <f>'[Березень.xlsx]25-1'!$AI15</f>
        <v/>
      </c>
      <c r="J7" s="23">
        <f>'[Квітень.xlsx]25-1'!$AJ15</f>
        <v/>
      </c>
      <c r="K7" s="23">
        <f>'[Травень.xlsx]25-1'!$AJ15</f>
        <v/>
      </c>
      <c r="L7" s="23">
        <f>'[Червень.xlsx]25-1'!$AI15</f>
        <v/>
      </c>
      <c r="M7" s="11">
        <f>IF(COUNTBLANK(F7:L7)&gt;0,"Очікую", IF(F7-SUM(G7:L7)=0,"0", IF(F7-SUM(G7:L7)&lt;0,"Надлишок " &amp; (F7-SUM(G7:L7))*(-1),"Не вистачає " &amp; F7-SUM(G7:L7))))</f>
        <v/>
      </c>
      <c r="N7" s="2" t="n"/>
      <c r="O7" s="28" t="n"/>
    </row>
    <row r="8" ht="15" customFormat="1" customHeight="1" s="1">
      <c r="A8" s="30" t="n"/>
      <c r="B8" s="2" t="n"/>
      <c r="C8" s="9" t="n">
        <v>5</v>
      </c>
      <c r="D8" s="5" t="inlineStr">
        <is>
          <t>Зарубіжна література</t>
        </is>
      </c>
      <c r="E8" s="7" t="inlineStr">
        <is>
          <t>Бабенко Л.Е.</t>
        </is>
      </c>
      <c r="F8" s="8" t="n">
        <v>46</v>
      </c>
      <c r="G8" s="24">
        <f>'[Січень.xlsx]25-1'!$Y16</f>
        <v/>
      </c>
      <c r="H8" s="24">
        <f>'[Лютий.xlsx]25-1'!$AF16</f>
        <v/>
      </c>
      <c r="I8" s="24">
        <f>'[Березень.xlsx]25-1'!$AI16</f>
        <v/>
      </c>
      <c r="J8" s="24">
        <f>'[Квітень.xlsx]25-1'!$AJ16</f>
        <v/>
      </c>
      <c r="K8" s="24">
        <f>'[Травень.xlsx]25-1'!$AJ16</f>
        <v/>
      </c>
      <c r="L8" s="24">
        <f>'[Червень.xlsx]25-1'!$AI16</f>
        <v/>
      </c>
      <c r="M8" s="8">
        <f>IF(COUNTBLANK(F8:L8)&gt;0,"Очікую", IF(F8-SUM(G8:L8)=0,"0", IF(F8-SUM(G8:L8)&lt;0,"Надлишок " &amp; (F8-SUM(G8:L8))*(-1),"Не вистачає " &amp; F8-SUM(G8:L8))))</f>
        <v/>
      </c>
      <c r="N8" s="2" t="n"/>
      <c r="O8" s="28" t="n"/>
    </row>
    <row r="9" ht="15" customFormat="1" customHeight="1" s="1">
      <c r="A9" s="30" t="n"/>
      <c r="B9" s="2" t="n"/>
      <c r="C9" s="10" t="n">
        <v>6</v>
      </c>
      <c r="D9" s="12" t="inlineStr">
        <is>
          <t>Захист України</t>
        </is>
      </c>
      <c r="E9" s="13" t="inlineStr">
        <is>
          <t>Лазар В.І.</t>
        </is>
      </c>
      <c r="F9" s="11" t="n">
        <v>69</v>
      </c>
      <c r="G9" s="23">
        <f>'[Січень.xlsx]25-1'!$Y17</f>
        <v/>
      </c>
      <c r="H9" s="23">
        <f>'[Лютий.xlsx]25-1'!$AF17</f>
        <v/>
      </c>
      <c r="I9" s="23">
        <f>'[Березень.xlsx]25-1'!$AI17</f>
        <v/>
      </c>
      <c r="J9" s="23">
        <f>'[Квітень.xlsx]25-1'!$AJ17</f>
        <v/>
      </c>
      <c r="K9" s="23">
        <f>'[Травень.xlsx]25-1'!$AJ17</f>
        <v/>
      </c>
      <c r="L9" s="23">
        <f>'[Червень.xlsx]25-1'!$AI17</f>
        <v/>
      </c>
      <c r="M9" s="11">
        <f>IF(COUNTBLANK(F9:L9)&gt;0,"Очікую", IF(F9-SUM(G9:L9)=0,"0", IF(F9-SUM(G9:L9)&lt;0,"Надлишок " &amp; (F9-SUM(G9:L9))*(-1),"Не вистачає " &amp; F9-SUM(G9:L9))))</f>
        <v/>
      </c>
      <c r="N9" s="2" t="n"/>
      <c r="O9" s="28" t="n"/>
    </row>
    <row r="10" ht="15" customFormat="1" customHeight="1" s="1">
      <c r="A10" s="30" t="n"/>
      <c r="B10" s="2" t="n"/>
      <c r="C10" s="9" t="n">
        <v>7</v>
      </c>
      <c r="D10" s="4" t="inlineStr">
        <is>
          <t>Іноземна мова</t>
        </is>
      </c>
      <c r="E10" s="6" t="inlineStr">
        <is>
          <t>Нічик Н.О.</t>
        </is>
      </c>
      <c r="F10" s="8" t="n">
        <v>46</v>
      </c>
      <c r="G10" s="25">
        <f>'[Січень.xlsx]25-1'!$Y18</f>
        <v/>
      </c>
      <c r="H10" s="25">
        <f>'[Лютий.xlsx]25-1'!$AF18</f>
        <v/>
      </c>
      <c r="I10" s="25">
        <f>'[Березень.xlsx]25-1'!$AI18</f>
        <v/>
      </c>
      <c r="J10" s="25">
        <f>'[Квітень.xlsx]25-1'!$AJ18</f>
        <v/>
      </c>
      <c r="K10" s="25">
        <f>'[Травень.xlsx]25-1'!$AJ18</f>
        <v/>
      </c>
      <c r="L10" s="25">
        <f>'[Червень.xlsx]25-1'!$AI18</f>
        <v/>
      </c>
      <c r="M10" s="8">
        <f>IF(COUNTBLANK(F10:L10)&gt;0,"Очікую", IF(F10-SUM(G10:L10)=0,"0", IF(F10-SUM(G10:L10)&lt;0,"Надлишок " &amp; (F10-SUM(G10:L10))*(-1),"Не вистачає " &amp; F10-SUM(G10:L10))))</f>
        <v/>
      </c>
      <c r="N10" s="2" t="n"/>
      <c r="O10" s="28" t="n"/>
    </row>
    <row r="11" ht="15" customFormat="1" customHeight="1" s="1">
      <c r="A11" s="30" t="n"/>
      <c r="B11" s="2" t="n"/>
      <c r="C11" s="10" t="n">
        <v>8</v>
      </c>
      <c r="D11" s="12" t="inlineStr">
        <is>
          <t>Інформатика</t>
        </is>
      </c>
      <c r="E11" s="13" t="inlineStr">
        <is>
          <t>Андрльє І.О.</t>
        </is>
      </c>
      <c r="F11" s="11" t="n">
        <v>23</v>
      </c>
      <c r="G11" s="23">
        <f>'[Січень.xlsx]25-1'!$Y19</f>
        <v/>
      </c>
      <c r="H11" s="23">
        <f>'[Лютий.xlsx]25-1'!$AF19</f>
        <v/>
      </c>
      <c r="I11" s="23">
        <f>'[Березень.xlsx]25-1'!$AI19</f>
        <v/>
      </c>
      <c r="J11" s="23">
        <f>'[Квітень.xlsx]25-1'!$AJ19</f>
        <v/>
      </c>
      <c r="K11" s="23">
        <f>'[Травень.xlsx]25-1'!$AJ19</f>
        <v/>
      </c>
      <c r="L11" s="23">
        <f>'[Червень.xlsx]25-1'!$AI19</f>
        <v/>
      </c>
      <c r="M11" s="11">
        <f>IF(COUNTBLANK(F11:L11)&gt;0,"Очікую", IF(F11-SUM(G11:L11)=0,"0", IF(F11-SUM(G11:L11)&lt;0,"Надлишок " &amp; (F11-SUM(G11:L11))*(-1),"Не вистачає " &amp; F11-SUM(G11:L11))))</f>
        <v/>
      </c>
      <c r="N11" s="2" t="n"/>
      <c r="O11" s="28" t="n"/>
    </row>
    <row r="12" ht="15" customFormat="1" customHeight="1" s="1">
      <c r="A12" s="30" t="n"/>
      <c r="B12" s="2" t="n"/>
      <c r="C12" s="9" t="n">
        <v>9</v>
      </c>
      <c r="D12" s="4" t="inlineStr">
        <is>
          <t>Історія України</t>
        </is>
      </c>
      <c r="E12" s="6" t="inlineStr">
        <is>
          <t>Левчук Т.Г.</t>
        </is>
      </c>
      <c r="F12" s="8" t="n">
        <v>46</v>
      </c>
      <c r="G12" s="25">
        <f>'[Січень.xlsx]25-1'!$Y20</f>
        <v/>
      </c>
      <c r="H12" s="25">
        <f>'[Лютий.xlsx]25-1'!$AF20</f>
        <v/>
      </c>
      <c r="I12" s="25">
        <f>'[Березень.xlsx]25-1'!$AI20</f>
        <v/>
      </c>
      <c r="J12" s="25">
        <f>'[Квітень.xlsx]25-1'!$AJ20</f>
        <v/>
      </c>
      <c r="K12" s="25">
        <f>'[Травень.xlsx]25-1'!$AJ20</f>
        <v/>
      </c>
      <c r="L12" s="25">
        <f>'[Червень.xlsx]25-1'!$AI20</f>
        <v/>
      </c>
      <c r="M12" s="8">
        <f>IF(COUNTBLANK(F12:L12)&gt;0,"Очікую", IF(F12-SUM(G12:L12)=0,"0", IF(F12-SUM(G12:L12)&lt;0,"Надлишок " &amp; (F12-SUM(G12:L12))*(-1),"Не вистачає " &amp; F12-SUM(G12:L12))))</f>
        <v/>
      </c>
      <c r="N12" s="2" t="n"/>
      <c r="O12" s="28" t="n"/>
    </row>
    <row r="13" ht="15" customFormat="1" customHeight="1" s="1">
      <c r="A13" s="30" t="n"/>
      <c r="B13" s="2" t="n"/>
      <c r="C13" s="10" t="n">
        <v>10</v>
      </c>
      <c r="D13" s="12" t="inlineStr">
        <is>
          <t>Математика</t>
        </is>
      </c>
      <c r="E13" s="13" t="inlineStr">
        <is>
          <t>Бондаренко О.С.</t>
        </is>
      </c>
      <c r="F13" s="11" t="n">
        <v>69</v>
      </c>
      <c r="G13" s="23">
        <f>'[Січень.xlsx]25-1'!$Y21</f>
        <v/>
      </c>
      <c r="H13" s="23">
        <f>'[Лютий.xlsx]25-1'!$AF21</f>
        <v/>
      </c>
      <c r="I13" s="23">
        <f>'[Березень.xlsx]25-1'!$AI21</f>
        <v/>
      </c>
      <c r="J13" s="23">
        <f>'[Квітень.xlsx]25-1'!$AJ21</f>
        <v/>
      </c>
      <c r="K13" s="23">
        <f>'[Травень.xlsx]25-1'!$AJ21</f>
        <v/>
      </c>
      <c r="L13" s="23">
        <f>'[Червень.xlsx]25-1'!$AI21</f>
        <v/>
      </c>
      <c r="M13" s="11">
        <f>IF(COUNTBLANK(F13:L13)&gt;0,"Очікую", IF(F13-SUM(G13:L13)=0,"0", IF(F13-SUM(G13:L13)&lt;0,"Надлишок " &amp; (F13-SUM(G13:L13))*(-1),"Не вистачає " &amp; F13-SUM(G13:L13))))</f>
        <v/>
      </c>
      <c r="N13" s="2" t="n"/>
      <c r="O13" s="28" t="n"/>
    </row>
    <row r="14" ht="15" customFormat="1" customHeight="1" s="1">
      <c r="A14" s="30" t="n"/>
      <c r="B14" s="2" t="n"/>
      <c r="C14" s="9" t="n">
        <v>11</v>
      </c>
      <c r="D14" s="5" t="inlineStr">
        <is>
          <t>Українська література</t>
        </is>
      </c>
      <c r="E14" s="7" t="inlineStr">
        <is>
          <t>Юрченко О.Б.</t>
        </is>
      </c>
      <c r="F14" s="8" t="n">
        <v>46</v>
      </c>
      <c r="G14" s="24">
        <f>'[Січень.xlsx]25-1'!$Y22</f>
        <v/>
      </c>
      <c r="H14" s="24">
        <f>'[Лютий.xlsx]25-1'!$AF22</f>
        <v/>
      </c>
      <c r="I14" s="24">
        <f>'[Березень.xlsx]25-1'!$AI22</f>
        <v/>
      </c>
      <c r="J14" s="24">
        <f>'[Квітень.xlsx]25-1'!$AJ22</f>
        <v/>
      </c>
      <c r="K14" s="24">
        <f>'[Травень.xlsx]25-1'!$AJ22</f>
        <v/>
      </c>
      <c r="L14" s="24">
        <f>'[Червень.xlsx]25-1'!$AI22</f>
        <v/>
      </c>
      <c r="M14" s="8">
        <f>IF(COUNTBLANK(F14:L14)&gt;0,"Очікую", IF(F14-SUM(G14:L14)=0,"0", IF(F14-SUM(G14:L14)&lt;0,"Надлишок " &amp; (F14-SUM(G14:L14))*(-1),"Не вистачає " &amp; F14-SUM(G14:L14))))</f>
        <v/>
      </c>
      <c r="N14" s="2" t="n"/>
      <c r="O14" s="28" t="n"/>
    </row>
    <row r="15" ht="15" customFormat="1" customHeight="1" s="1">
      <c r="A15" s="30" t="n"/>
      <c r="B15" s="2" t="n"/>
      <c r="C15" s="10" t="n">
        <v>12</v>
      </c>
      <c r="D15" s="12" t="inlineStr">
        <is>
          <t>Українська мова</t>
        </is>
      </c>
      <c r="E15" s="13" t="inlineStr">
        <is>
          <t>Юрченко О.Б.</t>
        </is>
      </c>
      <c r="F15" s="11" t="n">
        <v>46</v>
      </c>
      <c r="G15" s="23">
        <f>'[Січень.xlsx]25-1'!$Y23</f>
        <v/>
      </c>
      <c r="H15" s="23">
        <f>'[Лютий.xlsx]25-1'!$AF23</f>
        <v/>
      </c>
      <c r="I15" s="23">
        <f>'[Березень.xlsx]25-1'!$AI23</f>
        <v/>
      </c>
      <c r="J15" s="23">
        <f>'[Квітень.xlsx]25-1'!$AJ23</f>
        <v/>
      </c>
      <c r="K15" s="23">
        <f>'[Травень.xlsx]25-1'!$AJ23</f>
        <v/>
      </c>
      <c r="L15" s="23">
        <f>'[Червень.xlsx]25-1'!$AI23</f>
        <v/>
      </c>
      <c r="M15" s="11">
        <f>IF(COUNTBLANK(F15:L15)&gt;0,"Очікую", IF(F15-SUM(G15:L15)=0,"0", IF(F15-SUM(G15:L15)&lt;0,"Надлишок " &amp; (F15-SUM(G15:L15))*(-1),"Не вистачає " &amp; F15-SUM(G15:L15))))</f>
        <v/>
      </c>
      <c r="N15" s="2" t="n"/>
      <c r="O15" s="28" t="n"/>
    </row>
    <row r="16" ht="15" customFormat="1" customHeight="1" s="1">
      <c r="A16" s="30" t="n"/>
      <c r="B16" s="2" t="n"/>
      <c r="C16" s="9" t="n">
        <v>13</v>
      </c>
      <c r="D16" s="5" t="inlineStr">
        <is>
          <t>Фізика</t>
        </is>
      </c>
      <c r="E16" s="7" t="inlineStr">
        <is>
          <t>Калюта Н.М.</t>
        </is>
      </c>
      <c r="F16" s="8" t="n">
        <v>46</v>
      </c>
      <c r="G16" s="24">
        <f>'[Січень.xlsx]25-1'!$Y24</f>
        <v/>
      </c>
      <c r="H16" s="24">
        <f>'[Лютий.xlsx]25-1'!$AF24</f>
        <v/>
      </c>
      <c r="I16" s="24">
        <f>'[Березень.xlsx]25-1'!$AI24</f>
        <v/>
      </c>
      <c r="J16" s="24">
        <f>'[Квітень.xlsx]25-1'!$AJ24</f>
        <v/>
      </c>
      <c r="K16" s="24">
        <f>'[Травень.xlsx]25-1'!$AJ24</f>
        <v/>
      </c>
      <c r="L16" s="24">
        <f>'[Червень.xlsx]25-1'!$AI24</f>
        <v/>
      </c>
      <c r="M16" s="8">
        <f>IF(COUNTBLANK(F16:L16)&gt;0,"Очікую", IF(F16-SUM(G16:L16)=0,"0", IF(F16-SUM(G16:L16)&lt;0,"Надлишок " &amp; (F16-SUM(G16:L16))*(-1),"Не вистачає " &amp; F16-SUM(G16:L16))))</f>
        <v/>
      </c>
      <c r="N16" s="2" t="n"/>
      <c r="O16" s="28" t="n"/>
    </row>
    <row r="17" ht="15" customFormat="1" customHeight="1" s="1">
      <c r="A17" s="30" t="n"/>
      <c r="B17" s="2" t="n"/>
      <c r="C17" s="10" t="n">
        <v>14</v>
      </c>
      <c r="D17" s="12" t="inlineStr">
        <is>
          <t>Фізична культура</t>
        </is>
      </c>
      <c r="E17" s="13" t="inlineStr">
        <is>
          <t>Возіян О.Г.</t>
        </is>
      </c>
      <c r="F17" s="11" t="n">
        <v>69</v>
      </c>
      <c r="G17" s="23">
        <f>'[Січень.xlsx]25-1'!$Y25</f>
        <v/>
      </c>
      <c r="H17" s="23">
        <f>'[Лютий.xlsx]25-1'!$AF25</f>
        <v/>
      </c>
      <c r="I17" s="23">
        <f>'[Березень.xlsx]25-1'!$AI25</f>
        <v/>
      </c>
      <c r="J17" s="23">
        <f>'[Квітень.xlsx]25-1'!$AJ25</f>
        <v/>
      </c>
      <c r="K17" s="23">
        <f>'[Травень.xlsx]25-1'!$AJ25</f>
        <v/>
      </c>
      <c r="L17" s="23">
        <f>'[Червень.xlsx]25-1'!$AI25</f>
        <v/>
      </c>
      <c r="M17" s="11">
        <f>IF(COUNTBLANK(F17:L17)&gt;0,"Очікую", IF(F17-SUM(G17:L17)=0,"0", IF(F17-SUM(G17:L17)&lt;0,"Надлишок " &amp; (F17-SUM(G17:L17))*(-1),"Не вистачає " &amp; F17-SUM(G17:L17))))</f>
        <v/>
      </c>
      <c r="N17" s="2" t="n"/>
      <c r="O17" s="28" t="n"/>
    </row>
    <row r="18" ht="15" customFormat="1" customHeight="1" s="1">
      <c r="A18" s="30" t="n"/>
      <c r="B18" s="2" t="n"/>
      <c r="C18" s="9" t="n">
        <v>15</v>
      </c>
      <c r="D18" s="4" t="inlineStr">
        <is>
          <t>Хімія</t>
        </is>
      </c>
      <c r="E18" s="6" t="inlineStr">
        <is>
          <t>Сахно Н.О.</t>
        </is>
      </c>
      <c r="F18" s="8" t="n">
        <v>54</v>
      </c>
      <c r="G18" s="25">
        <f>'[Січень.xlsx]25-1'!$Y26</f>
        <v/>
      </c>
      <c r="H18" s="25">
        <f>'[Лютий.xlsx]25-1'!$AF26</f>
        <v/>
      </c>
      <c r="I18" s="25">
        <f>'[Березень.xlsx]25-1'!$AI26</f>
        <v/>
      </c>
      <c r="J18" s="25">
        <f>'[Квітень.xlsx]25-1'!$AJ26</f>
        <v/>
      </c>
      <c r="K18" s="25">
        <f>'[Травень.xlsx]25-1'!$AJ26</f>
        <v/>
      </c>
      <c r="L18" s="25">
        <f>'[Червень.xlsx]25-1'!$AI26</f>
        <v/>
      </c>
      <c r="M18" s="8">
        <f>IF(COUNTBLANK(F18:L18)&gt;0,"Очікую", IF(F18-SUM(G18:L18)=0,"0", IF(F18-SUM(G18:L18)&lt;0,"Надлишок " &amp; (F18-SUM(G18:L18))*(-1),"Не вистачає " &amp; F18-SUM(G18:L18))))</f>
        <v/>
      </c>
      <c r="N18" s="2" t="n"/>
      <c r="O18" s="28" t="n"/>
    </row>
    <row r="19" ht="15" customFormat="1" customHeight="1" s="1">
      <c r="A19" s="30" t="n"/>
      <c r="B19" s="2" t="n"/>
      <c r="C19" s="33" t="inlineStr">
        <is>
          <t>Всього</t>
        </is>
      </c>
      <c r="D19" s="36" t="n"/>
      <c r="E19" s="37" t="n"/>
      <c r="F19" s="17">
        <f>IF(COUNTBLANK(F4:F18)&gt;0,"Очікую",SUM(F4:F18))</f>
        <v/>
      </c>
      <c r="G19" s="18">
        <f>IF(COUNTBLANK(G4:G18)&gt;0,"Очікую",SUM(G4:G18))</f>
        <v/>
      </c>
      <c r="H19" s="34">
        <f>IF(COUNTBLANK(H4:H18)&gt;0,"Очікую",SUM(H4:H18))</f>
        <v/>
      </c>
      <c r="I19" s="34">
        <f>IF(COUNTBLANK(I4:I18)&gt;0,"Очікую",SUM(I4:I18))</f>
        <v/>
      </c>
      <c r="J19" s="34">
        <f>IF(COUNTBLANK(J4:J18)&gt;0,"Очікую",SUM(J4:J18))</f>
        <v/>
      </c>
      <c r="K19" s="34">
        <f>IF(COUNTBLANK(K4:K18)&gt;0,"Очікую",SUM(K4:K18))</f>
        <v/>
      </c>
      <c r="L19" s="34">
        <f>IF(COUNTBLANK(L4:L18)&gt;0,"Очікую",SUM(L4:L18))</f>
        <v/>
      </c>
      <c r="M19" s="17">
        <f>IF(COUNTIF(F19:L19,"Очікую")&gt;0,"Очікую", IF(F19-SUM(G19:L19)=0,"0", IF(F19-SUM(G19:L19)&lt;0,"Надлишок "&amp;(F19-SUM(G19:L19))*(-1),"Не вистачає "&amp;F19-SUM(G19:L19))))</f>
        <v/>
      </c>
      <c r="N19" s="2" t="n"/>
      <c r="O19" s="28" t="n"/>
    </row>
    <row r="20" ht="15" customFormat="1" customHeight="1" s="1">
      <c r="A20" s="30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8" t="n"/>
    </row>
    <row r="21" ht="15" customFormat="1" customHeight="1" s="1">
      <c r="A21" s="1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  <c r="O21" s="32" t="n"/>
    </row>
    <row r="22" hidden="1" ht="15" customFormat="1" customHeight="1" s="1"/>
    <row r="23" hidden="1" ht="15" customFormat="1" customHeight="1" s="1"/>
    <row r="24" hidden="1" ht="15" customFormat="1" customHeight="1" s="1"/>
    <row r="25" hidden="1" ht="15" customFormat="1" customHeight="1" s="1"/>
    <row r="26" hidden="1" ht="15" customFormat="1" customHeight="1" s="1"/>
    <row r="27" hidden="1" ht="15" customFormat="1" customHeight="1" s="1"/>
    <row r="28" hidden="1" ht="15" customFormat="1" customHeight="1" s="1"/>
    <row r="29" hidden="1" ht="15" customFormat="1" customHeight="1" s="1"/>
    <row r="30" hidden="1" ht="15" customFormat="1" customHeight="1" s="1"/>
    <row r="31" hidden="1" ht="15" customFormat="1" customHeight="1" s="1"/>
    <row r="32" hidden="1" ht="15" customFormat="1" customHeight="1" s="1"/>
    <row r="33" hidden="1" ht="15" customFormat="1" customHeight="1" s="1" thickBot="1"/>
    <row r="34" hidden="1" ht="15" customFormat="1" customHeight="1" s="1" thickBot="1"/>
    <row r="35" hidden="1" ht="12.95" customHeight="1" thickBot="1"/>
    <row r="36" hidden="1" ht="12" customHeight="1"/>
    <row r="37" hidden="1" ht="12.75" customHeight="1"/>
    <row r="38" hidden="1" ht="12.75" customHeight="1"/>
    <row r="39" hidden="1" ht="12.75" customHeight="1"/>
    <row r="40" hidden="1" ht="12.75" customHeight="1"/>
    <row r="41" hidden="1" ht="12.75" customHeight="1"/>
    <row r="42" hidden="1" ht="12.75" customHeight="1"/>
    <row r="43" hidden="1" ht="12.75" customHeight="1"/>
    <row r="44" hidden="1" ht="12.75" customHeight="1"/>
    <row r="45" hidden="1" ht="12.75" customHeight="1"/>
    <row r="46" hidden="1" ht="12.75" customHeight="1"/>
    <row r="47" hidden="1" ht="12.75" customHeight="1"/>
    <row r="48" hidden="1" ht="12.75" customHeight="1"/>
    <row r="49" hidden="1" ht="12.75" customHeight="1"/>
    <row r="50" hidden="1" ht="12.75" customHeight="1"/>
    <row r="51" hidden="1" ht="12.75" customHeight="1"/>
    <row r="52" hidden="1" ht="12.75" customHeight="1"/>
  </sheetData>
  <mergeCells count="1">
    <mergeCell ref="C19:E19"/>
  </mergeCells>
  <printOptions horizontalCentered="1"/>
  <pageMargins left="0.1968503937007874" right="0.1968503937007874" top="0.1968503937007874" bottom="0.1968503937007874" header="0" footer="0"/>
  <pageSetup orientation="landscape" paperSize="9" scale="60"/>
</worksheet>
</file>

<file path=xl/worksheets/sheet2.xml><?xml version="1.0" encoding="utf-8"?>
<worksheet xmlns="http://schemas.openxmlformats.org/spreadsheetml/2006/main">
  <sheetPr codeName="Лист1">
    <tabColor rgb="FF0070C0"/>
    <outlinePr summaryBelow="1" summaryRight="1"/>
    <pageSetUpPr fitToPage="1"/>
  </sheetPr>
  <dimension ref="A1:O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3" min="1" max="2"/>
    <col width="3.7109375" customWidth="1" style="3" min="3" max="3"/>
    <col width="23.7109375" customWidth="1" style="3" min="4" max="4"/>
    <col width="20.7109375" customWidth="1" style="3" min="5" max="5"/>
    <col width="13.7109375" customWidth="1" style="3" min="6" max="18"/>
    <col width="2.71" customWidth="1" min="14" max="14"/>
    <col width="2.71" customWidth="1" min="15" max="15"/>
    <col hidden="1" width="13" customWidth="1" min="16" max="16"/>
    <col hidden="1" width="13" customWidth="1" min="17" max="17"/>
    <col hidden="1" width="13" customWidth="1" min="18" max="18"/>
    <col hidden="1" width="15.7109375" customWidth="1" style="3" min="19" max="19"/>
    <col hidden="1" width="2.7109375" customWidth="1" style="3" min="20" max="21"/>
    <col hidden="1" width="13" customWidth="1" min="21" max="21"/>
    <col hidden="1" width="9.140625" customWidth="1" style="3" min="22" max="22"/>
    <col hidden="1" style="3" min="23" max="33"/>
    <col hidden="1" width="9.140625" customWidth="1" style="3" min="34" max="34"/>
    <col hidden="1" style="3" min="35" max="43"/>
    <col hidden="1" width="9.140625" customWidth="1" style="3" min="44" max="44"/>
    <col hidden="1" style="3" min="45" max="48"/>
    <col hidden="1" width="9.140625" customWidth="1" style="3" min="49" max="49"/>
    <col hidden="1" style="3" min="50" max="61"/>
    <col hidden="1" width="9.140625" customWidth="1" style="3" min="62" max="62"/>
    <col hidden="1" style="3" min="63" max="66"/>
    <col hidden="1" width="9.140625" customWidth="1" style="3" min="67" max="67"/>
    <col hidden="1" style="3" min="68" max="78"/>
    <col hidden="1" width="9.140625" customWidth="1" style="3" min="79" max="16384"/>
  </cols>
  <sheetData>
    <row r="1" ht="12" customFormat="1" customHeight="1" s="1" thickBot="1">
      <c r="A1" s="27" t="inlineStr">
        <is>
          <t>S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2" t="n"/>
    </row>
    <row r="2" ht="12" customFormat="1" customHeight="1" s="1" thickBot="1">
      <c r="A2" s="30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8" t="n"/>
    </row>
    <row r="3" ht="30" customFormat="1" customHeight="1" s="1" thickBot="1">
      <c r="A3" s="30" t="n"/>
      <c r="B3" s="2" t="n"/>
      <c r="C3" s="33" t="inlineStr">
        <is>
          <t>№</t>
        </is>
      </c>
      <c r="D3" s="34" t="inlineStr">
        <is>
          <t>Предмети</t>
        </is>
      </c>
      <c r="E3" s="21" t="inlineStr">
        <is>
          <t>Прізвище та
ініціали викладача</t>
        </is>
      </c>
      <c r="F3" s="17" t="inlineStr">
        <is>
          <t>План</t>
        </is>
      </c>
      <c r="G3" s="18" t="inlineStr">
        <is>
          <t>Січень</t>
        </is>
      </c>
      <c r="H3" s="34" t="inlineStr">
        <is>
          <t>Лютий</t>
        </is>
      </c>
      <c r="I3" s="18" t="inlineStr">
        <is>
          <t>Березень</t>
        </is>
      </c>
      <c r="J3" s="34" t="inlineStr">
        <is>
          <t>Квітень</t>
        </is>
      </c>
      <c r="K3" s="18" t="inlineStr">
        <is>
          <t>Травень</t>
        </is>
      </c>
      <c r="L3" s="34" t="inlineStr">
        <is>
          <t>Червень</t>
        </is>
      </c>
      <c r="M3" s="17" t="inlineStr">
        <is>
          <t>Різниця</t>
        </is>
      </c>
      <c r="N3" s="2" t="n"/>
      <c r="O3" s="28" t="n"/>
    </row>
    <row r="4" ht="15" customFormat="1" customHeight="1" s="1">
      <c r="A4" s="30" t="n"/>
      <c r="B4" s="2" t="n"/>
      <c r="C4" s="9" t="n">
        <v>1</v>
      </c>
      <c r="D4" s="4" t="inlineStr">
        <is>
          <t>Астрономія</t>
        </is>
      </c>
      <c r="E4" s="6" t="inlineStr">
        <is>
          <t>Наговська Т.С.</t>
        </is>
      </c>
      <c r="F4" s="8" t="n">
        <v>46</v>
      </c>
      <c r="G4" s="25">
        <f>'[Січень.xlsx]25-2'!$Y12</f>
        <v/>
      </c>
      <c r="H4" s="25">
        <f>'[Лютий.xlsx]25-2'!$AF12</f>
        <v/>
      </c>
      <c r="I4" s="25">
        <f>'[Березень.xlsx]25-2'!$AI12</f>
        <v/>
      </c>
      <c r="J4" s="25">
        <f>'[Квітень.xlsx]25-2'!$AJ12</f>
        <v/>
      </c>
      <c r="K4" s="25">
        <f>'[Травень.xlsx]25-2'!$AJ12</f>
        <v/>
      </c>
      <c r="L4" s="25">
        <f>'[Червень.xlsx]25-2'!$AI12</f>
        <v/>
      </c>
      <c r="M4" s="8">
        <f>IF(COUNTBLANK(F4:L4)&gt;0,"Очікую", IF(F4-SUM(G4:L4)=0,"0", IF(F4-SUM(G4:L4)&lt;0,"Надлишок " &amp; (F4-SUM(G4:L4))*(-1),"Не вистачає " &amp; F4-SUM(G4:L4))))</f>
        <v/>
      </c>
      <c r="N4" s="2" t="n"/>
      <c r="O4" s="28" t="n"/>
    </row>
    <row r="5" ht="15" customFormat="1" customHeight="1" s="1">
      <c r="A5" s="30" t="n"/>
      <c r="B5" s="2" t="n"/>
      <c r="C5" s="10" t="n">
        <v>2</v>
      </c>
      <c r="D5" s="12" t="inlineStr">
        <is>
          <t>Біологія</t>
        </is>
      </c>
      <c r="E5" s="13" t="inlineStr">
        <is>
          <t>Богданенко О.В.</t>
        </is>
      </c>
      <c r="F5" s="11" t="n">
        <v>72</v>
      </c>
      <c r="G5" s="23">
        <f>'[Січень.xlsx]25-2'!$Y13</f>
        <v/>
      </c>
      <c r="H5" s="23">
        <f>'[Лютий.xlsx]25-2'!$AF13</f>
        <v/>
      </c>
      <c r="I5" s="23">
        <f>'[Березень.xlsx]25-2'!$AI13</f>
        <v/>
      </c>
      <c r="J5" s="23">
        <f>'[Квітень.xlsx]25-2'!$AJ13</f>
        <v/>
      </c>
      <c r="K5" s="23">
        <f>'[Травень.xlsx]25-2'!$AJ13</f>
        <v/>
      </c>
      <c r="L5" s="23">
        <f>'[Червень.xlsx]25-2'!$AI13</f>
        <v/>
      </c>
      <c r="M5" s="11">
        <f>IF(COUNTBLANK(F5:L5)&gt;0,"Очікую", IF(F5-SUM(G5:L5)=0,"0", IF(F5-SUM(G5:L5)&lt;0,"Надлишок " &amp; (F5-SUM(G5:L5))*(-1),"Не вистачає " &amp; F5-SUM(G5:L5))))</f>
        <v/>
      </c>
      <c r="N5" s="2" t="n"/>
      <c r="O5" s="28" t="n"/>
    </row>
    <row r="6" ht="15" customFormat="1" customHeight="1" s="1">
      <c r="A6" s="30" t="n"/>
      <c r="B6" s="2" t="n"/>
      <c r="C6" s="9" t="n">
        <v>3</v>
      </c>
      <c r="D6" s="5" t="inlineStr">
        <is>
          <t>Всесвітня історія</t>
        </is>
      </c>
      <c r="E6" s="7" t="inlineStr">
        <is>
          <t>Мельничук С.А.</t>
        </is>
      </c>
      <c r="F6" s="8" t="n">
        <v>46</v>
      </c>
      <c r="G6" s="24">
        <f>'[Січень.xlsx]25-2'!$Y14</f>
        <v/>
      </c>
      <c r="H6" s="24">
        <f>'[Лютий.xlsx]25-2'!$AF14</f>
        <v/>
      </c>
      <c r="I6" s="24">
        <f>'[Березень.xlsx]25-2'!$AI14</f>
        <v/>
      </c>
      <c r="J6" s="24">
        <f>'[Квітень.xlsx]25-2'!$AJ14</f>
        <v/>
      </c>
      <c r="K6" s="24">
        <f>'[Травень.xlsx]25-2'!$AJ14</f>
        <v/>
      </c>
      <c r="L6" s="24">
        <f>'[Червень.xlsx]25-2'!$AI14</f>
        <v/>
      </c>
      <c r="M6" s="8">
        <f>IF(COUNTBLANK(F6:L6)&gt;0,"Очікую", IF(F6-SUM(G6:L6)=0,"0", IF(F6-SUM(G6:L6)&lt;0,"Надлишок " &amp; (F6-SUM(G6:L6))*(-1),"Не вистачає " &amp; F6-SUM(G6:L6))))</f>
        <v/>
      </c>
      <c r="N6" s="2" t="n"/>
      <c r="O6" s="28" t="n"/>
    </row>
    <row r="7" ht="15" customFormat="1" customHeight="1" s="1">
      <c r="A7" s="30" t="n"/>
      <c r="B7" s="2" t="n"/>
      <c r="C7" s="10" t="n">
        <v>4</v>
      </c>
      <c r="D7" s="12" t="inlineStr">
        <is>
          <t>Географія</t>
        </is>
      </c>
      <c r="E7" s="13" t="inlineStr">
        <is>
          <t>Наговська Т.С.</t>
        </is>
      </c>
      <c r="F7" s="11" t="n">
        <v>48</v>
      </c>
      <c r="G7" s="23">
        <f>'[Січень.xlsx]25-2'!$Y15</f>
        <v/>
      </c>
      <c r="H7" s="23">
        <f>'[Лютий.xlsx]25-2'!$AF15</f>
        <v/>
      </c>
      <c r="I7" s="23">
        <f>'[Березень.xlsx]25-2'!$AI15</f>
        <v/>
      </c>
      <c r="J7" s="23">
        <f>'[Квітень.xlsx]25-2'!$AJ15</f>
        <v/>
      </c>
      <c r="K7" s="23">
        <f>'[Травень.xlsx]25-2'!$AJ15</f>
        <v/>
      </c>
      <c r="L7" s="23">
        <f>'[Червень.xlsx]25-2'!$AI15</f>
        <v/>
      </c>
      <c r="M7" s="11">
        <f>IF(COUNTBLANK(F7:L7)&gt;0,"Очікую", IF(F7-SUM(G7:L7)=0,"0", IF(F7-SUM(G7:L7)&lt;0,"Надлишок " &amp; (F7-SUM(G7:L7))*(-1),"Не вистачає " &amp; F7-SUM(G7:L7))))</f>
        <v/>
      </c>
      <c r="N7" s="2" t="n"/>
      <c r="O7" s="28" t="n"/>
    </row>
    <row r="8" ht="15" customFormat="1" customHeight="1" s="1">
      <c r="A8" s="30" t="n"/>
      <c r="B8" s="2" t="n"/>
      <c r="C8" s="9" t="n">
        <v>5</v>
      </c>
      <c r="D8" s="5" t="inlineStr">
        <is>
          <t>Зарубіжна література</t>
        </is>
      </c>
      <c r="E8" s="7" t="inlineStr">
        <is>
          <t>Бабенко Л. Е.</t>
        </is>
      </c>
      <c r="F8" s="8" t="n">
        <v>46</v>
      </c>
      <c r="G8" s="24">
        <f>'[Січень.xlsx]25-2'!$Y16</f>
        <v/>
      </c>
      <c r="H8" s="24">
        <f>'[Лютий.xlsx]25-2'!$AF16</f>
        <v/>
      </c>
      <c r="I8" s="24">
        <f>'[Березень.xlsx]25-2'!$AI16</f>
        <v/>
      </c>
      <c r="J8" s="24">
        <f>'[Квітень.xlsx]25-2'!$AJ16</f>
        <v/>
      </c>
      <c r="K8" s="24">
        <f>'[Травень.xlsx]25-2'!$AJ16</f>
        <v/>
      </c>
      <c r="L8" s="24">
        <f>'[Червень.xlsx]25-2'!$AI16</f>
        <v/>
      </c>
      <c r="M8" s="8">
        <f>IF(COUNTBLANK(F8:L8)&gt;0,"Очікую", IF(F8-SUM(G8:L8)=0,"0", IF(F8-SUM(G8:L8)&lt;0,"Надлишок " &amp; (F8-SUM(G8:L8))*(-1),"Не вистачає " &amp; F8-SUM(G8:L8))))</f>
        <v/>
      </c>
      <c r="N8" s="2" t="n"/>
      <c r="O8" s="28" t="n"/>
    </row>
    <row r="9" ht="15" customFormat="1" customHeight="1" s="1">
      <c r="A9" s="30" t="n"/>
      <c r="B9" s="2" t="n"/>
      <c r="C9" s="10" t="n">
        <v>6</v>
      </c>
      <c r="D9" s="12" t="inlineStr">
        <is>
          <t>Захист України</t>
        </is>
      </c>
      <c r="E9" s="13" t="inlineStr">
        <is>
          <t>Лазар В.І.</t>
        </is>
      </c>
      <c r="F9" s="11" t="n">
        <v>69</v>
      </c>
      <c r="G9" s="23">
        <f>'[Січень.xlsx]25-2'!$Y17</f>
        <v/>
      </c>
      <c r="H9" s="23">
        <f>'[Лютий.xlsx]25-2'!$AF17</f>
        <v/>
      </c>
      <c r="I9" s="23">
        <f>'[Березень.xlsx]25-2'!$AI17</f>
        <v/>
      </c>
      <c r="J9" s="23">
        <f>'[Квітень.xlsx]25-2'!$AJ17</f>
        <v/>
      </c>
      <c r="K9" s="23">
        <f>'[Травень.xlsx]25-2'!$AJ17</f>
        <v/>
      </c>
      <c r="L9" s="23">
        <f>'[Червень.xlsx]25-2'!$AI17</f>
        <v/>
      </c>
      <c r="M9" s="11">
        <f>IF(COUNTBLANK(F9:L9)&gt;0,"Очікую", IF(F9-SUM(G9:L9)=0,"0", IF(F9-SUM(G9:L9)&lt;0,"Надлишок " &amp; (F9-SUM(G9:L9))*(-1),"Не вистачає " &amp; F9-SUM(G9:L9))))</f>
        <v/>
      </c>
      <c r="N9" s="2" t="n"/>
      <c r="O9" s="28" t="n"/>
    </row>
    <row r="10" ht="15" customFormat="1" customHeight="1" s="1">
      <c r="A10" s="30" t="n"/>
      <c r="B10" s="2" t="n"/>
      <c r="C10" s="9" t="n">
        <v>7</v>
      </c>
      <c r="D10" s="4" t="inlineStr">
        <is>
          <t>Іноземна мова</t>
        </is>
      </c>
      <c r="E10" s="6" t="inlineStr">
        <is>
          <t>Нічик Н.О.</t>
        </is>
      </c>
      <c r="F10" s="8" t="n">
        <v>46</v>
      </c>
      <c r="G10" s="25">
        <f>'[Січень.xlsx]25-2'!$Y18</f>
        <v/>
      </c>
      <c r="H10" s="25">
        <f>'[Лютий.xlsx]25-2'!$AF18</f>
        <v/>
      </c>
      <c r="I10" s="25">
        <f>'[Березень.xlsx]25-2'!$AI18</f>
        <v/>
      </c>
      <c r="J10" s="25">
        <f>'[Квітень.xlsx]25-2'!$AJ18</f>
        <v/>
      </c>
      <c r="K10" s="25">
        <f>'[Травень.xlsx]25-2'!$AJ18</f>
        <v/>
      </c>
      <c r="L10" s="25">
        <f>'[Червень.xlsx]25-2'!$AI18</f>
        <v/>
      </c>
      <c r="M10" s="8">
        <f>IF(COUNTBLANK(F10:L10)&gt;0,"Очікую", IF(F10-SUM(G10:L10)=0,"0", IF(F10-SUM(G10:L10)&lt;0,"Надлишок " &amp; (F10-SUM(G10:L10))*(-1),"Не вистачає " &amp; F10-SUM(G10:L10))))</f>
        <v/>
      </c>
      <c r="N10" s="2" t="n"/>
      <c r="O10" s="28" t="n"/>
    </row>
    <row r="11" ht="15" customFormat="1" customHeight="1" s="1">
      <c r="A11" s="30" t="n"/>
      <c r="B11" s="2" t="n"/>
      <c r="C11" s="10" t="n">
        <v>8</v>
      </c>
      <c r="D11" s="12" t="inlineStr">
        <is>
          <t>Інформатика</t>
        </is>
      </c>
      <c r="E11" s="13" t="inlineStr">
        <is>
          <t>Андрльє І.О.</t>
        </is>
      </c>
      <c r="F11" s="11" t="n">
        <v>23</v>
      </c>
      <c r="G11" s="23">
        <f>'[Січень.xlsx]25-2'!$Y19</f>
        <v/>
      </c>
      <c r="H11" s="23">
        <f>'[Лютий.xlsx]25-2'!$AF19</f>
        <v/>
      </c>
      <c r="I11" s="23">
        <f>'[Березень.xlsx]25-2'!$AI19</f>
        <v/>
      </c>
      <c r="J11" s="23">
        <f>'[Квітень.xlsx]25-2'!$AJ19</f>
        <v/>
      </c>
      <c r="K11" s="23">
        <f>'[Травень.xlsx]25-2'!$AJ19</f>
        <v/>
      </c>
      <c r="L11" s="23">
        <f>'[Червень.xlsx]25-2'!$AI19</f>
        <v/>
      </c>
      <c r="M11" s="11">
        <f>IF(COUNTBLANK(F11:L11)&gt;0,"Очікую", IF(F11-SUM(G11:L11)=0,"0", IF(F11-SUM(G11:L11)&lt;0,"Надлишок " &amp; (F11-SUM(G11:L11))*(-1),"Не вистачає " &amp; F11-SUM(G11:L11))))</f>
        <v/>
      </c>
      <c r="N11" s="2" t="n"/>
      <c r="O11" s="28" t="n"/>
    </row>
    <row r="12" ht="15" customFormat="1" customHeight="1" s="1">
      <c r="A12" s="30" t="n"/>
      <c r="B12" s="2" t="n"/>
      <c r="C12" s="9" t="n">
        <v>9</v>
      </c>
      <c r="D12" s="4" t="inlineStr">
        <is>
          <t>Історія України</t>
        </is>
      </c>
      <c r="E12" s="6" t="inlineStr">
        <is>
          <t>Левчук Т.Г.</t>
        </is>
      </c>
      <c r="F12" s="8" t="n">
        <v>46</v>
      </c>
      <c r="G12" s="25">
        <f>'[Січень.xlsx]25-2'!$Y20</f>
        <v/>
      </c>
      <c r="H12" s="25">
        <f>'[Лютий.xlsx]25-2'!$AF20</f>
        <v/>
      </c>
      <c r="I12" s="25">
        <f>'[Березень.xlsx]25-2'!$AI20</f>
        <v/>
      </c>
      <c r="J12" s="25">
        <f>'[Квітень.xlsx]25-2'!$AJ20</f>
        <v/>
      </c>
      <c r="K12" s="25">
        <f>'[Травень.xlsx]25-2'!$AJ20</f>
        <v/>
      </c>
      <c r="L12" s="25">
        <f>'[Червень.xlsx]25-2'!$AI20</f>
        <v/>
      </c>
      <c r="M12" s="8">
        <f>IF(COUNTBLANK(F12:L12)&gt;0,"Очікую", IF(F12-SUM(G12:L12)=0,"0", IF(F12-SUM(G12:L12)&lt;0,"Надлишок " &amp; (F12-SUM(G12:L12))*(-1),"Не вистачає " &amp; F12-SUM(G12:L12))))</f>
        <v/>
      </c>
      <c r="N12" s="2" t="n"/>
      <c r="O12" s="28" t="n"/>
    </row>
    <row r="13" ht="15" customFormat="1" customHeight="1" s="1">
      <c r="A13" s="30" t="n"/>
      <c r="B13" s="2" t="n"/>
      <c r="C13" s="10" t="n">
        <v>10</v>
      </c>
      <c r="D13" s="12" t="inlineStr">
        <is>
          <t>Математика</t>
        </is>
      </c>
      <c r="E13" s="13" t="inlineStr">
        <is>
          <t>Бондаренко О.С.</t>
        </is>
      </c>
      <c r="F13" s="11" t="n">
        <v>69</v>
      </c>
      <c r="G13" s="23">
        <f>'[Січень.xlsx]25-2'!$Y21</f>
        <v/>
      </c>
      <c r="H13" s="23">
        <f>'[Лютий.xlsx]25-2'!$AF21</f>
        <v/>
      </c>
      <c r="I13" s="23">
        <f>'[Березень.xlsx]25-2'!$AI21</f>
        <v/>
      </c>
      <c r="J13" s="23">
        <f>'[Квітень.xlsx]25-2'!$AJ21</f>
        <v/>
      </c>
      <c r="K13" s="23">
        <f>'[Травень.xlsx]25-2'!$AJ21</f>
        <v/>
      </c>
      <c r="L13" s="23">
        <f>'[Червень.xlsx]25-2'!$AI21</f>
        <v/>
      </c>
      <c r="M13" s="11">
        <f>IF(COUNTBLANK(F13:L13)&gt;0,"Очікую", IF(F13-SUM(G13:L13)=0,"0", IF(F13-SUM(G13:L13)&lt;0,"Надлишок " &amp; (F13-SUM(G13:L13))*(-1),"Не вистачає " &amp; F13-SUM(G13:L13))))</f>
        <v/>
      </c>
      <c r="N13" s="2" t="n"/>
      <c r="O13" s="28" t="n"/>
    </row>
    <row r="14" ht="15" customFormat="1" customHeight="1" s="1">
      <c r="A14" s="30" t="n"/>
      <c r="B14" s="2" t="n"/>
      <c r="C14" s="9" t="n">
        <v>11</v>
      </c>
      <c r="D14" s="5" t="inlineStr">
        <is>
          <t>Українська література</t>
        </is>
      </c>
      <c r="E14" s="7" t="inlineStr">
        <is>
          <t>Антропова Л.І.</t>
        </is>
      </c>
      <c r="F14" s="8" t="n">
        <v>46</v>
      </c>
      <c r="G14" s="24">
        <f>'[Січень.xlsx]25-2'!$Y22</f>
        <v/>
      </c>
      <c r="H14" s="24">
        <f>'[Лютий.xlsx]25-2'!$AF22</f>
        <v/>
      </c>
      <c r="I14" s="24">
        <f>'[Березень.xlsx]25-2'!$AI22</f>
        <v/>
      </c>
      <c r="J14" s="24">
        <f>'[Квітень.xlsx]25-2'!$AJ22</f>
        <v/>
      </c>
      <c r="K14" s="24">
        <f>'[Травень.xlsx]25-2'!$AJ22</f>
        <v/>
      </c>
      <c r="L14" s="24">
        <f>'[Червень.xlsx]25-2'!$AI22</f>
        <v/>
      </c>
      <c r="M14" s="8">
        <f>IF(COUNTBLANK(F14:L14)&gt;0,"Очікую", IF(F14-SUM(G14:L14)=0,"0", IF(F14-SUM(G14:L14)&lt;0,"Надлишок " &amp; (F14-SUM(G14:L14))*(-1),"Не вистачає " &amp; F14-SUM(G14:L14))))</f>
        <v/>
      </c>
      <c r="N14" s="2" t="n"/>
      <c r="O14" s="28" t="n"/>
    </row>
    <row r="15" ht="15" customFormat="1" customHeight="1" s="1">
      <c r="A15" s="30" t="n"/>
      <c r="B15" s="2" t="n"/>
      <c r="C15" s="10" t="n">
        <v>12</v>
      </c>
      <c r="D15" s="12" t="inlineStr">
        <is>
          <t>Українська мова</t>
        </is>
      </c>
      <c r="E15" s="13" t="inlineStr">
        <is>
          <t>Антропова Л.І.</t>
        </is>
      </c>
      <c r="F15" s="11" t="n">
        <v>46</v>
      </c>
      <c r="G15" s="23">
        <f>'[Січень.xlsx]25-2'!$Y23</f>
        <v/>
      </c>
      <c r="H15" s="23">
        <f>'[Лютий.xlsx]25-2'!$AF23</f>
        <v/>
      </c>
      <c r="I15" s="23">
        <f>'[Березень.xlsx]25-2'!$AI23</f>
        <v/>
      </c>
      <c r="J15" s="23">
        <f>'[Квітень.xlsx]25-2'!$AJ23</f>
        <v/>
      </c>
      <c r="K15" s="23">
        <f>'[Травень.xlsx]25-2'!$AJ23</f>
        <v/>
      </c>
      <c r="L15" s="23">
        <f>'[Червень.xlsx]25-2'!$AI23</f>
        <v/>
      </c>
      <c r="M15" s="11">
        <f>IF(COUNTBLANK(F15:L15)&gt;0,"Очікую", IF(F15-SUM(G15:L15)=0,"0", IF(F15-SUM(G15:L15)&lt;0,"Надлишок " &amp; (F15-SUM(G15:L15))*(-1),"Не вистачає " &amp; F15-SUM(G15:L15))))</f>
        <v/>
      </c>
      <c r="N15" s="2" t="n"/>
      <c r="O15" s="28" t="n"/>
    </row>
    <row r="16" ht="15" customFormat="1" customHeight="1" s="1">
      <c r="A16" s="30" t="n"/>
      <c r="B16" s="2" t="n"/>
      <c r="C16" s="9" t="n">
        <v>13</v>
      </c>
      <c r="D16" s="5" t="inlineStr">
        <is>
          <t>Фізика</t>
        </is>
      </c>
      <c r="E16" s="7" t="inlineStr">
        <is>
          <t>Калюта Н.М.</t>
        </is>
      </c>
      <c r="F16" s="8" t="n">
        <v>46</v>
      </c>
      <c r="G16" s="24">
        <f>'[Січень.xlsx]25-2'!$Y24</f>
        <v/>
      </c>
      <c r="H16" s="24">
        <f>'[Лютий.xlsx]25-2'!$AF24</f>
        <v/>
      </c>
      <c r="I16" s="24">
        <f>'[Березень.xlsx]25-2'!$AI24</f>
        <v/>
      </c>
      <c r="J16" s="24">
        <f>'[Квітень.xlsx]25-2'!$AJ24</f>
        <v/>
      </c>
      <c r="K16" s="24">
        <f>'[Травень.xlsx]25-2'!$AJ24</f>
        <v/>
      </c>
      <c r="L16" s="24">
        <f>'[Червень.xlsx]25-2'!$AI24</f>
        <v/>
      </c>
      <c r="M16" s="8">
        <f>IF(COUNTBLANK(F16:L16)&gt;0,"Очікую", IF(F16-SUM(G16:L16)=0,"0", IF(F16-SUM(G16:L16)&lt;0,"Надлишок " &amp; (F16-SUM(G16:L16))*(-1),"Не вистачає " &amp; F16-SUM(G16:L16))))</f>
        <v/>
      </c>
      <c r="N16" s="2" t="n"/>
      <c r="O16" s="28" t="n"/>
    </row>
    <row r="17" ht="15" customFormat="1" customHeight="1" s="1">
      <c r="A17" s="30" t="n"/>
      <c r="B17" s="2" t="n"/>
      <c r="C17" s="10" t="n">
        <v>14</v>
      </c>
      <c r="D17" s="12" t="inlineStr">
        <is>
          <t>Фізична культура</t>
        </is>
      </c>
      <c r="E17" s="13" t="inlineStr">
        <is>
          <t>Возіян О.Г.</t>
        </is>
      </c>
      <c r="F17" s="11" t="n">
        <v>69</v>
      </c>
      <c r="G17" s="23">
        <f>'[Січень.xlsx]25-2'!$Y25</f>
        <v/>
      </c>
      <c r="H17" s="23">
        <f>'[Лютий.xlsx]25-2'!$AF25</f>
        <v/>
      </c>
      <c r="I17" s="23">
        <f>'[Березень.xlsx]25-2'!$AI25</f>
        <v/>
      </c>
      <c r="J17" s="23">
        <f>'[Квітень.xlsx]25-2'!$AJ25</f>
        <v/>
      </c>
      <c r="K17" s="23">
        <f>'[Травень.xlsx]25-2'!$AJ25</f>
        <v/>
      </c>
      <c r="L17" s="23">
        <f>'[Червень.xlsx]25-2'!$AI25</f>
        <v/>
      </c>
      <c r="M17" s="11">
        <f>IF(COUNTBLANK(F17:L17)&gt;0,"Очікую", IF(F17-SUM(G17:L17)=0,"0", IF(F17-SUM(G17:L17)&lt;0,"Надлишок " &amp; (F17-SUM(G17:L17))*(-1),"Не вистачає " &amp; F17-SUM(G17:L17))))</f>
        <v/>
      </c>
      <c r="N17" s="2" t="n"/>
      <c r="O17" s="28" t="n"/>
    </row>
    <row r="18" ht="15" customFormat="1" customHeight="1" s="1">
      <c r="A18" s="30" t="n"/>
      <c r="B18" s="2" t="n"/>
      <c r="C18" s="9" t="n">
        <v>15</v>
      </c>
      <c r="D18" s="4" t="inlineStr">
        <is>
          <t>Хімія</t>
        </is>
      </c>
      <c r="E18" s="6" t="inlineStr">
        <is>
          <t>Сахно Н.О.</t>
        </is>
      </c>
      <c r="F18" s="8" t="n">
        <v>54</v>
      </c>
      <c r="G18" s="25">
        <f>'[Січень.xlsx]25-2'!$Y26</f>
        <v/>
      </c>
      <c r="H18" s="25">
        <f>'[Лютий.xlsx]25-2'!$AF26</f>
        <v/>
      </c>
      <c r="I18" s="25">
        <f>'[Березень.xlsx]25-2'!$AI26</f>
        <v/>
      </c>
      <c r="J18" s="25">
        <f>'[Квітень.xlsx]25-2'!$AJ26</f>
        <v/>
      </c>
      <c r="K18" s="25">
        <f>'[Травень.xlsx]25-2'!$AJ26</f>
        <v/>
      </c>
      <c r="L18" s="25">
        <f>'[Червень.xlsx]25-2'!$AI26</f>
        <v/>
      </c>
      <c r="M18" s="8">
        <f>IF(COUNTBLANK(F18:L18)&gt;0,"Очікую", IF(F18-SUM(G18:L18)=0,"0", IF(F18-SUM(G18:L18)&lt;0,"Надлишок " &amp; (F18-SUM(G18:L18))*(-1),"Не вистачає " &amp; F18-SUM(G18:L18))))</f>
        <v/>
      </c>
      <c r="N18" s="2" t="n"/>
      <c r="O18" s="28" t="n"/>
    </row>
    <row r="19" ht="15" customFormat="1" customHeight="1" s="1">
      <c r="A19" s="30" t="n"/>
      <c r="B19" s="2" t="n"/>
      <c r="C19" s="33" t="inlineStr">
        <is>
          <t>Всього</t>
        </is>
      </c>
      <c r="D19" s="36" t="n"/>
      <c r="E19" s="37" t="n"/>
      <c r="F19" s="17">
        <f>IF(COUNTBLANK(F4:F18)&gt;0,"Очікую",SUM(F4:F18))</f>
        <v/>
      </c>
      <c r="G19" s="18">
        <f>IF(COUNTBLANK(G4:G18)&gt;0,"Очікую",SUM(G4:G18))</f>
        <v/>
      </c>
      <c r="H19" s="34">
        <f>IF(COUNTBLANK(H4:H18)&gt;0,"Очікую",SUM(H4:H18))</f>
        <v/>
      </c>
      <c r="I19" s="34">
        <f>IF(COUNTBLANK(I4:I18)&gt;0,"Очікую",SUM(I4:I18))</f>
        <v/>
      </c>
      <c r="J19" s="34">
        <f>IF(COUNTBLANK(J4:J18)&gt;0,"Очікую",SUM(J4:J18))</f>
        <v/>
      </c>
      <c r="K19" s="34">
        <f>IF(COUNTBLANK(K4:K18)&gt;0,"Очікую",SUM(K4:K18))</f>
        <v/>
      </c>
      <c r="L19" s="34">
        <f>IF(COUNTBLANK(L4:L18)&gt;0,"Очікую",SUM(L4:L18))</f>
        <v/>
      </c>
      <c r="M19" s="17">
        <f>IF(COUNTIF(F19:L19,"Очікую")&gt;0,"Очікую", IF(F19-SUM(G19:L19)=0,"0", IF(F19-SUM(G19:L19)&lt;0,"Надлишок "&amp;(F19-SUM(G19:L19))*(-1),"Не вистачає "&amp;F19-SUM(G19:L19))))</f>
        <v/>
      </c>
      <c r="N19" s="2" t="n"/>
      <c r="O19" s="28" t="n"/>
    </row>
    <row r="20" ht="15" customFormat="1" customHeight="1" s="1">
      <c r="A20" s="30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8" t="n"/>
    </row>
    <row r="21" ht="15" customFormat="1" customHeight="1" s="1">
      <c r="A21" s="1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  <c r="O21" s="32" t="n"/>
    </row>
    <row r="22" hidden="1" ht="15" customFormat="1" customHeight="1" s="1"/>
    <row r="23" hidden="1" ht="15" customFormat="1" customHeight="1" s="1"/>
    <row r="24" hidden="1" ht="15" customFormat="1" customHeight="1" s="1"/>
    <row r="25" hidden="1" ht="15" customFormat="1" customHeight="1" s="1"/>
    <row r="26" hidden="1" ht="15" customFormat="1" customHeight="1" s="1"/>
    <row r="27" hidden="1" ht="15" customFormat="1" customHeight="1" s="1"/>
    <row r="28" hidden="1" ht="15" customFormat="1" customHeight="1" s="1"/>
    <row r="29" hidden="1" ht="15" customFormat="1" customHeight="1" s="1"/>
    <row r="30" hidden="1" ht="15" customFormat="1" customHeight="1" s="1"/>
    <row r="31" hidden="1" ht="15" customFormat="1" customHeight="1" s="1"/>
    <row r="32" hidden="1" ht="15" customFormat="1" customHeight="1" s="1"/>
    <row r="33" hidden="1" ht="15" customFormat="1" customHeight="1" s="1" thickBot="1"/>
    <row r="34" hidden="1" ht="15" customFormat="1" customHeight="1" s="1" thickBot="1"/>
    <row r="35" hidden="1" ht="12.95" customHeight="1" thickBot="1"/>
    <row r="36" hidden="1" ht="12" customHeight="1"/>
    <row r="37" hidden="1" ht="12.75" customHeight="1"/>
    <row r="38" hidden="1" ht="12.75" customHeight="1"/>
    <row r="39" hidden="1" ht="12.75" customHeight="1"/>
    <row r="40" hidden="1" ht="12.75" customHeight="1"/>
    <row r="41" hidden="1" ht="12.75" customHeight="1"/>
    <row r="42" hidden="1" ht="12.75" customHeight="1"/>
    <row r="43" hidden="1" ht="12.75" customHeight="1"/>
    <row r="44" hidden="1" ht="12.75" customHeight="1"/>
    <row r="45" hidden="1" ht="12.75" customHeight="1"/>
    <row r="46" hidden="1" ht="12.75" customHeight="1"/>
    <row r="47" hidden="1" ht="12.75" customHeight="1"/>
    <row r="48" hidden="1" ht="12.75" customHeight="1"/>
    <row r="49" hidden="1" ht="12.75" customHeight="1"/>
    <row r="50" hidden="1" ht="12.75" customHeight="1"/>
    <row r="51" hidden="1" ht="12.75" customHeight="1"/>
    <row r="52" hidden="1" ht="12.75" customHeight="1"/>
  </sheetData>
  <mergeCells count="1">
    <mergeCell ref="C19:E19"/>
  </mergeCells>
  <printOptions horizontalCentered="1"/>
  <pageMargins left="0.1968503937007874" right="0.1968503937007874" top="0.1968503937007874" bottom="0.1968503937007874" header="0" footer="0"/>
  <pageSetup orientation="landscape" paperSize="9" scale="60"/>
</worksheet>
</file>

<file path=xl/worksheets/sheet3.xml><?xml version="1.0" encoding="utf-8"?>
<worksheet xmlns="http://schemas.openxmlformats.org/spreadsheetml/2006/main">
  <sheetPr codeName="Лист2">
    <tabColor rgb="FF0070C0"/>
    <outlinePr summaryBelow="1" summaryRight="1"/>
    <pageSetUpPr fitToPage="1"/>
  </sheetPr>
  <dimension ref="A1:O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3" min="1" max="2"/>
    <col width="3.7109375" customWidth="1" style="3" min="3" max="3"/>
    <col width="23.7109375" customWidth="1" style="3" min="4" max="4"/>
    <col width="20.7109375" customWidth="1" style="3" min="5" max="5"/>
    <col width="13.7109375" customWidth="1" style="3" min="6" max="18"/>
    <col width="2.71" customWidth="1" min="14" max="14"/>
    <col width="2.71" customWidth="1" min="15" max="15"/>
    <col hidden="1" width="13" customWidth="1" min="16" max="16"/>
    <col hidden="1" width="13" customWidth="1" min="17" max="17"/>
    <col hidden="1" width="13" customWidth="1" min="18" max="18"/>
    <col hidden="1" width="15.7109375" customWidth="1" style="3" min="19" max="19"/>
    <col hidden="1" width="2.7109375" customWidth="1" style="3" min="20" max="21"/>
    <col hidden="1" width="13" customWidth="1" min="21" max="21"/>
    <col hidden="1" width="9.140625" customWidth="1" style="3" min="22" max="22"/>
    <col hidden="1" style="3" min="23" max="33"/>
    <col hidden="1" width="9.140625" customWidth="1" style="3" min="34" max="34"/>
    <col hidden="1" style="3" min="35" max="43"/>
    <col hidden="1" width="9.140625" customWidth="1" style="3" min="44" max="44"/>
    <col hidden="1" style="3" min="45" max="48"/>
    <col hidden="1" width="9.140625" customWidth="1" style="3" min="49" max="49"/>
    <col hidden="1" style="3" min="50" max="61"/>
    <col hidden="1" width="9.140625" customWidth="1" style="3" min="62" max="62"/>
    <col hidden="1" style="3" min="63" max="66"/>
    <col hidden="1" width="9.140625" customWidth="1" style="3" min="67" max="67"/>
    <col hidden="1" style="3" min="68" max="78"/>
    <col hidden="1" width="9.140625" customWidth="1" style="3" min="79" max="16384"/>
  </cols>
  <sheetData>
    <row r="1" ht="12" customFormat="1" customHeight="1" s="1" thickBot="1">
      <c r="A1" s="27" t="inlineStr">
        <is>
          <t>S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2" t="n"/>
    </row>
    <row r="2" ht="12" customFormat="1" customHeight="1" s="1" thickBot="1">
      <c r="A2" s="30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8" t="n"/>
    </row>
    <row r="3" ht="30" customFormat="1" customHeight="1" s="1" thickBot="1">
      <c r="A3" s="30" t="n"/>
      <c r="B3" s="2" t="n"/>
      <c r="C3" s="33" t="inlineStr">
        <is>
          <t>№</t>
        </is>
      </c>
      <c r="D3" s="34" t="inlineStr">
        <is>
          <t>Предмети</t>
        </is>
      </c>
      <c r="E3" s="21" t="inlineStr">
        <is>
          <t>Прізвище та
ініціали викладача</t>
        </is>
      </c>
      <c r="F3" s="17" t="inlineStr">
        <is>
          <t>План</t>
        </is>
      </c>
      <c r="G3" s="18" t="inlineStr">
        <is>
          <t>Січень</t>
        </is>
      </c>
      <c r="H3" s="34" t="inlineStr">
        <is>
          <t>Лютий</t>
        </is>
      </c>
      <c r="I3" s="18" t="inlineStr">
        <is>
          <t>Березень</t>
        </is>
      </c>
      <c r="J3" s="34" t="inlineStr">
        <is>
          <t>Квітень</t>
        </is>
      </c>
      <c r="K3" s="18" t="inlineStr">
        <is>
          <t>Травень</t>
        </is>
      </c>
      <c r="L3" s="34" t="inlineStr">
        <is>
          <t>Червень</t>
        </is>
      </c>
      <c r="M3" s="17" t="inlineStr">
        <is>
          <t>Різниця</t>
        </is>
      </c>
      <c r="N3" s="2" t="n"/>
      <c r="O3" s="28" t="n"/>
    </row>
    <row r="4" ht="15" customFormat="1" customHeight="1" s="1">
      <c r="A4" s="30" t="n"/>
      <c r="B4" s="2" t="n"/>
      <c r="C4" s="9" t="n">
        <v>1</v>
      </c>
      <c r="D4" s="4" t="inlineStr">
        <is>
          <t>Астрономія</t>
        </is>
      </c>
      <c r="E4" s="6" t="inlineStr">
        <is>
          <t>Наговська Т.С.</t>
        </is>
      </c>
      <c r="F4" s="8" t="n">
        <v>46</v>
      </c>
      <c r="G4" s="25">
        <f>'[Січень.xlsx]25-3'!$Y12</f>
        <v/>
      </c>
      <c r="H4" s="25">
        <f>'[Лютий.xlsx]25-3'!$AF12</f>
        <v/>
      </c>
      <c r="I4" s="25">
        <f>'[Березень.xlsx]25-3'!$AI12</f>
        <v/>
      </c>
      <c r="J4" s="25">
        <f>'[Квітень.xlsx]25-3'!$AJ12</f>
        <v/>
      </c>
      <c r="K4" s="25">
        <f>'[Травень.xlsx]25-3'!$AJ12</f>
        <v/>
      </c>
      <c r="L4" s="25">
        <f>'[Червень.xlsx]25-3'!$AI12</f>
        <v/>
      </c>
      <c r="M4" s="8">
        <f>IF(COUNTBLANK(F4:L4)&gt;0,"Очікую", IF(F4-SUM(G4:L4)=0,"0", IF(F4-SUM(G4:L4)&lt;0,"Надлишок " &amp; (F4-SUM(G4:L4))*(-1),"Не вистачає " &amp; F4-SUM(G4:L4))))</f>
        <v/>
      </c>
      <c r="N4" s="2" t="n"/>
      <c r="O4" s="28" t="n"/>
    </row>
    <row r="5" ht="15" customFormat="1" customHeight="1" s="1">
      <c r="A5" s="30" t="n"/>
      <c r="B5" s="2" t="n"/>
      <c r="C5" s="10" t="n">
        <v>2</v>
      </c>
      <c r="D5" s="12" t="inlineStr">
        <is>
          <t>Біологія</t>
        </is>
      </c>
      <c r="E5" s="13" t="inlineStr">
        <is>
          <t>Богданенко О.В.</t>
        </is>
      </c>
      <c r="F5" s="11" t="n">
        <v>72</v>
      </c>
      <c r="G5" s="23">
        <f>'[Січень.xlsx]25-3'!$Y13</f>
        <v/>
      </c>
      <c r="H5" s="23">
        <f>'[Лютий.xlsx]25-3'!$AF13</f>
        <v/>
      </c>
      <c r="I5" s="23">
        <f>'[Березень.xlsx]25-3'!$AI13</f>
        <v/>
      </c>
      <c r="J5" s="23">
        <f>'[Квітень.xlsx]25-3'!$AJ13</f>
        <v/>
      </c>
      <c r="K5" s="23">
        <f>'[Травень.xlsx]25-3'!$AJ13</f>
        <v/>
      </c>
      <c r="L5" s="23">
        <f>'[Червень.xlsx]25-3'!$AI13</f>
        <v/>
      </c>
      <c r="M5" s="11">
        <f>IF(COUNTBLANK(F5:L5)&gt;0,"Очікую", IF(F5-SUM(G5:L5)=0,"0", IF(F5-SUM(G5:L5)&lt;0,"Надлишок " &amp; (F5-SUM(G5:L5))*(-1),"Не вистачає " &amp; F5-SUM(G5:L5))))</f>
        <v/>
      </c>
      <c r="N5" s="2" t="n"/>
      <c r="O5" s="28" t="n"/>
    </row>
    <row r="6" ht="15" customFormat="1" customHeight="1" s="1">
      <c r="A6" s="30" t="n"/>
      <c r="B6" s="2" t="n"/>
      <c r="C6" s="9" t="n">
        <v>3</v>
      </c>
      <c r="D6" s="5" t="inlineStr">
        <is>
          <t>Всесвітня історія</t>
        </is>
      </c>
      <c r="E6" s="7" t="inlineStr">
        <is>
          <t>Мельничук С.А.</t>
        </is>
      </c>
      <c r="F6" s="8" t="n">
        <v>46</v>
      </c>
      <c r="G6" s="24">
        <f>'[Січень.xlsx]25-3'!$Y14</f>
        <v/>
      </c>
      <c r="H6" s="24">
        <f>'[Лютий.xlsx]25-3'!$AF14</f>
        <v/>
      </c>
      <c r="I6" s="24">
        <f>'[Березень.xlsx]25-3'!$AI14</f>
        <v/>
      </c>
      <c r="J6" s="24">
        <f>'[Квітень.xlsx]25-3'!$AJ14</f>
        <v/>
      </c>
      <c r="K6" s="24">
        <f>'[Травень.xlsx]25-3'!$AJ14</f>
        <v/>
      </c>
      <c r="L6" s="24">
        <f>'[Червень.xlsx]25-3'!$AI14</f>
        <v/>
      </c>
      <c r="M6" s="8">
        <f>IF(COUNTBLANK(F6:L6)&gt;0,"Очікую", IF(F6-SUM(G6:L6)=0,"0", IF(F6-SUM(G6:L6)&lt;0,"Надлишок " &amp; (F6-SUM(G6:L6))*(-1),"Не вистачає " &amp; F6-SUM(G6:L6))))</f>
        <v/>
      </c>
      <c r="N6" s="2" t="n"/>
      <c r="O6" s="28" t="n"/>
    </row>
    <row r="7" ht="15" customFormat="1" customHeight="1" s="1">
      <c r="A7" s="30" t="n"/>
      <c r="B7" s="2" t="n"/>
      <c r="C7" s="10" t="n">
        <v>4</v>
      </c>
      <c r="D7" s="12" t="inlineStr">
        <is>
          <t>Географія</t>
        </is>
      </c>
      <c r="E7" s="13" t="inlineStr">
        <is>
          <t>Наговська Т.С.</t>
        </is>
      </c>
      <c r="F7" s="11" t="n">
        <v>48</v>
      </c>
      <c r="G7" s="23">
        <f>'[Січень.xlsx]25-3'!$Y15</f>
        <v/>
      </c>
      <c r="H7" s="23">
        <f>'[Лютий.xlsx]25-3'!$AF15</f>
        <v/>
      </c>
      <c r="I7" s="23">
        <f>'[Березень.xlsx]25-3'!$AI15</f>
        <v/>
      </c>
      <c r="J7" s="23">
        <f>'[Квітень.xlsx]25-3'!$AJ15</f>
        <v/>
      </c>
      <c r="K7" s="23">
        <f>'[Травень.xlsx]25-3'!$AJ15</f>
        <v/>
      </c>
      <c r="L7" s="23">
        <f>'[Червень.xlsx]25-3'!$AI15</f>
        <v/>
      </c>
      <c r="M7" s="11">
        <f>IF(COUNTBLANK(F7:L7)&gt;0,"Очікую", IF(F7-SUM(G7:L7)=0,"0", IF(F7-SUM(G7:L7)&lt;0,"Надлишок " &amp; (F7-SUM(G7:L7))*(-1),"Не вистачає " &amp; F7-SUM(G7:L7))))</f>
        <v/>
      </c>
      <c r="N7" s="2" t="n"/>
      <c r="O7" s="28" t="n"/>
    </row>
    <row r="8" ht="15" customFormat="1" customHeight="1" s="1">
      <c r="A8" s="30" t="n"/>
      <c r="B8" s="2" t="n"/>
      <c r="C8" s="9" t="n">
        <v>5</v>
      </c>
      <c r="D8" s="5" t="inlineStr">
        <is>
          <t>Зарубіжна література</t>
        </is>
      </c>
      <c r="E8" s="7" t="inlineStr">
        <is>
          <t>Бабенко Л. Е.</t>
        </is>
      </c>
      <c r="F8" s="8" t="n">
        <v>46</v>
      </c>
      <c r="G8" s="24">
        <f>'[Січень.xlsx]25-3'!$Y16</f>
        <v/>
      </c>
      <c r="H8" s="24">
        <f>'[Лютий.xlsx]25-3'!$AF16</f>
        <v/>
      </c>
      <c r="I8" s="24">
        <f>'[Березень.xlsx]25-3'!$AI16</f>
        <v/>
      </c>
      <c r="J8" s="24">
        <f>'[Квітень.xlsx]25-3'!$AJ16</f>
        <v/>
      </c>
      <c r="K8" s="24">
        <f>'[Травень.xlsx]25-3'!$AJ16</f>
        <v/>
      </c>
      <c r="L8" s="24">
        <f>'[Червень.xlsx]25-3'!$AI16</f>
        <v/>
      </c>
      <c r="M8" s="8">
        <f>IF(COUNTBLANK(F8:L8)&gt;0,"Очікую", IF(F8-SUM(G8:L8)=0,"0", IF(F8-SUM(G8:L8)&lt;0,"Надлишок " &amp; (F8-SUM(G8:L8))*(-1),"Не вистачає " &amp; F8-SUM(G8:L8))))</f>
        <v/>
      </c>
      <c r="N8" s="2" t="n"/>
      <c r="O8" s="28" t="n"/>
    </row>
    <row r="9" ht="15" customFormat="1" customHeight="1" s="1">
      <c r="A9" s="30" t="n"/>
      <c r="B9" s="2" t="n"/>
      <c r="C9" s="10" t="n">
        <v>6</v>
      </c>
      <c r="D9" s="12" t="inlineStr">
        <is>
          <t>Захист України</t>
        </is>
      </c>
      <c r="E9" s="13" t="inlineStr">
        <is>
          <t>Лазар В.І.</t>
        </is>
      </c>
      <c r="F9" s="11" t="n">
        <v>69</v>
      </c>
      <c r="G9" s="23">
        <f>'[Січень.xlsx]25-3'!$Y17</f>
        <v/>
      </c>
      <c r="H9" s="23">
        <f>'[Лютий.xlsx]25-3'!$AF17</f>
        <v/>
      </c>
      <c r="I9" s="23">
        <f>'[Березень.xlsx]25-3'!$AI17</f>
        <v/>
      </c>
      <c r="J9" s="23">
        <f>'[Квітень.xlsx]25-3'!$AJ17</f>
        <v/>
      </c>
      <c r="K9" s="23">
        <f>'[Травень.xlsx]25-3'!$AJ17</f>
        <v/>
      </c>
      <c r="L9" s="23">
        <f>'[Червень.xlsx]25-3'!$AI17</f>
        <v/>
      </c>
      <c r="M9" s="11">
        <f>IF(COUNTBLANK(F9:L9)&gt;0,"Очікую", IF(F9-SUM(G9:L9)=0,"0", IF(F9-SUM(G9:L9)&lt;0,"Надлишок " &amp; (F9-SUM(G9:L9))*(-1),"Не вистачає " &amp; F9-SUM(G9:L9))))</f>
        <v/>
      </c>
      <c r="N9" s="2" t="n"/>
      <c r="O9" s="28" t="n"/>
    </row>
    <row r="10" ht="15" customFormat="1" customHeight="1" s="1">
      <c r="A10" s="30" t="n"/>
      <c r="B10" s="2" t="n"/>
      <c r="C10" s="9" t="n">
        <v>7</v>
      </c>
      <c r="D10" s="4" t="inlineStr">
        <is>
          <t>Іноземна мова</t>
        </is>
      </c>
      <c r="E10" s="6" t="inlineStr">
        <is>
          <t>Нічик Н.О.</t>
        </is>
      </c>
      <c r="F10" s="8" t="n">
        <v>46</v>
      </c>
      <c r="G10" s="25">
        <f>'[Січень.xlsx]25-3'!$Y18</f>
        <v/>
      </c>
      <c r="H10" s="25">
        <f>'[Лютий.xlsx]25-3'!$AF18</f>
        <v/>
      </c>
      <c r="I10" s="25">
        <f>'[Березень.xlsx]25-3'!$AI18</f>
        <v/>
      </c>
      <c r="J10" s="25">
        <f>'[Квітень.xlsx]25-3'!$AJ18</f>
        <v/>
      </c>
      <c r="K10" s="25">
        <f>'[Травень.xlsx]25-3'!$AJ18</f>
        <v/>
      </c>
      <c r="L10" s="25">
        <f>'[Червень.xlsx]25-3'!$AI18</f>
        <v/>
      </c>
      <c r="M10" s="8">
        <f>IF(COUNTBLANK(F10:L10)&gt;0,"Очікую", IF(F10-SUM(G10:L10)=0,"0", IF(F10-SUM(G10:L10)&lt;0,"Надлишок " &amp; (F10-SUM(G10:L10))*(-1),"Не вистачає " &amp; F10-SUM(G10:L10))))</f>
        <v/>
      </c>
      <c r="N10" s="2" t="n"/>
      <c r="O10" s="28" t="n"/>
    </row>
    <row r="11" ht="15" customFormat="1" customHeight="1" s="1">
      <c r="A11" s="30" t="n"/>
      <c r="B11" s="2" t="n"/>
      <c r="C11" s="10" t="n">
        <v>8</v>
      </c>
      <c r="D11" s="12" t="inlineStr">
        <is>
          <t>Інформатика</t>
        </is>
      </c>
      <c r="E11" s="13" t="inlineStr">
        <is>
          <t>Андрльє І.О.</t>
        </is>
      </c>
      <c r="F11" s="11" t="n">
        <v>23</v>
      </c>
      <c r="G11" s="23">
        <f>'[Січень.xlsx]25-3'!$Y19</f>
        <v/>
      </c>
      <c r="H11" s="23">
        <f>'[Лютий.xlsx]25-3'!$AF19</f>
        <v/>
      </c>
      <c r="I11" s="23">
        <f>'[Березень.xlsx]25-3'!$AI19</f>
        <v/>
      </c>
      <c r="J11" s="23">
        <f>'[Квітень.xlsx]25-3'!$AJ19</f>
        <v/>
      </c>
      <c r="K11" s="23">
        <f>'[Травень.xlsx]25-3'!$AJ19</f>
        <v/>
      </c>
      <c r="L11" s="23">
        <f>'[Червень.xlsx]25-3'!$AI19</f>
        <v/>
      </c>
      <c r="M11" s="11">
        <f>IF(COUNTBLANK(F11:L11)&gt;0,"Очікую", IF(F11-SUM(G11:L11)=0,"0", IF(F11-SUM(G11:L11)&lt;0,"Надлишок " &amp; (F11-SUM(G11:L11))*(-1),"Не вистачає " &amp; F11-SUM(G11:L11))))</f>
        <v/>
      </c>
      <c r="N11" s="2" t="n"/>
      <c r="O11" s="28" t="n"/>
    </row>
    <row r="12" ht="15" customFormat="1" customHeight="1" s="1">
      <c r="A12" s="30" t="n"/>
      <c r="B12" s="2" t="n"/>
      <c r="C12" s="9" t="n">
        <v>9</v>
      </c>
      <c r="D12" s="4" t="inlineStr">
        <is>
          <t>Історія України</t>
        </is>
      </c>
      <c r="E12" s="6" t="inlineStr">
        <is>
          <t>Левчук Т.Г.</t>
        </is>
      </c>
      <c r="F12" s="8" t="n">
        <v>46</v>
      </c>
      <c r="G12" s="25">
        <f>'[Січень.xlsx]25-3'!$Y20</f>
        <v/>
      </c>
      <c r="H12" s="25">
        <f>'[Лютий.xlsx]25-3'!$AF20</f>
        <v/>
      </c>
      <c r="I12" s="25">
        <f>'[Березень.xlsx]25-3'!$AI20</f>
        <v/>
      </c>
      <c r="J12" s="25">
        <f>'[Квітень.xlsx]25-3'!$AJ20</f>
        <v/>
      </c>
      <c r="K12" s="25">
        <f>'[Травень.xlsx]25-3'!$AJ20</f>
        <v/>
      </c>
      <c r="L12" s="25">
        <f>'[Червень.xlsx]25-3'!$AI20</f>
        <v/>
      </c>
      <c r="M12" s="8">
        <f>IF(COUNTBLANK(F12:L12)&gt;0,"Очікую", IF(F12-SUM(G12:L12)=0,"0", IF(F12-SUM(G12:L12)&lt;0,"Надлишок " &amp; (F12-SUM(G12:L12))*(-1),"Не вистачає " &amp; F12-SUM(G12:L12))))</f>
        <v/>
      </c>
      <c r="N12" s="2" t="n"/>
      <c r="O12" s="28" t="n"/>
    </row>
    <row r="13" ht="15" customFormat="1" customHeight="1" s="1">
      <c r="A13" s="30" t="n"/>
      <c r="B13" s="2" t="n"/>
      <c r="C13" s="10" t="n">
        <v>10</v>
      </c>
      <c r="D13" s="12" t="inlineStr">
        <is>
          <t>Математика</t>
        </is>
      </c>
      <c r="E13" s="13" t="inlineStr">
        <is>
          <t>Земляна Т.М.</t>
        </is>
      </c>
      <c r="F13" s="11" t="n">
        <v>69</v>
      </c>
      <c r="G13" s="23">
        <f>'[Січень.xlsx]25-3'!$Y21</f>
        <v/>
      </c>
      <c r="H13" s="23">
        <f>'[Лютий.xlsx]25-3'!$AF21</f>
        <v/>
      </c>
      <c r="I13" s="23">
        <f>'[Березень.xlsx]25-3'!$AI21</f>
        <v/>
      </c>
      <c r="J13" s="23">
        <f>'[Квітень.xlsx]25-3'!$AJ21</f>
        <v/>
      </c>
      <c r="K13" s="23">
        <f>'[Травень.xlsx]25-3'!$AJ21</f>
        <v/>
      </c>
      <c r="L13" s="23">
        <f>'[Червень.xlsx]25-3'!$AI21</f>
        <v/>
      </c>
      <c r="M13" s="11">
        <f>IF(COUNTBLANK(F13:L13)&gt;0,"Очікую", IF(F13-SUM(G13:L13)=0,"0", IF(F13-SUM(G13:L13)&lt;0,"Надлишок " &amp; (F13-SUM(G13:L13))*(-1),"Не вистачає " &amp; F13-SUM(G13:L13))))</f>
        <v/>
      </c>
      <c r="N13" s="2" t="n"/>
      <c r="O13" s="28" t="n"/>
    </row>
    <row r="14" ht="15" customFormat="1" customHeight="1" s="1">
      <c r="A14" s="30" t="n"/>
      <c r="B14" s="2" t="n"/>
      <c r="C14" s="9" t="n">
        <v>11</v>
      </c>
      <c r="D14" s="5" t="inlineStr">
        <is>
          <t>Українська література</t>
        </is>
      </c>
      <c r="E14" s="7" t="inlineStr">
        <is>
          <t>Юрченко О.Б.</t>
        </is>
      </c>
      <c r="F14" s="8" t="n">
        <v>46</v>
      </c>
      <c r="G14" s="24">
        <f>'[Січень.xlsx]25-3'!$Y22</f>
        <v/>
      </c>
      <c r="H14" s="24">
        <f>'[Лютий.xlsx]25-3'!$AF22</f>
        <v/>
      </c>
      <c r="I14" s="24">
        <f>'[Березень.xlsx]25-3'!$AI22</f>
        <v/>
      </c>
      <c r="J14" s="24">
        <f>'[Квітень.xlsx]25-3'!$AJ22</f>
        <v/>
      </c>
      <c r="K14" s="24">
        <f>'[Травень.xlsx]25-3'!$AJ22</f>
        <v/>
      </c>
      <c r="L14" s="24">
        <f>'[Червень.xlsx]25-3'!$AI22</f>
        <v/>
      </c>
      <c r="M14" s="8">
        <f>IF(COUNTBLANK(F14:L14)&gt;0,"Очікую", IF(F14-SUM(G14:L14)=0,"0", IF(F14-SUM(G14:L14)&lt;0,"Надлишок " &amp; (F14-SUM(G14:L14))*(-1),"Не вистачає " &amp; F14-SUM(G14:L14))))</f>
        <v/>
      </c>
      <c r="N14" s="2" t="n"/>
      <c r="O14" s="28" t="n"/>
    </row>
    <row r="15" ht="15" customFormat="1" customHeight="1" s="1">
      <c r="A15" s="30" t="n"/>
      <c r="B15" s="2" t="n"/>
      <c r="C15" s="10" t="n">
        <v>12</v>
      </c>
      <c r="D15" s="12" t="inlineStr">
        <is>
          <t>Українська мова</t>
        </is>
      </c>
      <c r="E15" s="13" t="inlineStr">
        <is>
          <t>Юрченко О.Б.</t>
        </is>
      </c>
      <c r="F15" s="11" t="n">
        <v>46</v>
      </c>
      <c r="G15" s="23">
        <f>'[Січень.xlsx]25-3'!$Y23</f>
        <v/>
      </c>
      <c r="H15" s="23">
        <f>'[Лютий.xlsx]25-3'!$AF23</f>
        <v/>
      </c>
      <c r="I15" s="23">
        <f>'[Березень.xlsx]25-3'!$AI23</f>
        <v/>
      </c>
      <c r="J15" s="23">
        <f>'[Квітень.xlsx]25-3'!$AJ23</f>
        <v/>
      </c>
      <c r="K15" s="23">
        <f>'[Травень.xlsx]25-3'!$AJ23</f>
        <v/>
      </c>
      <c r="L15" s="23">
        <f>'[Червень.xlsx]25-3'!$AI23</f>
        <v/>
      </c>
      <c r="M15" s="11">
        <f>IF(COUNTBLANK(F15:L15)&gt;0,"Очікую", IF(F15-SUM(G15:L15)=0,"0", IF(F15-SUM(G15:L15)&lt;0,"Надлишок " &amp; (F15-SUM(G15:L15))*(-1),"Не вистачає " &amp; F15-SUM(G15:L15))))</f>
        <v/>
      </c>
      <c r="N15" s="2" t="n"/>
      <c r="O15" s="28" t="n"/>
    </row>
    <row r="16" ht="15" customFormat="1" customHeight="1" s="1">
      <c r="A16" s="30" t="n"/>
      <c r="B16" s="2" t="n"/>
      <c r="C16" s="9" t="n">
        <v>13</v>
      </c>
      <c r="D16" s="5" t="inlineStr">
        <is>
          <t>Фізика</t>
        </is>
      </c>
      <c r="E16" s="7" t="inlineStr">
        <is>
          <t>Калюта Н.М.</t>
        </is>
      </c>
      <c r="F16" s="8" t="n">
        <v>46</v>
      </c>
      <c r="G16" s="24">
        <f>'[Січень.xlsx]25-3'!$Y24</f>
        <v/>
      </c>
      <c r="H16" s="24">
        <f>'[Лютий.xlsx]25-3'!$AF24</f>
        <v/>
      </c>
      <c r="I16" s="24">
        <f>'[Березень.xlsx]25-3'!$AI24</f>
        <v/>
      </c>
      <c r="J16" s="24">
        <f>'[Квітень.xlsx]25-3'!$AJ24</f>
        <v/>
      </c>
      <c r="K16" s="24">
        <f>'[Травень.xlsx]25-3'!$AJ24</f>
        <v/>
      </c>
      <c r="L16" s="24">
        <f>'[Червень.xlsx]25-3'!$AI24</f>
        <v/>
      </c>
      <c r="M16" s="8">
        <f>IF(COUNTBLANK(F16:L16)&gt;0,"Очікую", IF(F16-SUM(G16:L16)=0,"0", IF(F16-SUM(G16:L16)&lt;0,"Надлишок " &amp; (F16-SUM(G16:L16))*(-1),"Не вистачає " &amp; F16-SUM(G16:L16))))</f>
        <v/>
      </c>
      <c r="N16" s="2" t="n"/>
      <c r="O16" s="28" t="n"/>
    </row>
    <row r="17" ht="15" customFormat="1" customHeight="1" s="1">
      <c r="A17" s="30" t="n"/>
      <c r="B17" s="2" t="n"/>
      <c r="C17" s="10" t="n">
        <v>14</v>
      </c>
      <c r="D17" s="12" t="inlineStr">
        <is>
          <t>Фізична культура</t>
        </is>
      </c>
      <c r="E17" s="13" t="inlineStr">
        <is>
          <t>Галеніна І.С.</t>
        </is>
      </c>
      <c r="F17" s="11" t="n">
        <v>69</v>
      </c>
      <c r="G17" s="23">
        <f>'[Січень.xlsx]25-3'!$Y25</f>
        <v/>
      </c>
      <c r="H17" s="23">
        <f>'[Лютий.xlsx]25-3'!$AF25</f>
        <v/>
      </c>
      <c r="I17" s="23">
        <f>'[Березень.xlsx]25-3'!$AI25</f>
        <v/>
      </c>
      <c r="J17" s="23">
        <f>'[Квітень.xlsx]25-3'!$AJ25</f>
        <v/>
      </c>
      <c r="K17" s="23">
        <f>'[Травень.xlsx]25-3'!$AJ25</f>
        <v/>
      </c>
      <c r="L17" s="23">
        <f>'[Червень.xlsx]25-3'!$AI25</f>
        <v/>
      </c>
      <c r="M17" s="11">
        <f>IF(COUNTBLANK(F17:L17)&gt;0,"Очікую", IF(F17-SUM(G17:L17)=0,"0", IF(F17-SUM(G17:L17)&lt;0,"Надлишок " &amp; (F17-SUM(G17:L17))*(-1),"Не вистачає " &amp; F17-SUM(G17:L17))))</f>
        <v/>
      </c>
      <c r="N17" s="2" t="n"/>
      <c r="O17" s="28" t="n"/>
    </row>
    <row r="18" ht="15" customFormat="1" customHeight="1" s="1">
      <c r="A18" s="30" t="n"/>
      <c r="B18" s="2" t="n"/>
      <c r="C18" s="9" t="n">
        <v>15</v>
      </c>
      <c r="D18" s="4" t="inlineStr">
        <is>
          <t>Хімія</t>
        </is>
      </c>
      <c r="E18" s="6" t="inlineStr">
        <is>
          <t>Сахно Н.О.</t>
        </is>
      </c>
      <c r="F18" s="8" t="n">
        <v>54</v>
      </c>
      <c r="G18" s="25">
        <f>'[Січень.xlsx]25-3'!$Y26</f>
        <v/>
      </c>
      <c r="H18" s="25">
        <f>'[Лютий.xlsx]25-3'!$AF26</f>
        <v/>
      </c>
      <c r="I18" s="25">
        <f>'[Березень.xlsx]25-3'!$AI26</f>
        <v/>
      </c>
      <c r="J18" s="25">
        <f>'[Квітень.xlsx]25-3'!$AJ26</f>
        <v/>
      </c>
      <c r="K18" s="25">
        <f>'[Травень.xlsx]25-3'!$AJ26</f>
        <v/>
      </c>
      <c r="L18" s="25">
        <f>'[Червень.xlsx]25-3'!$AI26</f>
        <v/>
      </c>
      <c r="M18" s="8">
        <f>IF(COUNTBLANK(F18:L18)&gt;0,"Очікую", IF(F18-SUM(G18:L18)=0,"0", IF(F18-SUM(G18:L18)&lt;0,"Надлишок " &amp; (F18-SUM(G18:L18))*(-1),"Не вистачає " &amp; F18-SUM(G18:L18))))</f>
        <v/>
      </c>
      <c r="N18" s="2" t="n"/>
      <c r="O18" s="28" t="n"/>
    </row>
    <row r="19" ht="15" customFormat="1" customHeight="1" s="1">
      <c r="A19" s="30" t="n"/>
      <c r="B19" s="2" t="n"/>
      <c r="C19" s="33" t="inlineStr">
        <is>
          <t>Всього</t>
        </is>
      </c>
      <c r="D19" s="36" t="n"/>
      <c r="E19" s="37" t="n"/>
      <c r="F19" s="17">
        <f>IF(COUNTBLANK(F4:F18)&gt;0,"Очікую",SUM(F4:F18))</f>
        <v/>
      </c>
      <c r="G19" s="18">
        <f>IF(COUNTBLANK(G4:G18)&gt;0,"Очікую",SUM(G4:G18))</f>
        <v/>
      </c>
      <c r="H19" s="34">
        <f>IF(COUNTBLANK(H4:H18)&gt;0,"Очікую",SUM(H4:H18))</f>
        <v/>
      </c>
      <c r="I19" s="34">
        <f>IF(COUNTBLANK(I4:I18)&gt;0,"Очікую",SUM(I4:I18))</f>
        <v/>
      </c>
      <c r="J19" s="34">
        <f>IF(COUNTBLANK(J4:J18)&gt;0,"Очікую",SUM(J4:J18))</f>
        <v/>
      </c>
      <c r="K19" s="34">
        <f>IF(COUNTBLANK(K4:K18)&gt;0,"Очікую",SUM(K4:K18))</f>
        <v/>
      </c>
      <c r="L19" s="34">
        <f>IF(COUNTBLANK(L4:L18)&gt;0,"Очікую",SUM(L4:L18))</f>
        <v/>
      </c>
      <c r="M19" s="17">
        <f>IF(COUNTIF(F19:L19,"Очікую")&gt;0,"Очікую", IF(F19-SUM(G19:L19)=0,"0", IF(F19-SUM(G19:L19)&lt;0,"Надлишок "&amp;(F19-SUM(G19:L19))*(-1),"Не вистачає "&amp;F19-SUM(G19:L19))))</f>
        <v/>
      </c>
      <c r="N19" s="2" t="n"/>
      <c r="O19" s="28" t="n"/>
    </row>
    <row r="20" ht="15" customFormat="1" customHeight="1" s="1">
      <c r="A20" s="30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8" t="n"/>
    </row>
    <row r="21" ht="15" customFormat="1" customHeight="1" s="1">
      <c r="A21" s="1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  <c r="O21" s="32" t="n"/>
    </row>
    <row r="22" hidden="1" ht="15" customFormat="1" customHeight="1" s="1"/>
    <row r="23" hidden="1" ht="15" customFormat="1" customHeight="1" s="1"/>
    <row r="24" hidden="1" ht="15" customFormat="1" customHeight="1" s="1"/>
    <row r="25" hidden="1" ht="15" customFormat="1" customHeight="1" s="1"/>
    <row r="26" hidden="1" ht="15" customFormat="1" customHeight="1" s="1"/>
    <row r="27" hidden="1" ht="15" customFormat="1" customHeight="1" s="1"/>
    <row r="28" hidden="1" ht="15" customFormat="1" customHeight="1" s="1"/>
    <row r="29" hidden="1" ht="15" customFormat="1" customHeight="1" s="1"/>
    <row r="30" hidden="1" ht="15" customFormat="1" customHeight="1" s="1"/>
    <row r="31" hidden="1" ht="15" customFormat="1" customHeight="1" s="1"/>
    <row r="32" hidden="1" ht="15" customFormat="1" customHeight="1" s="1"/>
    <row r="33" hidden="1" ht="15" customFormat="1" customHeight="1" s="1" thickBot="1"/>
    <row r="34" hidden="1" ht="15" customFormat="1" customHeight="1" s="1" thickBot="1"/>
    <row r="35" hidden="1" ht="12.95" customHeight="1" thickBot="1"/>
    <row r="36" hidden="1" ht="12" customHeight="1"/>
    <row r="37" hidden="1" ht="12.75" customHeight="1"/>
    <row r="38" hidden="1" ht="12.75" customHeight="1"/>
    <row r="39" hidden="1" ht="12.75" customHeight="1"/>
    <row r="40" hidden="1" ht="12.75" customHeight="1"/>
    <row r="41" hidden="1" ht="12.75" customHeight="1"/>
    <row r="42" hidden="1" ht="12.75" customHeight="1"/>
    <row r="43" hidden="1" ht="12.75" customHeight="1"/>
    <row r="44" hidden="1" ht="12.75" customHeight="1"/>
    <row r="45" hidden="1" ht="12.75" customHeight="1"/>
    <row r="46" hidden="1" ht="12.75" customHeight="1"/>
    <row r="47" hidden="1" ht="12.75" customHeight="1"/>
    <row r="48" hidden="1" ht="12.75" customHeight="1"/>
    <row r="49" hidden="1" ht="12.75" customHeight="1"/>
    <row r="50" hidden="1" ht="12.75" customHeight="1"/>
    <row r="51" hidden="1" ht="12.75" customHeight="1"/>
    <row r="52" hidden="1" ht="12.75" customHeight="1"/>
  </sheetData>
  <mergeCells count="1">
    <mergeCell ref="C19:E19"/>
  </mergeCells>
  <printOptions horizontalCentered="1"/>
  <pageMargins left="0.1968503937007874" right="0.1968503937007874" top="0.1968503937007874" bottom="0.1968503937007874" header="0" footer="0"/>
  <pageSetup orientation="landscape" paperSize="9" scale="60"/>
</worksheet>
</file>

<file path=xl/worksheets/sheet4.xml><?xml version="1.0" encoding="utf-8"?>
<worksheet xmlns="http://schemas.openxmlformats.org/spreadsheetml/2006/main">
  <sheetPr codeName="Лист3">
    <tabColor rgb="FF0070C0"/>
    <outlinePr summaryBelow="1" summaryRight="1"/>
    <pageSetUpPr fitToPage="1"/>
  </sheetPr>
  <dimension ref="A1:O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3" min="1" max="2"/>
    <col width="3.7109375" customWidth="1" style="3" min="3" max="3"/>
    <col width="23.7109375" customWidth="1" style="3" min="4" max="4"/>
    <col width="20.7109375" customWidth="1" style="3" min="5" max="5"/>
    <col width="13.7109375" customWidth="1" style="3" min="6" max="18"/>
    <col width="2.71" customWidth="1" min="14" max="14"/>
    <col width="2.71" customWidth="1" min="15" max="15"/>
    <col hidden="1" width="13" customWidth="1" min="16" max="16"/>
    <col hidden="1" width="13" customWidth="1" min="17" max="17"/>
    <col hidden="1" width="13" customWidth="1" min="18" max="18"/>
    <col hidden="1" width="15.7109375" customWidth="1" style="3" min="19" max="19"/>
    <col hidden="1" width="2.7109375" customWidth="1" style="3" min="20" max="21"/>
    <col hidden="1" width="13" customWidth="1" min="21" max="21"/>
    <col hidden="1" width="9.140625" customWidth="1" style="3" min="22" max="22"/>
    <col hidden="1" style="3" min="23" max="33"/>
    <col hidden="1" width="9.140625" customWidth="1" style="3" min="34" max="34"/>
    <col hidden="1" style="3" min="35" max="43"/>
    <col hidden="1" width="9.140625" customWidth="1" style="3" min="44" max="44"/>
    <col hidden="1" style="3" min="45" max="48"/>
    <col hidden="1" width="9.140625" customWidth="1" style="3" min="49" max="49"/>
    <col hidden="1" style="3" min="50" max="61"/>
    <col hidden="1" width="9.140625" customWidth="1" style="3" min="62" max="62"/>
    <col hidden="1" style="3" min="63" max="66"/>
    <col hidden="1" width="9.140625" customWidth="1" style="3" min="67" max="67"/>
    <col hidden="1" style="3" min="68" max="78"/>
    <col hidden="1" width="9.140625" customWidth="1" style="3" min="79" max="16384"/>
  </cols>
  <sheetData>
    <row r="1" ht="12" customFormat="1" customHeight="1" s="1" thickBot="1">
      <c r="A1" s="27" t="inlineStr">
        <is>
          <t>S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2" t="n"/>
    </row>
    <row r="2" ht="12" customFormat="1" customHeight="1" s="1" thickBot="1">
      <c r="A2" s="30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8" t="n"/>
    </row>
    <row r="3" ht="30" customFormat="1" customHeight="1" s="1" thickBot="1">
      <c r="A3" s="30" t="n"/>
      <c r="B3" s="2" t="n"/>
      <c r="C3" s="33" t="inlineStr">
        <is>
          <t>№</t>
        </is>
      </c>
      <c r="D3" s="34" t="inlineStr">
        <is>
          <t>Предмети</t>
        </is>
      </c>
      <c r="E3" s="21" t="inlineStr">
        <is>
          <t>Прізвище та
ініціали викладача</t>
        </is>
      </c>
      <c r="F3" s="17" t="inlineStr">
        <is>
          <t>План</t>
        </is>
      </c>
      <c r="G3" s="18" t="inlineStr">
        <is>
          <t>Січень</t>
        </is>
      </c>
      <c r="H3" s="34" t="inlineStr">
        <is>
          <t>Лютий</t>
        </is>
      </c>
      <c r="I3" s="18" t="inlineStr">
        <is>
          <t>Березень</t>
        </is>
      </c>
      <c r="J3" s="34" t="inlineStr">
        <is>
          <t>Квітень</t>
        </is>
      </c>
      <c r="K3" s="18" t="inlineStr">
        <is>
          <t>Травень</t>
        </is>
      </c>
      <c r="L3" s="34" t="inlineStr">
        <is>
          <t>Червень</t>
        </is>
      </c>
      <c r="M3" s="17" t="inlineStr">
        <is>
          <t>Різниця</t>
        </is>
      </c>
      <c r="N3" s="2" t="n"/>
      <c r="O3" s="28" t="n"/>
    </row>
    <row r="4" ht="15" customFormat="1" customHeight="1" s="1">
      <c r="A4" s="30" t="n"/>
      <c r="B4" s="2" t="n"/>
      <c r="C4" s="9" t="n">
        <v>1</v>
      </c>
      <c r="D4" s="4" t="inlineStr">
        <is>
          <t>Астрономія</t>
        </is>
      </c>
      <c r="E4" s="6" t="inlineStr">
        <is>
          <t>Наговська Т.С.</t>
        </is>
      </c>
      <c r="F4" s="8" t="n">
        <v>46</v>
      </c>
      <c r="G4" s="25">
        <f>'[Січень.xlsx]25-4'!$Y12</f>
        <v/>
      </c>
      <c r="H4" s="25">
        <f>'[Лютий.xlsx]25-4'!$AF12</f>
        <v/>
      </c>
      <c r="I4" s="25">
        <f>'[Березень.xlsx]25-4'!$AI12</f>
        <v/>
      </c>
      <c r="J4" s="25">
        <f>'[Квітень.xlsx]25-4'!$AJ12</f>
        <v/>
      </c>
      <c r="K4" s="25">
        <f>'[Травень.xlsx]25-4'!$AJ12</f>
        <v/>
      </c>
      <c r="L4" s="25">
        <f>'[Червень.xlsx]25-4'!$AI12</f>
        <v/>
      </c>
      <c r="M4" s="8">
        <f>IF(COUNTBLANK(F4:L4)&gt;0,"Очікую", IF(F4-SUM(G4:L4)=0,"0", IF(F4-SUM(G4:L4)&lt;0,"Надлишок " &amp; (F4-SUM(G4:L4))*(-1),"Не вистачає " &amp; F4-SUM(G4:L4))))</f>
        <v/>
      </c>
      <c r="N4" s="2" t="n"/>
      <c r="O4" s="28" t="n"/>
    </row>
    <row r="5" ht="15" customFormat="1" customHeight="1" s="1">
      <c r="A5" s="30" t="n"/>
      <c r="B5" s="2" t="n"/>
      <c r="C5" s="10" t="n">
        <v>2</v>
      </c>
      <c r="D5" s="12" t="inlineStr">
        <is>
          <t>Біологія</t>
        </is>
      </c>
      <c r="E5" s="13" t="inlineStr">
        <is>
          <t>Богданенко О.В.</t>
        </is>
      </c>
      <c r="F5" s="11" t="n">
        <v>72</v>
      </c>
      <c r="G5" s="23">
        <f>'[Січень.xlsx]25-4'!$Y13</f>
        <v/>
      </c>
      <c r="H5" s="23">
        <f>'[Лютий.xlsx]25-4'!$AF13</f>
        <v/>
      </c>
      <c r="I5" s="23">
        <f>'[Березень.xlsx]25-4'!$AI13</f>
        <v/>
      </c>
      <c r="J5" s="23">
        <f>'[Квітень.xlsx]25-4'!$AJ13</f>
        <v/>
      </c>
      <c r="K5" s="23">
        <f>'[Травень.xlsx]25-4'!$AJ13</f>
        <v/>
      </c>
      <c r="L5" s="23">
        <f>'[Червень.xlsx]25-4'!$AI13</f>
        <v/>
      </c>
      <c r="M5" s="11">
        <f>IF(COUNTBLANK(F5:L5)&gt;0,"Очікую", IF(F5-SUM(G5:L5)=0,"0", IF(F5-SUM(G5:L5)&lt;0,"Надлишок " &amp; (F5-SUM(G5:L5))*(-1),"Не вистачає " &amp; F5-SUM(G5:L5))))</f>
        <v/>
      </c>
      <c r="N5" s="2" t="n"/>
      <c r="O5" s="28" t="n"/>
    </row>
    <row r="6" ht="15" customFormat="1" customHeight="1" s="1">
      <c r="A6" s="30" t="n"/>
      <c r="B6" s="2" t="n"/>
      <c r="C6" s="9" t="n">
        <v>3</v>
      </c>
      <c r="D6" s="5" t="inlineStr">
        <is>
          <t>Всесвітня історія</t>
        </is>
      </c>
      <c r="E6" s="7" t="inlineStr">
        <is>
          <t>Мельничук С.А.</t>
        </is>
      </c>
      <c r="F6" s="8" t="n">
        <v>46</v>
      </c>
      <c r="G6" s="24">
        <f>'[Січень.xlsx]25-4'!$Y14</f>
        <v/>
      </c>
      <c r="H6" s="24">
        <f>'[Лютий.xlsx]25-4'!$AF14</f>
        <v/>
      </c>
      <c r="I6" s="24">
        <f>'[Березень.xlsx]25-4'!$AI14</f>
        <v/>
      </c>
      <c r="J6" s="24">
        <f>'[Квітень.xlsx]25-4'!$AJ14</f>
        <v/>
      </c>
      <c r="K6" s="24">
        <f>'[Травень.xlsx]25-4'!$AJ14</f>
        <v/>
      </c>
      <c r="L6" s="24">
        <f>'[Червень.xlsx]25-4'!$AI14</f>
        <v/>
      </c>
      <c r="M6" s="8">
        <f>IF(COUNTBLANK(F6:L6)&gt;0,"Очікую", IF(F6-SUM(G6:L6)=0,"0", IF(F6-SUM(G6:L6)&lt;0,"Надлишок " &amp; (F6-SUM(G6:L6))*(-1),"Не вистачає " &amp; F6-SUM(G6:L6))))</f>
        <v/>
      </c>
      <c r="N6" s="2" t="n"/>
      <c r="O6" s="28" t="n"/>
    </row>
    <row r="7" ht="15" customFormat="1" customHeight="1" s="1">
      <c r="A7" s="30" t="n"/>
      <c r="B7" s="2" t="n"/>
      <c r="C7" s="10" t="n">
        <v>4</v>
      </c>
      <c r="D7" s="12" t="inlineStr">
        <is>
          <t>Географія</t>
        </is>
      </c>
      <c r="E7" s="13" t="inlineStr">
        <is>
          <t>Наговська Т.С.</t>
        </is>
      </c>
      <c r="F7" s="11" t="n">
        <v>48</v>
      </c>
      <c r="G7" s="23">
        <f>'[Січень.xlsx]25-4'!$Y15</f>
        <v/>
      </c>
      <c r="H7" s="23">
        <f>'[Лютий.xlsx]25-4'!$AF15</f>
        <v/>
      </c>
      <c r="I7" s="23">
        <f>'[Березень.xlsx]25-4'!$AI15</f>
        <v/>
      </c>
      <c r="J7" s="23">
        <f>'[Квітень.xlsx]25-4'!$AJ15</f>
        <v/>
      </c>
      <c r="K7" s="23">
        <f>'[Травень.xlsx]25-4'!$AJ15</f>
        <v/>
      </c>
      <c r="L7" s="23">
        <f>'[Червень.xlsx]25-4'!$AI15</f>
        <v/>
      </c>
      <c r="M7" s="11">
        <f>IF(COUNTBLANK(F7:L7)&gt;0,"Очікую", IF(F7-SUM(G7:L7)=0,"0", IF(F7-SUM(G7:L7)&lt;0,"Надлишок " &amp; (F7-SUM(G7:L7))*(-1),"Не вистачає " &amp; F7-SUM(G7:L7))))</f>
        <v/>
      </c>
      <c r="N7" s="2" t="n"/>
      <c r="O7" s="28" t="n"/>
    </row>
    <row r="8" ht="15" customFormat="1" customHeight="1" s="1">
      <c r="A8" s="30" t="n"/>
      <c r="B8" s="2" t="n"/>
      <c r="C8" s="9" t="n">
        <v>5</v>
      </c>
      <c r="D8" s="5" t="inlineStr">
        <is>
          <t>Зарубіжна література</t>
        </is>
      </c>
      <c r="E8" s="7" t="inlineStr">
        <is>
          <t>Бабенко Л. Е.</t>
        </is>
      </c>
      <c r="F8" s="8" t="n">
        <v>46</v>
      </c>
      <c r="G8" s="24">
        <f>'[Січень.xlsx]25-4'!$Y16</f>
        <v/>
      </c>
      <c r="H8" s="24">
        <f>'[Лютий.xlsx]25-4'!$AF16</f>
        <v/>
      </c>
      <c r="I8" s="24">
        <f>'[Березень.xlsx]25-4'!$AI16</f>
        <v/>
      </c>
      <c r="J8" s="24">
        <f>'[Квітень.xlsx]25-4'!$AJ16</f>
        <v/>
      </c>
      <c r="K8" s="24">
        <f>'[Травень.xlsx]25-4'!$AJ16</f>
        <v/>
      </c>
      <c r="L8" s="24">
        <f>'[Червень.xlsx]25-4'!$AI16</f>
        <v/>
      </c>
      <c r="M8" s="8">
        <f>IF(COUNTBLANK(F8:L8)&gt;0,"Очікую", IF(F8-SUM(G8:L8)=0,"0", IF(F8-SUM(G8:L8)&lt;0,"Надлишок " &amp; (F8-SUM(G8:L8))*(-1),"Не вистачає " &amp; F8-SUM(G8:L8))))</f>
        <v/>
      </c>
      <c r="N8" s="2" t="n"/>
      <c r="O8" s="28" t="n"/>
    </row>
    <row r="9" ht="15" customFormat="1" customHeight="1" s="1">
      <c r="A9" s="30" t="n"/>
      <c r="B9" s="2" t="n"/>
      <c r="C9" s="10" t="n">
        <v>6</v>
      </c>
      <c r="D9" s="12" t="inlineStr">
        <is>
          <t>Захист України</t>
        </is>
      </c>
      <c r="E9" s="13" t="inlineStr">
        <is>
          <t>Лазар В.І.</t>
        </is>
      </c>
      <c r="F9" s="11" t="n">
        <v>69</v>
      </c>
      <c r="G9" s="23">
        <f>'[Січень.xlsx]25-4'!$Y17</f>
        <v/>
      </c>
      <c r="H9" s="23">
        <f>'[Лютий.xlsx]25-4'!$AF17</f>
        <v/>
      </c>
      <c r="I9" s="23">
        <f>'[Березень.xlsx]25-4'!$AI17</f>
        <v/>
      </c>
      <c r="J9" s="23">
        <f>'[Квітень.xlsx]25-4'!$AJ17</f>
        <v/>
      </c>
      <c r="K9" s="23">
        <f>'[Травень.xlsx]25-4'!$AJ17</f>
        <v/>
      </c>
      <c r="L9" s="23">
        <f>'[Червень.xlsx]25-4'!$AI17</f>
        <v/>
      </c>
      <c r="M9" s="11">
        <f>IF(COUNTBLANK(F9:L9)&gt;0,"Очікую", IF(F9-SUM(G9:L9)=0,"0", IF(F9-SUM(G9:L9)&lt;0,"Надлишок " &amp; (F9-SUM(G9:L9))*(-1),"Не вистачає " &amp; F9-SUM(G9:L9))))</f>
        <v/>
      </c>
      <c r="N9" s="2" t="n"/>
      <c r="O9" s="28" t="n"/>
    </row>
    <row r="10" ht="15" customFormat="1" customHeight="1" s="1">
      <c r="A10" s="30" t="n"/>
      <c r="B10" s="2" t="n"/>
      <c r="C10" s="9" t="n">
        <v>7</v>
      </c>
      <c r="D10" s="4" t="inlineStr">
        <is>
          <t>Іноземна мова</t>
        </is>
      </c>
      <c r="E10" s="6" t="inlineStr">
        <is>
          <t>Нічик Н.О.</t>
        </is>
      </c>
      <c r="F10" s="8" t="n">
        <v>46</v>
      </c>
      <c r="G10" s="25">
        <f>'[Січень.xlsx]25-4'!$Y18</f>
        <v/>
      </c>
      <c r="H10" s="25">
        <f>'[Лютий.xlsx]25-4'!$AF18</f>
        <v/>
      </c>
      <c r="I10" s="25">
        <f>'[Березень.xlsx]25-4'!$AI18</f>
        <v/>
      </c>
      <c r="J10" s="25">
        <f>'[Квітень.xlsx]25-4'!$AJ18</f>
        <v/>
      </c>
      <c r="K10" s="25">
        <f>'[Травень.xlsx]25-4'!$AJ18</f>
        <v/>
      </c>
      <c r="L10" s="25">
        <f>'[Червень.xlsx]25-4'!$AI18</f>
        <v/>
      </c>
      <c r="M10" s="8">
        <f>IF(COUNTBLANK(F10:L10)&gt;0,"Очікую", IF(F10-SUM(G10:L10)=0,"0", IF(F10-SUM(G10:L10)&lt;0,"Надлишок " &amp; (F10-SUM(G10:L10))*(-1),"Не вистачає " &amp; F10-SUM(G10:L10))))</f>
        <v/>
      </c>
      <c r="N10" s="2" t="n"/>
      <c r="O10" s="28" t="n"/>
    </row>
    <row r="11" ht="15" customFormat="1" customHeight="1" s="1">
      <c r="A11" s="30" t="n"/>
      <c r="B11" s="2" t="n"/>
      <c r="C11" s="10" t="n">
        <v>8</v>
      </c>
      <c r="D11" s="12" t="inlineStr">
        <is>
          <t>Інформатика</t>
        </is>
      </c>
      <c r="E11" s="13" t="inlineStr">
        <is>
          <t>Андрльє І.О.</t>
        </is>
      </c>
      <c r="F11" s="11" t="n">
        <v>23</v>
      </c>
      <c r="G11" s="23">
        <f>'[Січень.xlsx]25-4'!$Y19</f>
        <v/>
      </c>
      <c r="H11" s="23">
        <f>'[Лютий.xlsx]25-4'!$AF19</f>
        <v/>
      </c>
      <c r="I11" s="23">
        <f>'[Березень.xlsx]25-4'!$AI19</f>
        <v/>
      </c>
      <c r="J11" s="23">
        <f>'[Квітень.xlsx]25-4'!$AJ19</f>
        <v/>
      </c>
      <c r="K11" s="23">
        <f>'[Травень.xlsx]25-4'!$AJ19</f>
        <v/>
      </c>
      <c r="L11" s="23">
        <f>'[Червень.xlsx]25-4'!$AI19</f>
        <v/>
      </c>
      <c r="M11" s="11">
        <f>IF(COUNTBLANK(F11:L11)&gt;0,"Очікую", IF(F11-SUM(G11:L11)=0,"0", IF(F11-SUM(G11:L11)&lt;0,"Надлишок " &amp; (F11-SUM(G11:L11))*(-1),"Не вистачає " &amp; F11-SUM(G11:L11))))</f>
        <v/>
      </c>
      <c r="N11" s="2" t="n"/>
      <c r="O11" s="28" t="n"/>
    </row>
    <row r="12" ht="15" customFormat="1" customHeight="1" s="1">
      <c r="A12" s="30" t="n"/>
      <c r="B12" s="2" t="n"/>
      <c r="C12" s="9" t="n">
        <v>9</v>
      </c>
      <c r="D12" s="4" t="inlineStr">
        <is>
          <t>Історія України</t>
        </is>
      </c>
      <c r="E12" s="6" t="inlineStr">
        <is>
          <t>Левчук Т.Г.</t>
        </is>
      </c>
      <c r="F12" s="8" t="n">
        <v>46</v>
      </c>
      <c r="G12" s="25">
        <f>'[Січень.xlsx]25-4'!$Y20</f>
        <v/>
      </c>
      <c r="H12" s="25">
        <f>'[Лютий.xlsx]25-4'!$AF20</f>
        <v/>
      </c>
      <c r="I12" s="25">
        <f>'[Березень.xlsx]25-4'!$AI20</f>
        <v/>
      </c>
      <c r="J12" s="25">
        <f>'[Квітень.xlsx]25-4'!$AJ20</f>
        <v/>
      </c>
      <c r="K12" s="25">
        <f>'[Травень.xlsx]25-4'!$AJ20</f>
        <v/>
      </c>
      <c r="L12" s="25">
        <f>'[Червень.xlsx]25-4'!$AI20</f>
        <v/>
      </c>
      <c r="M12" s="8">
        <f>IF(COUNTBLANK(F12:L12)&gt;0,"Очікую", IF(F12-SUM(G12:L12)=0,"0", IF(F12-SUM(G12:L12)&lt;0,"Надлишок " &amp; (F12-SUM(G12:L12))*(-1),"Не вистачає " &amp; F12-SUM(G12:L12))))</f>
        <v/>
      </c>
      <c r="N12" s="2" t="n"/>
      <c r="O12" s="28" t="n"/>
    </row>
    <row r="13" ht="15" customFormat="1" customHeight="1" s="1">
      <c r="A13" s="30" t="n"/>
      <c r="B13" s="2" t="n"/>
      <c r="C13" s="10" t="n">
        <v>10</v>
      </c>
      <c r="D13" s="12" t="inlineStr">
        <is>
          <t>Математика</t>
        </is>
      </c>
      <c r="E13" s="13" t="inlineStr">
        <is>
          <t>Земляна Т.М.</t>
        </is>
      </c>
      <c r="F13" s="11" t="n">
        <v>69</v>
      </c>
      <c r="G13" s="23">
        <f>'[Січень.xlsx]25-4'!$Y21</f>
        <v/>
      </c>
      <c r="H13" s="23">
        <f>'[Лютий.xlsx]25-4'!$AF21</f>
        <v/>
      </c>
      <c r="I13" s="23">
        <f>'[Березень.xlsx]25-4'!$AI21</f>
        <v/>
      </c>
      <c r="J13" s="23">
        <f>'[Квітень.xlsx]25-4'!$AJ21</f>
        <v/>
      </c>
      <c r="K13" s="23">
        <f>'[Травень.xlsx]25-4'!$AJ21</f>
        <v/>
      </c>
      <c r="L13" s="23">
        <f>'[Червень.xlsx]25-4'!$AI21</f>
        <v/>
      </c>
      <c r="M13" s="11">
        <f>IF(COUNTBLANK(F13:L13)&gt;0,"Очікую", IF(F13-SUM(G13:L13)=0,"0", IF(F13-SUM(G13:L13)&lt;0,"Надлишок " &amp; (F13-SUM(G13:L13))*(-1),"Не вистачає " &amp; F13-SUM(G13:L13))))</f>
        <v/>
      </c>
      <c r="N13" s="2" t="n"/>
      <c r="O13" s="28" t="n"/>
    </row>
    <row r="14" ht="15" customFormat="1" customHeight="1" s="1">
      <c r="A14" s="30" t="n"/>
      <c r="B14" s="2" t="n"/>
      <c r="C14" s="9" t="n">
        <v>11</v>
      </c>
      <c r="D14" s="5" t="inlineStr">
        <is>
          <t>Українська література</t>
        </is>
      </c>
      <c r="E14" s="7" t="inlineStr">
        <is>
          <t>Антропова Л.І.</t>
        </is>
      </c>
      <c r="F14" s="8" t="n">
        <v>46</v>
      </c>
      <c r="G14" s="24">
        <f>'[Січень.xlsx]25-4'!$Y22</f>
        <v/>
      </c>
      <c r="H14" s="24">
        <f>'[Лютий.xlsx]25-4'!$AF22</f>
        <v/>
      </c>
      <c r="I14" s="24">
        <f>'[Березень.xlsx]25-4'!$AI22</f>
        <v/>
      </c>
      <c r="J14" s="24">
        <f>'[Квітень.xlsx]25-4'!$AJ22</f>
        <v/>
      </c>
      <c r="K14" s="24">
        <f>'[Травень.xlsx]25-4'!$AJ22</f>
        <v/>
      </c>
      <c r="L14" s="24">
        <f>'[Червень.xlsx]25-4'!$AI22</f>
        <v/>
      </c>
      <c r="M14" s="8">
        <f>IF(COUNTBLANK(F14:L14)&gt;0,"Очікую", IF(F14-SUM(G14:L14)=0,"0", IF(F14-SUM(G14:L14)&lt;0,"Надлишок " &amp; (F14-SUM(G14:L14))*(-1),"Не вистачає " &amp; F14-SUM(G14:L14))))</f>
        <v/>
      </c>
      <c r="N14" s="2" t="n"/>
      <c r="O14" s="28" t="n"/>
    </row>
    <row r="15" ht="15" customFormat="1" customHeight="1" s="1">
      <c r="A15" s="30" t="n"/>
      <c r="B15" s="2" t="n"/>
      <c r="C15" s="10" t="n">
        <v>12</v>
      </c>
      <c r="D15" s="12" t="inlineStr">
        <is>
          <t>Українська мова</t>
        </is>
      </c>
      <c r="E15" s="13" t="inlineStr">
        <is>
          <t>Антропова Л.І.</t>
        </is>
      </c>
      <c r="F15" s="11" t="n">
        <v>46</v>
      </c>
      <c r="G15" s="23">
        <f>'[Січень.xlsx]25-4'!$Y23</f>
        <v/>
      </c>
      <c r="H15" s="23">
        <f>'[Лютий.xlsx]25-4'!$AF23</f>
        <v/>
      </c>
      <c r="I15" s="23">
        <f>'[Березень.xlsx]25-4'!$AI23</f>
        <v/>
      </c>
      <c r="J15" s="23">
        <f>'[Квітень.xlsx]25-4'!$AJ23</f>
        <v/>
      </c>
      <c r="K15" s="23">
        <f>'[Травень.xlsx]25-4'!$AJ23</f>
        <v/>
      </c>
      <c r="L15" s="23">
        <f>'[Червень.xlsx]25-4'!$AI23</f>
        <v/>
      </c>
      <c r="M15" s="11">
        <f>IF(COUNTBLANK(F15:L15)&gt;0,"Очікую", IF(F15-SUM(G15:L15)=0,"0", IF(F15-SUM(G15:L15)&lt;0,"Надлишок " &amp; (F15-SUM(G15:L15))*(-1),"Не вистачає " &amp; F15-SUM(G15:L15))))</f>
        <v/>
      </c>
      <c r="N15" s="2" t="n"/>
      <c r="O15" s="28" t="n"/>
    </row>
    <row r="16" ht="15" customFormat="1" customHeight="1" s="1">
      <c r="A16" s="30" t="n"/>
      <c r="B16" s="2" t="n"/>
      <c r="C16" s="9" t="n">
        <v>13</v>
      </c>
      <c r="D16" s="5" t="inlineStr">
        <is>
          <t>Фізика</t>
        </is>
      </c>
      <c r="E16" s="7" t="inlineStr">
        <is>
          <t>Калюта Н.М.</t>
        </is>
      </c>
      <c r="F16" s="8" t="n">
        <v>46</v>
      </c>
      <c r="G16" s="24">
        <f>'[Січень.xlsx]25-4'!$Y24</f>
        <v/>
      </c>
      <c r="H16" s="24">
        <f>'[Лютий.xlsx]25-4'!$AF24</f>
        <v/>
      </c>
      <c r="I16" s="24">
        <f>'[Березень.xlsx]25-4'!$AI24</f>
        <v/>
      </c>
      <c r="J16" s="24">
        <f>'[Квітень.xlsx]25-4'!$AJ24</f>
        <v/>
      </c>
      <c r="K16" s="24">
        <f>'[Травень.xlsx]25-4'!$AJ24</f>
        <v/>
      </c>
      <c r="L16" s="24">
        <f>'[Червень.xlsx]25-4'!$AI24</f>
        <v/>
      </c>
      <c r="M16" s="8">
        <f>IF(COUNTBLANK(F16:L16)&gt;0,"Очікую", IF(F16-SUM(G16:L16)=0,"0", IF(F16-SUM(G16:L16)&lt;0,"Надлишок " &amp; (F16-SUM(G16:L16))*(-1),"Не вистачає " &amp; F16-SUM(G16:L16))))</f>
        <v/>
      </c>
      <c r="N16" s="2" t="n"/>
      <c r="O16" s="28" t="n"/>
    </row>
    <row r="17" ht="15" customFormat="1" customHeight="1" s="1">
      <c r="A17" s="30" t="n"/>
      <c r="B17" s="2" t="n"/>
      <c r="C17" s="10" t="n">
        <v>14</v>
      </c>
      <c r="D17" s="12" t="inlineStr">
        <is>
          <t>Фізична культура</t>
        </is>
      </c>
      <c r="E17" s="13" t="inlineStr">
        <is>
          <t>Галеніна І.С.</t>
        </is>
      </c>
      <c r="F17" s="11" t="n">
        <v>69</v>
      </c>
      <c r="G17" s="23">
        <f>'[Січень.xlsx]25-4'!$Y25</f>
        <v/>
      </c>
      <c r="H17" s="23">
        <f>'[Лютий.xlsx]25-4'!$AF25</f>
        <v/>
      </c>
      <c r="I17" s="23">
        <f>'[Березень.xlsx]25-4'!$AI25</f>
        <v/>
      </c>
      <c r="J17" s="23">
        <f>'[Квітень.xlsx]25-4'!$AJ25</f>
        <v/>
      </c>
      <c r="K17" s="23">
        <f>'[Травень.xlsx]25-4'!$AJ25</f>
        <v/>
      </c>
      <c r="L17" s="23">
        <f>'[Червень.xlsx]25-4'!$AI25</f>
        <v/>
      </c>
      <c r="M17" s="11">
        <f>IF(COUNTBLANK(F17:L17)&gt;0,"Очікую", IF(F17-SUM(G17:L17)=0,"0", IF(F17-SUM(G17:L17)&lt;0,"Надлишок " &amp; (F17-SUM(G17:L17))*(-1),"Не вистачає " &amp; F17-SUM(G17:L17))))</f>
        <v/>
      </c>
      <c r="N17" s="2" t="n"/>
      <c r="O17" s="28" t="n"/>
    </row>
    <row r="18" ht="15" customFormat="1" customHeight="1" s="1">
      <c r="A18" s="30" t="n"/>
      <c r="B18" s="2" t="n"/>
      <c r="C18" s="9" t="n">
        <v>15</v>
      </c>
      <c r="D18" s="4" t="inlineStr">
        <is>
          <t>Хімія</t>
        </is>
      </c>
      <c r="E18" s="6" t="inlineStr">
        <is>
          <t>Пономарьов К.М.</t>
        </is>
      </c>
      <c r="F18" s="8" t="n">
        <v>54</v>
      </c>
      <c r="G18" s="25">
        <f>'[Січень.xlsx]25-4'!$Y26</f>
        <v/>
      </c>
      <c r="H18" s="25">
        <f>'[Лютий.xlsx]25-4'!$AF26</f>
        <v/>
      </c>
      <c r="I18" s="25">
        <f>'[Березень.xlsx]25-4'!$AI26</f>
        <v/>
      </c>
      <c r="J18" s="25">
        <f>'[Квітень.xlsx]25-4'!$AJ26</f>
        <v/>
      </c>
      <c r="K18" s="25">
        <f>'[Травень.xlsx]25-4'!$AJ26</f>
        <v/>
      </c>
      <c r="L18" s="25">
        <f>'[Червень.xlsx]25-4'!$AI26</f>
        <v/>
      </c>
      <c r="M18" s="8">
        <f>IF(COUNTBLANK(F18:L18)&gt;0,"Очікую", IF(F18-SUM(G18:L18)=0,"0", IF(F18-SUM(G18:L18)&lt;0,"Надлишок " &amp; (F18-SUM(G18:L18))*(-1),"Не вистачає " &amp; F18-SUM(G18:L18))))</f>
        <v/>
      </c>
      <c r="N18" s="2" t="n"/>
      <c r="O18" s="28" t="n"/>
    </row>
    <row r="19" ht="15" customFormat="1" customHeight="1" s="1">
      <c r="A19" s="30" t="n"/>
      <c r="B19" s="2" t="n"/>
      <c r="C19" s="33" t="inlineStr">
        <is>
          <t>Всього</t>
        </is>
      </c>
      <c r="D19" s="36" t="n"/>
      <c r="E19" s="37" t="n"/>
      <c r="F19" s="17">
        <f>IF(COUNTBLANK(F4:F18)&gt;0,"Очікую",SUM(F4:F18))</f>
        <v/>
      </c>
      <c r="G19" s="18">
        <f>IF(COUNTBLANK(G4:G18)&gt;0,"Очікую",SUM(G4:G18))</f>
        <v/>
      </c>
      <c r="H19" s="34">
        <f>IF(COUNTBLANK(H4:H18)&gt;0,"Очікую",SUM(H4:H18))</f>
        <v/>
      </c>
      <c r="I19" s="34">
        <f>IF(COUNTBLANK(I4:I18)&gt;0,"Очікую",SUM(I4:I18))</f>
        <v/>
      </c>
      <c r="J19" s="34">
        <f>IF(COUNTBLANK(J4:J18)&gt;0,"Очікую",SUM(J4:J18))</f>
        <v/>
      </c>
      <c r="K19" s="34">
        <f>IF(COUNTBLANK(K4:K18)&gt;0,"Очікую",SUM(K4:K18))</f>
        <v/>
      </c>
      <c r="L19" s="34">
        <f>IF(COUNTBLANK(L4:L18)&gt;0,"Очікую",SUM(L4:L18))</f>
        <v/>
      </c>
      <c r="M19" s="17">
        <f>IF(COUNTIF(F19:L19,"Очікую")&gt;0,"Очікую", IF(F19-SUM(G19:L19)=0,"0", IF(F19-SUM(G19:L19)&lt;0,"Надлишок "&amp;(F19-SUM(G19:L19))*(-1),"Не вистачає "&amp;F19-SUM(G19:L19))))</f>
        <v/>
      </c>
      <c r="N19" s="2" t="n"/>
      <c r="O19" s="28" t="n"/>
    </row>
    <row r="20" ht="15" customFormat="1" customHeight="1" s="1">
      <c r="A20" s="30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8" t="n"/>
    </row>
    <row r="21" ht="15" customFormat="1" customHeight="1" s="1">
      <c r="A21" s="1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  <c r="O21" s="32" t="n"/>
    </row>
    <row r="22" hidden="1" ht="15" customFormat="1" customHeight="1" s="1"/>
    <row r="23" hidden="1" ht="15" customFormat="1" customHeight="1" s="1"/>
    <row r="24" hidden="1" ht="15" customFormat="1" customHeight="1" s="1"/>
    <row r="25" hidden="1" ht="15" customFormat="1" customHeight="1" s="1"/>
    <row r="26" hidden="1" ht="15" customFormat="1" customHeight="1" s="1"/>
    <row r="27" hidden="1" ht="15" customFormat="1" customHeight="1" s="1"/>
    <row r="28" hidden="1" ht="15" customFormat="1" customHeight="1" s="1"/>
    <row r="29" hidden="1" ht="15" customFormat="1" customHeight="1" s="1"/>
    <row r="30" hidden="1" ht="15" customFormat="1" customHeight="1" s="1"/>
    <row r="31" hidden="1" ht="15" customFormat="1" customHeight="1" s="1"/>
    <row r="32" hidden="1" ht="15" customFormat="1" customHeight="1" s="1"/>
    <row r="33" hidden="1" ht="15" customFormat="1" customHeight="1" s="1" thickBot="1"/>
    <row r="34" hidden="1" ht="15" customFormat="1" customHeight="1" s="1" thickBot="1"/>
    <row r="35" hidden="1" ht="12.95" customHeight="1" thickBot="1"/>
    <row r="36" hidden="1" ht="12" customHeight="1"/>
    <row r="37" hidden="1" ht="12.75" customHeight="1"/>
    <row r="38" hidden="1" ht="12.75" customHeight="1"/>
    <row r="39" hidden="1" ht="12.75" customHeight="1"/>
    <row r="40" hidden="1" ht="12.75" customHeight="1"/>
    <row r="41" hidden="1" ht="12.75" customHeight="1"/>
    <row r="42" hidden="1" ht="12.75" customHeight="1"/>
    <row r="43" hidden="1" ht="12.75" customHeight="1"/>
    <row r="44" hidden="1" ht="12.75" customHeight="1"/>
    <row r="45" hidden="1" ht="12.75" customHeight="1"/>
    <row r="46" hidden="1" ht="12.75" customHeight="1"/>
    <row r="47" hidden="1" ht="12.75" customHeight="1"/>
    <row r="48" hidden="1" ht="12.75" customHeight="1"/>
    <row r="49" hidden="1" ht="12.75" customHeight="1"/>
    <row r="50" hidden="1" ht="12.75" customHeight="1"/>
    <row r="51" hidden="1" ht="12.75" customHeight="1"/>
    <row r="52" hidden="1" ht="12.75" customHeight="1"/>
  </sheetData>
  <mergeCells count="1">
    <mergeCell ref="C19:E19"/>
  </mergeCells>
  <printOptions horizontalCentered="1"/>
  <pageMargins left="0.1968503937007874" right="0.1968503937007874" top="0.1968503937007874" bottom="0.1968503937007874" header="0" footer="0"/>
  <pageSetup orientation="landscape" paperSize="9" scale="60"/>
</worksheet>
</file>

<file path=xl/worksheets/sheet5.xml><?xml version="1.0" encoding="utf-8"?>
<worksheet xmlns="http://schemas.openxmlformats.org/spreadsheetml/2006/main">
  <sheetPr codeName="Лист4">
    <tabColor rgb="FF0070C0"/>
    <outlinePr summaryBelow="1" summaryRight="1"/>
    <pageSetUpPr fitToPage="1"/>
  </sheetPr>
  <dimension ref="A1:O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3" min="1" max="2"/>
    <col width="3.7109375" customWidth="1" style="3" min="3" max="3"/>
    <col width="23.7109375" customWidth="1" style="3" min="4" max="4"/>
    <col width="20.7109375" customWidth="1" style="3" min="5" max="5"/>
    <col width="13.7109375" customWidth="1" style="3" min="6" max="18"/>
    <col width="2.71" customWidth="1" min="14" max="14"/>
    <col width="2.71" customWidth="1" min="15" max="15"/>
    <col hidden="1" width="13" customWidth="1" min="16" max="16"/>
    <col hidden="1" width="13" customWidth="1" min="17" max="17"/>
    <col hidden="1" width="13" customWidth="1" min="18" max="18"/>
    <col hidden="1" width="15.7109375" customWidth="1" style="3" min="19" max="19"/>
    <col hidden="1" width="2.7109375" customWidth="1" style="3" min="20" max="21"/>
    <col hidden="1" width="13" customWidth="1" min="21" max="21"/>
    <col hidden="1" width="9.140625" customWidth="1" style="3" min="22" max="22"/>
    <col hidden="1" style="3" min="23" max="33"/>
    <col hidden="1" width="9.140625" customWidth="1" style="3" min="34" max="34"/>
    <col hidden="1" style="3" min="35" max="43"/>
    <col hidden="1" width="9.140625" customWidth="1" style="3" min="44" max="44"/>
    <col hidden="1" style="3" min="45" max="48"/>
    <col hidden="1" width="9.140625" customWidth="1" style="3" min="49" max="49"/>
    <col hidden="1" style="3" min="50" max="61"/>
    <col hidden="1" width="9.140625" customWidth="1" style="3" min="62" max="62"/>
    <col hidden="1" style="3" min="63" max="66"/>
    <col hidden="1" width="9.140625" customWidth="1" style="3" min="67" max="67"/>
    <col hidden="1" style="3" min="68" max="78"/>
    <col hidden="1" width="9.140625" customWidth="1" style="3" min="79" max="16384"/>
  </cols>
  <sheetData>
    <row r="1" ht="12" customFormat="1" customHeight="1" s="1" thickBot="1">
      <c r="A1" s="27" t="inlineStr">
        <is>
          <t>S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2" t="n"/>
    </row>
    <row r="2" ht="12" customFormat="1" customHeight="1" s="1" thickBot="1">
      <c r="A2" s="30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8" t="n"/>
    </row>
    <row r="3" ht="30" customFormat="1" customHeight="1" s="1" thickBot="1">
      <c r="A3" s="30" t="n"/>
      <c r="B3" s="2" t="n"/>
      <c r="C3" s="33" t="inlineStr">
        <is>
          <t>№</t>
        </is>
      </c>
      <c r="D3" s="34" t="inlineStr">
        <is>
          <t>Предмети</t>
        </is>
      </c>
      <c r="E3" s="21" t="inlineStr">
        <is>
          <t>Прізвище та
ініціали викладача</t>
        </is>
      </c>
      <c r="F3" s="17" t="inlineStr">
        <is>
          <t>План</t>
        </is>
      </c>
      <c r="G3" s="18" t="inlineStr">
        <is>
          <t>Січень</t>
        </is>
      </c>
      <c r="H3" s="34" t="inlineStr">
        <is>
          <t>Лютий</t>
        </is>
      </c>
      <c r="I3" s="18" t="inlineStr">
        <is>
          <t>Березень</t>
        </is>
      </c>
      <c r="J3" s="34" t="inlineStr">
        <is>
          <t>Квітень</t>
        </is>
      </c>
      <c r="K3" s="18" t="inlineStr">
        <is>
          <t>Травень</t>
        </is>
      </c>
      <c r="L3" s="34" t="inlineStr">
        <is>
          <t>Червень</t>
        </is>
      </c>
      <c r="M3" s="17" t="inlineStr">
        <is>
          <t>Різниця</t>
        </is>
      </c>
      <c r="N3" s="2" t="n"/>
      <c r="O3" s="28" t="n"/>
    </row>
    <row r="4" ht="15" customFormat="1" customHeight="1" s="1">
      <c r="A4" s="30" t="n"/>
      <c r="B4" s="2" t="n"/>
      <c r="C4" s="9" t="n">
        <v>1</v>
      </c>
      <c r="D4" s="4" t="inlineStr">
        <is>
          <t>Астрономія</t>
        </is>
      </c>
      <c r="E4" s="6" t="inlineStr">
        <is>
          <t>Наговська Т.С.</t>
        </is>
      </c>
      <c r="F4" s="8" t="n">
        <v>46</v>
      </c>
      <c r="G4" s="25">
        <f>'[Січень.xlsx]25-5'!$Y12</f>
        <v/>
      </c>
      <c r="H4" s="25">
        <f>'[Лютий.xlsx]25-5'!$AF12</f>
        <v/>
      </c>
      <c r="I4" s="25">
        <f>'[Березень.xlsx]25-5'!$AI12</f>
        <v/>
      </c>
      <c r="J4" s="25">
        <f>'[Квітень.xlsx]25-5'!$AJ12</f>
        <v/>
      </c>
      <c r="K4" s="25">
        <f>'[Травень.xlsx]25-5'!$AJ12</f>
        <v/>
      </c>
      <c r="L4" s="25">
        <f>'[Червень.xlsx]25-5'!$AI12</f>
        <v/>
      </c>
      <c r="M4" s="8">
        <f>IF(COUNTBLANK(F4:L4)&gt;0,"Очікую", IF(F4-SUM(G4:L4)=0,"0", IF(F4-SUM(G4:L4)&lt;0,"Надлишок " &amp; (F4-SUM(G4:L4))*(-1),"Не вистачає " &amp; F4-SUM(G4:L4))))</f>
        <v/>
      </c>
      <c r="N4" s="2" t="n"/>
      <c r="O4" s="28" t="n"/>
    </row>
    <row r="5" ht="15" customFormat="1" customHeight="1" s="1">
      <c r="A5" s="30" t="n"/>
      <c r="B5" s="2" t="n"/>
      <c r="C5" s="10" t="n">
        <v>2</v>
      </c>
      <c r="D5" s="12" t="inlineStr">
        <is>
          <t>Біологія</t>
        </is>
      </c>
      <c r="E5" s="13" t="inlineStr">
        <is>
          <t>Богданенко О.В.</t>
        </is>
      </c>
      <c r="F5" s="11" t="n">
        <v>72</v>
      </c>
      <c r="G5" s="23">
        <f>'[Січень.xlsx]25-5'!$Y13</f>
        <v/>
      </c>
      <c r="H5" s="23">
        <f>'[Лютий.xlsx]25-5'!$AF13</f>
        <v/>
      </c>
      <c r="I5" s="23">
        <f>'[Березень.xlsx]25-5'!$AI13</f>
        <v/>
      </c>
      <c r="J5" s="23">
        <f>'[Квітень.xlsx]25-5'!$AJ13</f>
        <v/>
      </c>
      <c r="K5" s="23">
        <f>'[Травень.xlsx]25-5'!$AJ13</f>
        <v/>
      </c>
      <c r="L5" s="23">
        <f>'[Червень.xlsx]25-5'!$AI13</f>
        <v/>
      </c>
      <c r="M5" s="11">
        <f>IF(COUNTBLANK(F5:L5)&gt;0,"Очікую", IF(F5-SUM(G5:L5)=0,"0", IF(F5-SUM(G5:L5)&lt;0,"Надлишок " &amp; (F5-SUM(G5:L5))*(-1),"Не вистачає " &amp; F5-SUM(G5:L5))))</f>
        <v/>
      </c>
      <c r="N5" s="2" t="n"/>
      <c r="O5" s="28" t="n"/>
    </row>
    <row r="6" ht="15" customFormat="1" customHeight="1" s="1">
      <c r="A6" s="30" t="n"/>
      <c r="B6" s="2" t="n"/>
      <c r="C6" s="9" t="n">
        <v>3</v>
      </c>
      <c r="D6" s="5" t="inlineStr">
        <is>
          <t>Всесвітня історія</t>
        </is>
      </c>
      <c r="E6" s="7" t="inlineStr">
        <is>
          <t>Мельничук С.А.</t>
        </is>
      </c>
      <c r="F6" s="8" t="n">
        <v>46</v>
      </c>
      <c r="G6" s="24">
        <f>'[Січень.xlsx]25-5'!$Y14</f>
        <v/>
      </c>
      <c r="H6" s="24">
        <f>'[Лютий.xlsx]25-5'!$AF14</f>
        <v/>
      </c>
      <c r="I6" s="24">
        <f>'[Березень.xlsx]25-5'!$AI14</f>
        <v/>
      </c>
      <c r="J6" s="24">
        <f>'[Квітень.xlsx]25-5'!$AJ14</f>
        <v/>
      </c>
      <c r="K6" s="24">
        <f>'[Травень.xlsx]25-5'!$AJ14</f>
        <v/>
      </c>
      <c r="L6" s="24">
        <f>'[Червень.xlsx]25-5'!$AI14</f>
        <v/>
      </c>
      <c r="M6" s="8">
        <f>IF(COUNTBLANK(F6:L6)&gt;0,"Очікую", IF(F6-SUM(G6:L6)=0,"0", IF(F6-SUM(G6:L6)&lt;0,"Надлишок " &amp; (F6-SUM(G6:L6))*(-1),"Не вистачає " &amp; F6-SUM(G6:L6))))</f>
        <v/>
      </c>
      <c r="N6" s="2" t="n"/>
      <c r="O6" s="28" t="n"/>
    </row>
    <row r="7" ht="15" customFormat="1" customHeight="1" s="1">
      <c r="A7" s="30" t="n"/>
      <c r="B7" s="2" t="n"/>
      <c r="C7" s="10" t="n">
        <v>4</v>
      </c>
      <c r="D7" s="12" t="inlineStr">
        <is>
          <t>Географія</t>
        </is>
      </c>
      <c r="E7" s="13" t="inlineStr">
        <is>
          <t>Наговська Т.С.</t>
        </is>
      </c>
      <c r="F7" s="11" t="n">
        <v>48</v>
      </c>
      <c r="G7" s="23">
        <f>'[Січень.xlsx]25-5'!$Y15</f>
        <v/>
      </c>
      <c r="H7" s="23">
        <f>'[Лютий.xlsx]25-5'!$AF15</f>
        <v/>
      </c>
      <c r="I7" s="23">
        <f>'[Березень.xlsx]25-5'!$AI15</f>
        <v/>
      </c>
      <c r="J7" s="23">
        <f>'[Квітень.xlsx]25-5'!$AJ15</f>
        <v/>
      </c>
      <c r="K7" s="23">
        <f>'[Травень.xlsx]25-5'!$AJ15</f>
        <v/>
      </c>
      <c r="L7" s="23">
        <f>'[Червень.xlsx]25-5'!$AI15</f>
        <v/>
      </c>
      <c r="M7" s="11">
        <f>IF(COUNTBLANK(F7:L7)&gt;0,"Очікую", IF(F7-SUM(G7:L7)=0,"0", IF(F7-SUM(G7:L7)&lt;0,"Надлишок " &amp; (F7-SUM(G7:L7))*(-1),"Не вистачає " &amp; F7-SUM(G7:L7))))</f>
        <v/>
      </c>
      <c r="N7" s="2" t="n"/>
      <c r="O7" s="28" t="n"/>
    </row>
    <row r="8" ht="15" customFormat="1" customHeight="1" s="1">
      <c r="A8" s="30" t="n"/>
      <c r="B8" s="2" t="n"/>
      <c r="C8" s="9" t="n">
        <v>5</v>
      </c>
      <c r="D8" s="5" t="inlineStr">
        <is>
          <t>Зарубіжна література</t>
        </is>
      </c>
      <c r="E8" s="7" t="inlineStr">
        <is>
          <t>Бабенко Л. Е.</t>
        </is>
      </c>
      <c r="F8" s="8" t="n">
        <v>46</v>
      </c>
      <c r="G8" s="24">
        <f>'[Січень.xlsx]25-5'!$Y16</f>
        <v/>
      </c>
      <c r="H8" s="24">
        <f>'[Лютий.xlsx]25-5'!$AF16</f>
        <v/>
      </c>
      <c r="I8" s="24">
        <f>'[Березень.xlsx]25-5'!$AI16</f>
        <v/>
      </c>
      <c r="J8" s="24">
        <f>'[Квітень.xlsx]25-5'!$AJ16</f>
        <v/>
      </c>
      <c r="K8" s="24">
        <f>'[Травень.xlsx]25-5'!$AJ16</f>
        <v/>
      </c>
      <c r="L8" s="24">
        <f>'[Червень.xlsx]25-5'!$AI16</f>
        <v/>
      </c>
      <c r="M8" s="8">
        <f>IF(COUNTBLANK(F8:L8)&gt;0,"Очікую", IF(F8-SUM(G8:L8)=0,"0", IF(F8-SUM(G8:L8)&lt;0,"Надлишок " &amp; (F8-SUM(G8:L8))*(-1),"Не вистачає " &amp; F8-SUM(G8:L8))))</f>
        <v/>
      </c>
      <c r="N8" s="2" t="n"/>
      <c r="O8" s="28" t="n"/>
    </row>
    <row r="9" ht="15" customFormat="1" customHeight="1" s="1">
      <c r="A9" s="30" t="n"/>
      <c r="B9" s="2" t="n"/>
      <c r="C9" s="10" t="n">
        <v>6</v>
      </c>
      <c r="D9" s="12" t="inlineStr">
        <is>
          <t>Захист України</t>
        </is>
      </c>
      <c r="E9" s="13" t="inlineStr">
        <is>
          <t>Лазар В.І.</t>
        </is>
      </c>
      <c r="F9" s="11" t="n">
        <v>69</v>
      </c>
      <c r="G9" s="23">
        <f>'[Січень.xlsx]25-5'!$Y17</f>
        <v/>
      </c>
      <c r="H9" s="23">
        <f>'[Лютий.xlsx]25-5'!$AF17</f>
        <v/>
      </c>
      <c r="I9" s="23">
        <f>'[Березень.xlsx]25-5'!$AI17</f>
        <v/>
      </c>
      <c r="J9" s="23">
        <f>'[Квітень.xlsx]25-5'!$AJ17</f>
        <v/>
      </c>
      <c r="K9" s="23">
        <f>'[Травень.xlsx]25-5'!$AJ17</f>
        <v/>
      </c>
      <c r="L9" s="23">
        <f>'[Червень.xlsx]25-5'!$AI17</f>
        <v/>
      </c>
      <c r="M9" s="11">
        <f>IF(COUNTBLANK(F9:L9)&gt;0,"Очікую", IF(F9-SUM(G9:L9)=0,"0", IF(F9-SUM(G9:L9)&lt;0,"Надлишок " &amp; (F9-SUM(G9:L9))*(-1),"Не вистачає " &amp; F9-SUM(G9:L9))))</f>
        <v/>
      </c>
      <c r="N9" s="2" t="n"/>
      <c r="O9" s="28" t="n"/>
    </row>
    <row r="10" ht="15" customFormat="1" customHeight="1" s="1">
      <c r="A10" s="30" t="n"/>
      <c r="B10" s="2" t="n"/>
      <c r="C10" s="9" t="n">
        <v>7</v>
      </c>
      <c r="D10" s="4" t="inlineStr">
        <is>
          <t>Іноземна мова</t>
        </is>
      </c>
      <c r="E10" s="6" t="inlineStr">
        <is>
          <t>Нічик Н.О.</t>
        </is>
      </c>
      <c r="F10" s="8" t="n">
        <v>46</v>
      </c>
      <c r="G10" s="25">
        <f>'[Січень.xlsx]25-5'!$Y18</f>
        <v/>
      </c>
      <c r="H10" s="25">
        <f>'[Лютий.xlsx]25-5'!$AF18</f>
        <v/>
      </c>
      <c r="I10" s="25">
        <f>'[Березень.xlsx]25-5'!$AI18</f>
        <v/>
      </c>
      <c r="J10" s="25">
        <f>'[Квітень.xlsx]25-5'!$AJ18</f>
        <v/>
      </c>
      <c r="K10" s="25">
        <f>'[Травень.xlsx]25-5'!$AJ18</f>
        <v/>
      </c>
      <c r="L10" s="25">
        <f>'[Червень.xlsx]25-5'!$AI18</f>
        <v/>
      </c>
      <c r="M10" s="8">
        <f>IF(COUNTBLANK(F10:L10)&gt;0,"Очікую", IF(F10-SUM(G10:L10)=0,"0", IF(F10-SUM(G10:L10)&lt;0,"Надлишок " &amp; (F10-SUM(G10:L10))*(-1),"Не вистачає " &amp; F10-SUM(G10:L10))))</f>
        <v/>
      </c>
      <c r="N10" s="2" t="n"/>
      <c r="O10" s="28" t="n"/>
    </row>
    <row r="11" ht="15" customFormat="1" customHeight="1" s="1">
      <c r="A11" s="30" t="n"/>
      <c r="B11" s="2" t="n"/>
      <c r="C11" s="10" t="n">
        <v>8</v>
      </c>
      <c r="D11" s="12" t="inlineStr">
        <is>
          <t>Інформатика</t>
        </is>
      </c>
      <c r="E11" s="13" t="inlineStr">
        <is>
          <t>Андрльє І.О.</t>
        </is>
      </c>
      <c r="F11" s="11" t="n">
        <v>23</v>
      </c>
      <c r="G11" s="23">
        <f>'[Січень.xlsx]25-5'!$Y19</f>
        <v/>
      </c>
      <c r="H11" s="23">
        <f>'[Лютий.xlsx]25-5'!$AF19</f>
        <v/>
      </c>
      <c r="I11" s="23">
        <f>'[Березень.xlsx]25-5'!$AI19</f>
        <v/>
      </c>
      <c r="J11" s="23">
        <f>'[Квітень.xlsx]25-5'!$AJ19</f>
        <v/>
      </c>
      <c r="K11" s="23">
        <f>'[Травень.xlsx]25-5'!$AJ19</f>
        <v/>
      </c>
      <c r="L11" s="23">
        <f>'[Червень.xlsx]25-5'!$AI19</f>
        <v/>
      </c>
      <c r="M11" s="11">
        <f>IF(COUNTBLANK(F11:L11)&gt;0,"Очікую", IF(F11-SUM(G11:L11)=0,"0", IF(F11-SUM(G11:L11)&lt;0,"Надлишок " &amp; (F11-SUM(G11:L11))*(-1),"Не вистачає " &amp; F11-SUM(G11:L11))))</f>
        <v/>
      </c>
      <c r="N11" s="2" t="n"/>
      <c r="O11" s="28" t="n"/>
    </row>
    <row r="12" ht="15" customFormat="1" customHeight="1" s="1">
      <c r="A12" s="30" t="n"/>
      <c r="B12" s="2" t="n"/>
      <c r="C12" s="9" t="n">
        <v>9</v>
      </c>
      <c r="D12" s="4" t="inlineStr">
        <is>
          <t>Історія України</t>
        </is>
      </c>
      <c r="E12" s="6" t="inlineStr">
        <is>
          <t>Левчук Т.Г.</t>
        </is>
      </c>
      <c r="F12" s="8" t="n">
        <v>46</v>
      </c>
      <c r="G12" s="25">
        <f>'[Січень.xlsx]25-5'!$Y20</f>
        <v/>
      </c>
      <c r="H12" s="25">
        <f>'[Лютий.xlsx]25-5'!$AF20</f>
        <v/>
      </c>
      <c r="I12" s="25">
        <f>'[Березень.xlsx]25-5'!$AI20</f>
        <v/>
      </c>
      <c r="J12" s="25">
        <f>'[Квітень.xlsx]25-5'!$AJ20</f>
        <v/>
      </c>
      <c r="K12" s="25">
        <f>'[Травень.xlsx]25-5'!$AJ20</f>
        <v/>
      </c>
      <c r="L12" s="25">
        <f>'[Червень.xlsx]25-5'!$AI20</f>
        <v/>
      </c>
      <c r="M12" s="8">
        <f>IF(COUNTBLANK(F12:L12)&gt;0,"Очікую", IF(F12-SUM(G12:L12)=0,"0", IF(F12-SUM(G12:L12)&lt;0,"Надлишок " &amp; (F12-SUM(G12:L12))*(-1),"Не вистачає " &amp; F12-SUM(G12:L12))))</f>
        <v/>
      </c>
      <c r="N12" s="2" t="n"/>
      <c r="O12" s="28" t="n"/>
    </row>
    <row r="13" ht="15" customFormat="1" customHeight="1" s="1">
      <c r="A13" s="30" t="n"/>
      <c r="B13" s="2" t="n"/>
      <c r="C13" s="10" t="n">
        <v>10</v>
      </c>
      <c r="D13" s="12" t="inlineStr">
        <is>
          <t>Математика</t>
        </is>
      </c>
      <c r="E13" s="13" t="inlineStr">
        <is>
          <t>Земляна Т.М.</t>
        </is>
      </c>
      <c r="F13" s="11" t="n">
        <v>69</v>
      </c>
      <c r="G13" s="23">
        <f>'[Січень.xlsx]25-5'!$Y21</f>
        <v/>
      </c>
      <c r="H13" s="23">
        <f>'[Лютий.xlsx]25-5'!$AF21</f>
        <v/>
      </c>
      <c r="I13" s="23">
        <f>'[Березень.xlsx]25-5'!$AI21</f>
        <v/>
      </c>
      <c r="J13" s="23">
        <f>'[Квітень.xlsx]25-5'!$AJ21</f>
        <v/>
      </c>
      <c r="K13" s="23">
        <f>'[Травень.xlsx]25-5'!$AJ21</f>
        <v/>
      </c>
      <c r="L13" s="23">
        <f>'[Червень.xlsx]25-5'!$AI21</f>
        <v/>
      </c>
      <c r="M13" s="11">
        <f>IF(COUNTBLANK(F13:L13)&gt;0,"Очікую", IF(F13-SUM(G13:L13)=0,"0", IF(F13-SUM(G13:L13)&lt;0,"Надлишок " &amp; (F13-SUM(G13:L13))*(-1),"Не вистачає " &amp; F13-SUM(G13:L13))))</f>
        <v/>
      </c>
      <c r="N13" s="2" t="n"/>
      <c r="O13" s="28" t="n"/>
    </row>
    <row r="14" ht="15" customFormat="1" customHeight="1" s="1">
      <c r="A14" s="30" t="n"/>
      <c r="B14" s="2" t="n"/>
      <c r="C14" s="9" t="n">
        <v>11</v>
      </c>
      <c r="D14" s="5" t="inlineStr">
        <is>
          <t>Українська література</t>
        </is>
      </c>
      <c r="E14" s="7" t="inlineStr">
        <is>
          <t>Юрченко О.Б.</t>
        </is>
      </c>
      <c r="F14" s="8" t="n">
        <v>46</v>
      </c>
      <c r="G14" s="24">
        <f>'[Січень.xlsx]25-5'!$Y22</f>
        <v/>
      </c>
      <c r="H14" s="24">
        <f>'[Лютий.xlsx]25-5'!$AF22</f>
        <v/>
      </c>
      <c r="I14" s="24">
        <f>'[Березень.xlsx]25-5'!$AI22</f>
        <v/>
      </c>
      <c r="J14" s="24">
        <f>'[Квітень.xlsx]25-5'!$AJ22</f>
        <v/>
      </c>
      <c r="K14" s="24">
        <f>'[Травень.xlsx]25-5'!$AJ22</f>
        <v/>
      </c>
      <c r="L14" s="24">
        <f>'[Червень.xlsx]25-5'!$AI22</f>
        <v/>
      </c>
      <c r="M14" s="8">
        <f>IF(COUNTBLANK(F14:L14)&gt;0,"Очікую", IF(F14-SUM(G14:L14)=0,"0", IF(F14-SUM(G14:L14)&lt;0,"Надлишок " &amp; (F14-SUM(G14:L14))*(-1),"Не вистачає " &amp; F14-SUM(G14:L14))))</f>
        <v/>
      </c>
      <c r="N14" s="2" t="n"/>
      <c r="O14" s="28" t="n"/>
    </row>
    <row r="15" ht="15" customFormat="1" customHeight="1" s="1">
      <c r="A15" s="30" t="n"/>
      <c r="B15" s="2" t="n"/>
      <c r="C15" s="10" t="n">
        <v>12</v>
      </c>
      <c r="D15" s="12" t="inlineStr">
        <is>
          <t>Українська мова</t>
        </is>
      </c>
      <c r="E15" s="13" t="inlineStr">
        <is>
          <t>Юрченко О.Б.</t>
        </is>
      </c>
      <c r="F15" s="11" t="n">
        <v>46</v>
      </c>
      <c r="G15" s="23">
        <f>'[Січень.xlsx]25-5'!$Y23</f>
        <v/>
      </c>
      <c r="H15" s="23">
        <f>'[Лютий.xlsx]25-5'!$AF23</f>
        <v/>
      </c>
      <c r="I15" s="23">
        <f>'[Березень.xlsx]25-5'!$AI23</f>
        <v/>
      </c>
      <c r="J15" s="23">
        <f>'[Квітень.xlsx]25-5'!$AJ23</f>
        <v/>
      </c>
      <c r="K15" s="23">
        <f>'[Травень.xlsx]25-5'!$AJ23</f>
        <v/>
      </c>
      <c r="L15" s="23">
        <f>'[Червень.xlsx]25-5'!$AI23</f>
        <v/>
      </c>
      <c r="M15" s="11">
        <f>IF(COUNTBLANK(F15:L15)&gt;0,"Очікую", IF(F15-SUM(G15:L15)=0,"0", IF(F15-SUM(G15:L15)&lt;0,"Надлишок " &amp; (F15-SUM(G15:L15))*(-1),"Не вистачає " &amp; F15-SUM(G15:L15))))</f>
        <v/>
      </c>
      <c r="N15" s="2" t="n"/>
      <c r="O15" s="28" t="n"/>
    </row>
    <row r="16" ht="15" customFormat="1" customHeight="1" s="1">
      <c r="A16" s="30" t="n"/>
      <c r="B16" s="2" t="n"/>
      <c r="C16" s="9" t="n">
        <v>13</v>
      </c>
      <c r="D16" s="5" t="inlineStr">
        <is>
          <t>Фізика</t>
        </is>
      </c>
      <c r="E16" s="7" t="inlineStr">
        <is>
          <t>Калюта Н.М.</t>
        </is>
      </c>
      <c r="F16" s="8" t="n">
        <v>46</v>
      </c>
      <c r="G16" s="24">
        <f>'[Січень.xlsx]25-5'!$Y24</f>
        <v/>
      </c>
      <c r="H16" s="24">
        <f>'[Лютий.xlsx]25-5'!$AF24</f>
        <v/>
      </c>
      <c r="I16" s="24">
        <f>'[Березень.xlsx]25-5'!$AI24</f>
        <v/>
      </c>
      <c r="J16" s="24">
        <f>'[Квітень.xlsx]25-5'!$AJ24</f>
        <v/>
      </c>
      <c r="K16" s="24">
        <f>'[Травень.xlsx]25-5'!$AJ24</f>
        <v/>
      </c>
      <c r="L16" s="24">
        <f>'[Червень.xlsx]25-5'!$AI24</f>
        <v/>
      </c>
      <c r="M16" s="8">
        <f>IF(COUNTBLANK(F16:L16)&gt;0,"Очікую", IF(F16-SUM(G16:L16)=0,"0", IF(F16-SUM(G16:L16)&lt;0,"Надлишок " &amp; (F16-SUM(G16:L16))*(-1),"Не вистачає " &amp; F16-SUM(G16:L16))))</f>
        <v/>
      </c>
      <c r="N16" s="2" t="n"/>
      <c r="O16" s="28" t="n"/>
    </row>
    <row r="17" ht="15" customFormat="1" customHeight="1" s="1">
      <c r="A17" s="30" t="n"/>
      <c r="B17" s="2" t="n"/>
      <c r="C17" s="10" t="n">
        <v>14</v>
      </c>
      <c r="D17" s="12" t="inlineStr">
        <is>
          <t>Фізична культура</t>
        </is>
      </c>
      <c r="E17" s="13" t="inlineStr">
        <is>
          <t>Галеніна І.С.</t>
        </is>
      </c>
      <c r="F17" s="11" t="n">
        <v>69</v>
      </c>
      <c r="G17" s="23">
        <f>'[Січень.xlsx]25-5'!$Y25</f>
        <v/>
      </c>
      <c r="H17" s="23">
        <f>'[Лютий.xlsx]25-5'!$AF25</f>
        <v/>
      </c>
      <c r="I17" s="23">
        <f>'[Березень.xlsx]25-5'!$AI25</f>
        <v/>
      </c>
      <c r="J17" s="23">
        <f>'[Квітень.xlsx]25-5'!$AJ25</f>
        <v/>
      </c>
      <c r="K17" s="23">
        <f>'[Травень.xlsx]25-5'!$AJ25</f>
        <v/>
      </c>
      <c r="L17" s="23">
        <f>'[Червень.xlsx]25-5'!$AI25</f>
        <v/>
      </c>
      <c r="M17" s="11">
        <f>IF(COUNTBLANK(F17:L17)&gt;0,"Очікую", IF(F17-SUM(G17:L17)=0,"0", IF(F17-SUM(G17:L17)&lt;0,"Надлишок " &amp; (F17-SUM(G17:L17))*(-1),"Не вистачає " &amp; F17-SUM(G17:L17))))</f>
        <v/>
      </c>
      <c r="N17" s="2" t="n"/>
      <c r="O17" s="28" t="n"/>
    </row>
    <row r="18" ht="15" customFormat="1" customHeight="1" s="1">
      <c r="A18" s="30" t="n"/>
      <c r="B18" s="2" t="n"/>
      <c r="C18" s="9" t="n">
        <v>15</v>
      </c>
      <c r="D18" s="4" t="inlineStr">
        <is>
          <t>Хімія</t>
        </is>
      </c>
      <c r="E18" s="6" t="inlineStr">
        <is>
          <t>Пономарьов К.М.</t>
        </is>
      </c>
      <c r="F18" s="8" t="n">
        <v>54</v>
      </c>
      <c r="G18" s="25">
        <f>'[Січень.xlsx]25-5'!$Y26</f>
        <v/>
      </c>
      <c r="H18" s="25">
        <f>'[Лютий.xlsx]25-5'!$AF26</f>
        <v/>
      </c>
      <c r="I18" s="25">
        <f>'[Березень.xlsx]25-5'!$AI26</f>
        <v/>
      </c>
      <c r="J18" s="25">
        <f>'[Квітень.xlsx]25-5'!$AJ26</f>
        <v/>
      </c>
      <c r="K18" s="25">
        <f>'[Травень.xlsx]25-5'!$AJ26</f>
        <v/>
      </c>
      <c r="L18" s="25">
        <f>'[Червень.xlsx]25-5'!$AI26</f>
        <v/>
      </c>
      <c r="M18" s="8">
        <f>IF(COUNTBLANK(F18:L18)&gt;0,"Очікую", IF(F18-SUM(G18:L18)=0,"0", IF(F18-SUM(G18:L18)&lt;0,"Надлишок " &amp; (F18-SUM(G18:L18))*(-1),"Не вистачає " &amp; F18-SUM(G18:L18))))</f>
        <v/>
      </c>
      <c r="N18" s="2" t="n"/>
      <c r="O18" s="28" t="n"/>
    </row>
    <row r="19" ht="15" customFormat="1" customHeight="1" s="1">
      <c r="A19" s="30" t="n"/>
      <c r="B19" s="2" t="n"/>
      <c r="C19" s="33" t="inlineStr">
        <is>
          <t>Всього</t>
        </is>
      </c>
      <c r="D19" s="36" t="n"/>
      <c r="E19" s="37" t="n"/>
      <c r="F19" s="17">
        <f>IF(COUNTBLANK(F4:F18)&gt;0,"Очікую",SUM(F4:F18))</f>
        <v/>
      </c>
      <c r="G19" s="18">
        <f>IF(COUNTBLANK(G4:G18)&gt;0,"Очікую",SUM(G4:G18))</f>
        <v/>
      </c>
      <c r="H19" s="34">
        <f>IF(COUNTBLANK(H4:H18)&gt;0,"Очікую",SUM(H4:H18))</f>
        <v/>
      </c>
      <c r="I19" s="34">
        <f>IF(COUNTBLANK(I4:I18)&gt;0,"Очікую",SUM(I4:I18))</f>
        <v/>
      </c>
      <c r="J19" s="34">
        <f>IF(COUNTBLANK(J4:J18)&gt;0,"Очікую",SUM(J4:J18))</f>
        <v/>
      </c>
      <c r="K19" s="34">
        <f>IF(COUNTBLANK(K4:K18)&gt;0,"Очікую",SUM(K4:K18))</f>
        <v/>
      </c>
      <c r="L19" s="34">
        <f>IF(COUNTBLANK(L4:L18)&gt;0,"Очікую",SUM(L4:L18))</f>
        <v/>
      </c>
      <c r="M19" s="17">
        <f>IF(COUNTIF(F19:L19,"Очікую")&gt;0,"Очікую", IF(F19-SUM(G19:L19)=0,"0", IF(F19-SUM(G19:L19)&lt;0,"Надлишок "&amp;(F19-SUM(G19:L19))*(-1),"Не вистачає "&amp;F19-SUM(G19:L19))))</f>
        <v/>
      </c>
      <c r="N19" s="2" t="n"/>
      <c r="O19" s="28" t="n"/>
    </row>
    <row r="20" ht="15" customFormat="1" customHeight="1" s="1">
      <c r="A20" s="30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8" t="n"/>
    </row>
    <row r="21" ht="15" customFormat="1" customHeight="1" s="1">
      <c r="A21" s="1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  <c r="O21" s="32" t="n"/>
    </row>
    <row r="22" hidden="1" ht="15" customFormat="1" customHeight="1" s="1"/>
    <row r="23" hidden="1" ht="15" customFormat="1" customHeight="1" s="1"/>
    <row r="24" hidden="1" ht="15" customFormat="1" customHeight="1" s="1"/>
    <row r="25" hidden="1" ht="15" customFormat="1" customHeight="1" s="1"/>
    <row r="26" hidden="1" ht="15" customFormat="1" customHeight="1" s="1"/>
    <row r="27" hidden="1" ht="15" customFormat="1" customHeight="1" s="1"/>
    <row r="28" hidden="1" ht="15" customFormat="1" customHeight="1" s="1"/>
    <row r="29" hidden="1" ht="15" customFormat="1" customHeight="1" s="1"/>
    <row r="30" hidden="1" ht="15" customFormat="1" customHeight="1" s="1"/>
    <row r="31" hidden="1" ht="15" customFormat="1" customHeight="1" s="1"/>
    <row r="32" hidden="1" ht="15" customFormat="1" customHeight="1" s="1"/>
    <row r="33" hidden="1" ht="15" customFormat="1" customHeight="1" s="1" thickBot="1"/>
    <row r="34" hidden="1" ht="15" customFormat="1" customHeight="1" s="1" thickBot="1"/>
    <row r="35" hidden="1" ht="12.95" customHeight="1" thickBot="1"/>
    <row r="36" hidden="1" ht="12" customHeight="1"/>
    <row r="37" hidden="1" ht="12.75" customHeight="1"/>
    <row r="38" hidden="1" ht="12.75" customHeight="1"/>
    <row r="39" hidden="1" ht="12.75" customHeight="1"/>
    <row r="40" hidden="1" ht="12.75" customHeight="1"/>
    <row r="41" hidden="1" ht="12.75" customHeight="1"/>
    <row r="42" hidden="1" ht="12.75" customHeight="1"/>
    <row r="43" hidden="1" ht="12.75" customHeight="1"/>
    <row r="44" hidden="1" ht="12.75" customHeight="1"/>
    <row r="45" hidden="1" ht="12.75" customHeight="1"/>
    <row r="46" hidden="1" ht="12.75" customHeight="1"/>
    <row r="47" hidden="1" ht="12.75" customHeight="1"/>
    <row r="48" hidden="1" ht="12.75" customHeight="1"/>
    <row r="49" hidden="1" ht="12.75" customHeight="1"/>
    <row r="50" hidden="1" ht="12.75" customHeight="1"/>
    <row r="51" hidden="1" ht="12.75" customHeight="1"/>
    <row r="52" hidden="1" ht="12.75" customHeight="1"/>
  </sheetData>
  <mergeCells count="1">
    <mergeCell ref="C19:E19"/>
  </mergeCells>
  <printOptions horizontalCentered="1"/>
  <pageMargins left="0.1968503937007874" right="0.1968503937007874" top="0.1968503937007874" bottom="0.1968503937007874" header="0" footer="0"/>
  <pageSetup orientation="landscape" paperSize="9" scale="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Computer</dc:creator>
  <dcterms:created xmlns:dcterms="http://purl.org/dc/terms/" xmlns:xsi="http://www.w3.org/2001/XMLSchema-instance" xsi:type="dcterms:W3CDTF">2009-12-09T07:28:47Z</dcterms:created>
  <dcterms:modified xmlns:dcterms="http://purl.org/dc/terms/" xmlns:xsi="http://www.w3.org/2001/XMLSchema-instance" xsi:type="dcterms:W3CDTF">2026-06-18T15:56:37Z</dcterms:modified>
  <cp:lastModifiedBy>Maxim Surkov</cp:lastModifiedBy>
  <cp:lastPrinted>2025-12-13T14:32:58Z</cp:lastPrinted>
</cp:coreProperties>
</file>