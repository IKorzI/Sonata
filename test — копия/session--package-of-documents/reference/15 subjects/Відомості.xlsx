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D5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Рейтингова D5" sheetId="4" state="visible" r:id="rId4"/>
    <sheet xmlns:r="http://schemas.openxmlformats.org/officeDocument/2006/relationships" name="Рейтингова D7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D5'!$C$3:$U$36</definedName>
    <definedName name="A1048577" localSheetId="1">#REF!</definedName>
    <definedName name="Ф80" localSheetId="1">#REF!</definedName>
    <definedName name="_xlnm.Print_Area" localSheetId="1">'Зведена D7'!$C$3:$U$48</definedName>
    <definedName name="A1048577" localSheetId="2">#REF!</definedName>
    <definedName name="Ф80" localSheetId="2">#REF!</definedName>
    <definedName name="_xlnm.Print_Area" localSheetId="2">'Зведена G1'!$C$3:$U$25</definedName>
    <definedName name="A1048577" localSheetId="3">#REF!</definedName>
    <definedName name="Ф80" localSheetId="3">#REF!</definedName>
    <definedName name="_xlnm.Print_Area" localSheetId="3">'Рейтингова D5'!$C$3:$V$16</definedName>
    <definedName name="A1048577" localSheetId="4">#REF!</definedName>
    <definedName name="Ф80" localSheetId="4">#REF!</definedName>
    <definedName name="_xlnm.Print_Area" localSheetId="4">'Рейтингова D7'!$C$3:$V$25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BFBFBF"/>
        <bgColor rgb="00BFBFB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8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3" fillId="8" borderId="2" applyAlignment="1" pivotButton="0" quotePrefix="0" xfId="5">
      <alignment horizontal="center" vertical="center" wrapText="1"/>
    </xf>
    <xf numFmtId="0" fontId="3" fillId="8" borderId="2" applyAlignment="1" pivotButton="0" quotePrefix="0" xfId="5">
      <alignment horizontal="left" vertical="center" wrapText="1"/>
    </xf>
    <xf numFmtId="0" fontId="3" fillId="8" borderId="2" applyAlignment="1" pivotButton="0" quotePrefix="0" xfId="5">
      <alignment horizontal="center" vertical="center"/>
    </xf>
    <xf numFmtId="2" fontId="9" fillId="8" borderId="2" applyAlignment="1" pivotButton="0" quotePrefix="0" xfId="5">
      <alignment horizontal="center" vertical="center"/>
    </xf>
    <xf numFmtId="2" fontId="3" fillId="8" borderId="2" applyAlignment="1" pivotButton="0" quotePrefix="0" xfId="5">
      <alignment horizontal="center" vertical="center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Бондаренко Андрій Миколайович</t>
        </is>
      </c>
      <c r="F10" s="49" t="n">
        <v>6</v>
      </c>
      <c r="G10" s="49" t="n">
        <v>4</v>
      </c>
      <c r="H10" s="49" t="n">
        <v>5</v>
      </c>
      <c r="I10" s="49" t="n">
        <v>9</v>
      </c>
      <c r="J10" s="49" t="n">
        <v>4</v>
      </c>
      <c r="K10" s="49" t="n">
        <v>5</v>
      </c>
      <c r="L10" s="49" t="n">
        <v>7</v>
      </c>
      <c r="M10" s="49" t="n">
        <v>8</v>
      </c>
      <c r="N10" s="49" t="inlineStr">
        <is>
          <t>н/а</t>
        </is>
      </c>
      <c r="O10" s="49" t="n">
        <v>10</v>
      </c>
      <c r="P10" s="49" t="n">
        <v>8</v>
      </c>
      <c r="Q10" s="49" t="n">
        <v>7</v>
      </c>
      <c r="R10" s="49" t="n">
        <v>8</v>
      </c>
      <c r="S10" s="49" t="n">
        <v>9</v>
      </c>
      <c r="T10" s="49" t="n">
        <v>5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Гриценко Світлана Анатоліївна</t>
        </is>
      </c>
      <c r="F11" s="49" t="n">
        <v>7</v>
      </c>
      <c r="G11" s="49" t="n">
        <v>8</v>
      </c>
      <c r="H11" s="49" t="n">
        <v>5</v>
      </c>
      <c r="I11" s="49" t="n">
        <v>7</v>
      </c>
      <c r="J11" s="49" t="n">
        <v>9</v>
      </c>
      <c r="K11" s="49" t="n">
        <v>6</v>
      </c>
      <c r="L11" s="49" t="n">
        <v>9</v>
      </c>
      <c r="M11" s="49" t="n">
        <v>11</v>
      </c>
      <c r="N11" s="49" t="inlineStr">
        <is>
          <t>н/а</t>
        </is>
      </c>
      <c r="O11" s="49" t="n">
        <v>8</v>
      </c>
      <c r="P11" s="49" t="n">
        <v>7</v>
      </c>
      <c r="Q11" s="49" t="n">
        <v>7</v>
      </c>
      <c r="R11" s="49" t="n">
        <v>11</v>
      </c>
      <c r="S11" s="49" t="n">
        <v>4</v>
      </c>
      <c r="T11" s="49" t="n">
        <v>5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Карєва Анастасія Сергіївна</t>
        </is>
      </c>
      <c r="F12" s="49" t="n">
        <v>4</v>
      </c>
      <c r="G12" s="49" t="n">
        <v>11</v>
      </c>
      <c r="H12" s="49" t="n">
        <v>5</v>
      </c>
      <c r="I12" s="49" t="n">
        <v>4</v>
      </c>
      <c r="J12" s="49" t="inlineStr">
        <is>
          <t>н/а</t>
        </is>
      </c>
      <c r="K12" s="49" t="n">
        <v>4</v>
      </c>
      <c r="L12" s="49" t="n">
        <v>10</v>
      </c>
      <c r="M12" s="49" t="n">
        <v>11</v>
      </c>
      <c r="N12" s="49" t="n">
        <v>6</v>
      </c>
      <c r="O12" s="49" t="n">
        <v>8</v>
      </c>
      <c r="P12" s="49" t="n">
        <v>9</v>
      </c>
      <c r="Q12" s="49" t="n">
        <v>10</v>
      </c>
      <c r="R12" s="49" t="n">
        <v>10</v>
      </c>
      <c r="S12" s="49" t="inlineStr">
        <is>
          <t>н/а</t>
        </is>
      </c>
      <c r="T12" s="49" t="n">
        <v>9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Ковальчук Наталія Петрівна</t>
        </is>
      </c>
      <c r="F13" s="49" t="n">
        <v>8</v>
      </c>
      <c r="G13" s="49" t="n">
        <v>5</v>
      </c>
      <c r="H13" s="49" t="n">
        <v>6</v>
      </c>
      <c r="I13" s="49" t="n">
        <v>6</v>
      </c>
      <c r="J13" s="49" t="n">
        <v>10</v>
      </c>
      <c r="K13" s="49" t="n">
        <v>7</v>
      </c>
      <c r="L13" s="49" t="n">
        <v>9</v>
      </c>
      <c r="M13" s="49" t="n">
        <v>5</v>
      </c>
      <c r="N13" s="49" t="n">
        <v>8</v>
      </c>
      <c r="O13" s="49" t="n">
        <v>10</v>
      </c>
      <c r="P13" s="49" t="n">
        <v>5</v>
      </c>
      <c r="Q13" s="49" t="n">
        <v>8</v>
      </c>
      <c r="R13" s="49" t="n">
        <v>6</v>
      </c>
      <c r="S13" s="49" t="n">
        <v>11</v>
      </c>
      <c r="T13" s="49" t="n">
        <v>11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Кравченко Денис Юрійович</t>
        </is>
      </c>
      <c r="F14" s="49" t="n">
        <v>9</v>
      </c>
      <c r="G14" s="49" t="n">
        <v>6</v>
      </c>
      <c r="H14" s="49" t="n">
        <v>7</v>
      </c>
      <c r="I14" s="49" t="n">
        <v>4</v>
      </c>
      <c r="J14" s="49" t="n">
        <v>6</v>
      </c>
      <c r="K14" s="49" t="n">
        <v>7</v>
      </c>
      <c r="L14" s="49" t="inlineStr">
        <is>
          <t>н/а</t>
        </is>
      </c>
      <c r="M14" s="49" t="n">
        <v>6</v>
      </c>
      <c r="N14" s="49" t="n">
        <v>11</v>
      </c>
      <c r="O14" s="49" t="n">
        <v>10</v>
      </c>
      <c r="P14" s="49" t="inlineStr">
        <is>
          <t>н/а</t>
        </is>
      </c>
      <c r="Q14" s="49" t="n">
        <v>5</v>
      </c>
      <c r="R14" s="49" t="n">
        <v>10</v>
      </c>
      <c r="S14" s="49" t="n">
        <v>10</v>
      </c>
      <c r="T14" s="49" t="n">
        <v>5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Лєрманова Олена Євгенівна</t>
        </is>
      </c>
      <c r="F15" s="49" t="n">
        <v>4</v>
      </c>
      <c r="G15" s="49" t="n">
        <v>8</v>
      </c>
      <c r="H15" s="49" t="n">
        <v>4</v>
      </c>
      <c r="I15" s="49" t="n">
        <v>5</v>
      </c>
      <c r="J15" s="49" t="n">
        <v>11</v>
      </c>
      <c r="K15" s="49" t="n">
        <v>6</v>
      </c>
      <c r="L15" s="49" t="n">
        <v>8</v>
      </c>
      <c r="M15" s="49" t="n">
        <v>8</v>
      </c>
      <c r="N15" s="49" t="n">
        <v>10</v>
      </c>
      <c r="O15" s="49" t="n">
        <v>7</v>
      </c>
      <c r="P15" s="49" t="inlineStr">
        <is>
          <t>н/а</t>
        </is>
      </c>
      <c r="Q15" s="49" t="n">
        <v>5</v>
      </c>
      <c r="R15" s="49" t="inlineStr">
        <is>
          <t>н/а</t>
        </is>
      </c>
      <c r="S15" s="49" t="n">
        <v>11</v>
      </c>
      <c r="T15" s="49" t="inlineStr">
        <is>
          <t>н/а</t>
        </is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Лисенко Олена Володимирівна</t>
        </is>
      </c>
      <c r="F16" s="49" t="n">
        <v>8</v>
      </c>
      <c r="G16" s="49" t="n">
        <v>8</v>
      </c>
      <c r="H16" s="49" t="n">
        <v>8</v>
      </c>
      <c r="I16" s="49" t="inlineStr">
        <is>
          <t>н/а</t>
        </is>
      </c>
      <c r="J16" s="49" t="n">
        <v>10</v>
      </c>
      <c r="K16" s="49" t="n">
        <v>8</v>
      </c>
      <c r="L16" s="49" t="n">
        <v>8</v>
      </c>
      <c r="M16" s="49" t="n">
        <v>4</v>
      </c>
      <c r="N16" s="49" t="n">
        <v>8</v>
      </c>
      <c r="O16" s="49" t="n">
        <v>8</v>
      </c>
      <c r="P16" s="49" t="inlineStr">
        <is>
          <t>н/а</t>
        </is>
      </c>
      <c r="Q16" s="49" t="inlineStr">
        <is>
          <t>н/а</t>
        </is>
      </c>
      <c r="R16" s="49" t="n">
        <v>5</v>
      </c>
      <c r="S16" s="49" t="n">
        <v>10</v>
      </c>
      <c r="T16" s="49" t="n">
        <v>10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Мельниченко Софія Ігорівна</t>
        </is>
      </c>
      <c r="F17" s="49" t="n">
        <v>10</v>
      </c>
      <c r="G17" s="49" t="n">
        <v>8</v>
      </c>
      <c r="H17" s="49" t="n">
        <v>7</v>
      </c>
      <c r="I17" s="49" t="n">
        <v>8</v>
      </c>
      <c r="J17" s="49" t="n">
        <v>11</v>
      </c>
      <c r="K17" s="49" t="n">
        <v>9</v>
      </c>
      <c r="L17" s="49" t="n">
        <v>10</v>
      </c>
      <c r="M17" s="49" t="n">
        <v>10</v>
      </c>
      <c r="N17" s="49" t="n">
        <v>9</v>
      </c>
      <c r="O17" s="49" t="n">
        <v>6</v>
      </c>
      <c r="P17" s="49" t="n">
        <v>5</v>
      </c>
      <c r="Q17" s="49" t="n">
        <v>7</v>
      </c>
      <c r="R17" s="49" t="n">
        <v>8</v>
      </c>
      <c r="S17" s="49" t="n">
        <v>10</v>
      </c>
      <c r="T17" s="49" t="n">
        <v>4</v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Мороз Віктор Васильович</t>
        </is>
      </c>
      <c r="F18" s="49" t="n">
        <v>4</v>
      </c>
      <c r="G18" s="49" t="n">
        <v>9</v>
      </c>
      <c r="H18" s="49" t="n">
        <v>4</v>
      </c>
      <c r="I18" s="49" t="inlineStr">
        <is>
          <t>н/а</t>
        </is>
      </c>
      <c r="J18" s="49" t="n">
        <v>9</v>
      </c>
      <c r="K18" s="49" t="n">
        <v>6</v>
      </c>
      <c r="L18" s="49" t="inlineStr">
        <is>
          <t>н/а</t>
        </is>
      </c>
      <c r="M18" s="49" t="n">
        <v>11</v>
      </c>
      <c r="N18" s="49" t="n">
        <v>11</v>
      </c>
      <c r="O18" s="49" t="n">
        <v>10</v>
      </c>
      <c r="P18" s="49" t="n">
        <v>8</v>
      </c>
      <c r="Q18" s="49" t="n">
        <v>11</v>
      </c>
      <c r="R18" s="49" t="n">
        <v>9</v>
      </c>
      <c r="S18" s="49" t="n">
        <v>7</v>
      </c>
      <c r="T18" s="49" t="n">
        <v>11</v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Поліщук Артем Валерійович</t>
        </is>
      </c>
      <c r="F19" s="49" t="n">
        <v>4</v>
      </c>
      <c r="G19" s="49" t="n">
        <v>4</v>
      </c>
      <c r="H19" s="49" t="n">
        <v>7</v>
      </c>
      <c r="I19" s="49" t="n">
        <v>9</v>
      </c>
      <c r="J19" s="49" t="n">
        <v>9</v>
      </c>
      <c r="K19" s="49" t="n">
        <v>6</v>
      </c>
      <c r="L19" s="49" t="n">
        <v>8</v>
      </c>
      <c r="M19" s="49" t="n">
        <v>8</v>
      </c>
      <c r="N19" s="49" t="n">
        <v>10</v>
      </c>
      <c r="O19" s="49" t="n">
        <v>4</v>
      </c>
      <c r="P19" s="49" t="n">
        <v>11</v>
      </c>
      <c r="Q19" s="49" t="n">
        <v>7</v>
      </c>
      <c r="R19" s="49" t="n">
        <v>8</v>
      </c>
      <c r="S19" s="49" t="n">
        <v>10</v>
      </c>
      <c r="T19" s="49" t="n">
        <v>8</v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Присяжнюк Аміна Михайлівна</t>
        </is>
      </c>
      <c r="F20" s="49" t="n">
        <v>8</v>
      </c>
      <c r="G20" s="49" t="n">
        <v>11</v>
      </c>
      <c r="H20" s="49" t="n">
        <v>4</v>
      </c>
      <c r="I20" s="49" t="n">
        <v>10</v>
      </c>
      <c r="J20" s="49" t="n">
        <v>5</v>
      </c>
      <c r="K20" s="49" t="n">
        <v>8</v>
      </c>
      <c r="L20" s="49" t="n">
        <v>11</v>
      </c>
      <c r="M20" s="49" t="n">
        <v>9</v>
      </c>
      <c r="N20" s="49" t="n">
        <v>5</v>
      </c>
      <c r="O20" s="49" t="n">
        <v>8</v>
      </c>
      <c r="P20" s="49" t="n">
        <v>4</v>
      </c>
      <c r="Q20" s="49" t="n">
        <v>7</v>
      </c>
      <c r="R20" s="49" t="n">
        <v>11</v>
      </c>
      <c r="S20" s="49" t="n">
        <v>8</v>
      </c>
      <c r="T20" s="49" t="n">
        <v>5</v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Савельєв Олександр Вячеславович</t>
        </is>
      </c>
      <c r="F21" s="49" t="n">
        <v>9</v>
      </c>
      <c r="G21" s="49" t="n">
        <v>8</v>
      </c>
      <c r="H21" s="49" t="n">
        <v>11</v>
      </c>
      <c r="I21" s="49" t="n">
        <v>5</v>
      </c>
      <c r="J21" s="49" t="n">
        <v>8</v>
      </c>
      <c r="K21" s="49" t="n">
        <v>5</v>
      </c>
      <c r="L21" s="49" t="n">
        <v>5</v>
      </c>
      <c r="M21" s="49" t="n">
        <v>8</v>
      </c>
      <c r="N21" s="49" t="n">
        <v>6</v>
      </c>
      <c r="O21" s="49" t="n">
        <v>11</v>
      </c>
      <c r="P21" s="49" t="n">
        <v>9</v>
      </c>
      <c r="Q21" s="49" t="n">
        <v>8</v>
      </c>
      <c r="R21" s="49" t="n">
        <v>8</v>
      </c>
      <c r="S21" s="49" t="n">
        <v>8</v>
      </c>
      <c r="T21" s="49" t="n">
        <v>8</v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Савченко Марія Олегівна</t>
        </is>
      </c>
      <c r="F22" s="49" t="n">
        <v>11</v>
      </c>
      <c r="G22" s="49" t="n">
        <v>6</v>
      </c>
      <c r="H22" s="49" t="inlineStr">
        <is>
          <t>н/а</t>
        </is>
      </c>
      <c r="I22" s="49" t="n">
        <v>9</v>
      </c>
      <c r="J22" s="49" t="n">
        <v>9</v>
      </c>
      <c r="K22" s="49" t="inlineStr">
        <is>
          <t>н/а</t>
        </is>
      </c>
      <c r="L22" s="49" t="n">
        <v>8</v>
      </c>
      <c r="M22" s="49" t="n">
        <v>11</v>
      </c>
      <c r="N22" s="49" t="n">
        <v>5</v>
      </c>
      <c r="O22" s="49" t="n">
        <v>6</v>
      </c>
      <c r="P22" s="49" t="n">
        <v>4</v>
      </c>
      <c r="Q22" s="49" t="n">
        <v>11</v>
      </c>
      <c r="R22" s="49" t="n">
        <v>9</v>
      </c>
      <c r="S22" s="49" t="n">
        <v>6</v>
      </c>
      <c r="T22" s="49" t="n">
        <v>8</v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Самойлова Яна Вячеславівна</t>
        </is>
      </c>
      <c r="F23" s="49" t="n">
        <v>11</v>
      </c>
      <c r="G23" s="49" t="n">
        <v>8</v>
      </c>
      <c r="H23" s="49" t="n">
        <v>4</v>
      </c>
      <c r="I23" s="49" t="n">
        <v>9</v>
      </c>
      <c r="J23" s="49" t="n">
        <v>7</v>
      </c>
      <c r="K23" s="49" t="n">
        <v>5</v>
      </c>
      <c r="L23" s="49" t="n">
        <v>8</v>
      </c>
      <c r="M23" s="49" t="n">
        <v>5</v>
      </c>
      <c r="N23" s="49" t="n">
        <v>9</v>
      </c>
      <c r="O23" s="49" t="n">
        <v>4</v>
      </c>
      <c r="P23" s="49" t="n">
        <v>8</v>
      </c>
      <c r="Q23" s="49" t="n">
        <v>8</v>
      </c>
      <c r="R23" s="49" t="n">
        <v>6</v>
      </c>
      <c r="S23" s="49" t="n">
        <v>9</v>
      </c>
      <c r="T23" s="49" t="n">
        <v>9</v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Стегарь Евеліна Сергіївна</t>
        </is>
      </c>
      <c r="F24" s="49" t="n">
        <v>11</v>
      </c>
      <c r="G24" s="49" t="n">
        <v>5</v>
      </c>
      <c r="H24" s="49" t="n">
        <v>6</v>
      </c>
      <c r="I24" s="49" t="n">
        <v>6</v>
      </c>
      <c r="J24" s="49" t="inlineStr">
        <is>
          <t>н/а</t>
        </is>
      </c>
      <c r="K24" s="49" t="n">
        <v>10</v>
      </c>
      <c r="L24" s="49" t="n">
        <v>9</v>
      </c>
      <c r="M24" s="49" t="n">
        <v>11</v>
      </c>
      <c r="N24" s="49" t="n">
        <v>11</v>
      </c>
      <c r="O24" s="49" t="n">
        <v>11</v>
      </c>
      <c r="P24" s="49" t="n">
        <v>10</v>
      </c>
      <c r="Q24" s="49" t="n">
        <v>11</v>
      </c>
      <c r="R24" s="49" t="n">
        <v>10</v>
      </c>
      <c r="S24" s="49" t="n">
        <v>11</v>
      </c>
      <c r="T24" s="49" t="n">
        <v>8</v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Ткаченко Ірина Сергіївна</t>
        </is>
      </c>
      <c r="F25" s="49" t="n">
        <v>5</v>
      </c>
      <c r="G25" s="49" t="n">
        <v>10</v>
      </c>
      <c r="H25" s="49" t="n">
        <v>10</v>
      </c>
      <c r="I25" s="49" t="n">
        <v>8</v>
      </c>
      <c r="J25" s="49" t="n">
        <v>9</v>
      </c>
      <c r="K25" s="49" t="n">
        <v>9</v>
      </c>
      <c r="L25" s="49" t="n">
        <v>9</v>
      </c>
      <c r="M25" s="49" t="n">
        <v>4</v>
      </c>
      <c r="N25" s="49" t="n">
        <v>9</v>
      </c>
      <c r="O25" s="49" t="n">
        <v>8</v>
      </c>
      <c r="P25" s="49" t="n">
        <v>10</v>
      </c>
      <c r="Q25" s="49" t="n">
        <v>8</v>
      </c>
      <c r="R25" s="49" t="n">
        <v>11</v>
      </c>
      <c r="S25" s="49" t="n">
        <v>8</v>
      </c>
      <c r="T25" s="49" t="n">
        <v>8</v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Цвєтков Андрій Геннадійович</t>
        </is>
      </c>
      <c r="F26" s="49" t="n">
        <v>8</v>
      </c>
      <c r="G26" s="49" t="n">
        <v>7</v>
      </c>
      <c r="H26" s="49" t="inlineStr">
        <is>
          <t>н/а</t>
        </is>
      </c>
      <c r="I26" s="49" t="n">
        <v>4</v>
      </c>
      <c r="J26" s="49" t="n">
        <v>7</v>
      </c>
      <c r="K26" s="49" t="n">
        <v>8</v>
      </c>
      <c r="L26" s="49" t="n">
        <v>5</v>
      </c>
      <c r="M26" s="49" t="n">
        <v>10</v>
      </c>
      <c r="N26" s="49" t="n">
        <v>4</v>
      </c>
      <c r="O26" s="49" t="n">
        <v>8</v>
      </c>
      <c r="P26" s="49" t="n">
        <v>8</v>
      </c>
      <c r="Q26" s="49" t="n">
        <v>6</v>
      </c>
      <c r="R26" s="49" t="n">
        <v>4</v>
      </c>
      <c r="S26" s="49" t="n">
        <v>7</v>
      </c>
      <c r="T26" s="49" t="n">
        <v>10</v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Шевченко Олександр Іванович</t>
        </is>
      </c>
      <c r="F27" s="49" t="n">
        <v>9</v>
      </c>
      <c r="G27" s="49" t="n">
        <v>9</v>
      </c>
      <c r="H27" s="49" t="n">
        <v>7</v>
      </c>
      <c r="I27" s="49" t="n">
        <v>11</v>
      </c>
      <c r="J27" s="49" t="inlineStr">
        <is>
          <t>н/а</t>
        </is>
      </c>
      <c r="K27" s="49" t="n">
        <v>10</v>
      </c>
      <c r="L27" s="49" t="n">
        <v>8</v>
      </c>
      <c r="M27" s="49" t="n">
        <v>8</v>
      </c>
      <c r="N27" s="49" t="n">
        <v>5</v>
      </c>
      <c r="O27" s="49" t="n">
        <v>7</v>
      </c>
      <c r="P27" s="49" t="n">
        <v>7</v>
      </c>
      <c r="Q27" s="49" t="n">
        <v>4</v>
      </c>
      <c r="R27" s="49" t="n">
        <v>8</v>
      </c>
      <c r="S27" s="49" t="n">
        <v>4</v>
      </c>
      <c r="T27" s="49" t="n">
        <v>8</v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Середній бал успішності з дисципліни</t>
        </is>
      </c>
      <c r="F28" s="8">
        <f>IF(SUM(F$10:F27)=0,IF(COUNTA(F$10:F27)=0,"Очікую",0),SUM(F$10:F27)/$D27)</f>
        <v/>
      </c>
      <c r="G28" s="8">
        <f>IF(SUM(G$10:G27)=0,IF(COUNTA(G$10:G27)=0,"Очікую",0),SUM(G$10:G27)/$D27)</f>
        <v/>
      </c>
      <c r="H28" s="8">
        <f>IF(SUM(H$10:H27)=0,IF(COUNTA(H$10:H27)=0,"Очікую",0),SUM(H$10:H27)/$D27)</f>
        <v/>
      </c>
      <c r="I28" s="8">
        <f>IF(SUM(I$10:I27)=0,IF(COUNTA(I$10:I27)=0,"Очікую",0),SUM(I$10:I27)/$D27)</f>
        <v/>
      </c>
      <c r="J28" s="8">
        <f>IF(SUM(J$10:J27)=0,IF(COUNTA(J$10:J27)=0,"Очікую",0),SUM(J$10:J27)/$D27)</f>
        <v/>
      </c>
      <c r="K28" s="8">
        <f>IF(SUM(K$10:K27)=0,IF(COUNTA(K$10:K27)=0,"Очікую",0),SUM(K$10:K27)/$D27)</f>
        <v/>
      </c>
      <c r="L28" s="8">
        <f>IF(SUM(L$10:L27)=0,IF(COUNTA(L$10:L27)=0,"Очікую",0),SUM(L$10:L27)/$D27)</f>
        <v/>
      </c>
      <c r="M28" s="8">
        <f>IF(SUM(M$10:M27)=0,IF(COUNTA(M$10:M27)=0,"Очікую",0),SUM(M$10:M27)/$D27)</f>
        <v/>
      </c>
      <c r="N28" s="8">
        <f>IF(SUM(N$10:N27)=0,IF(COUNTA(N$10:N27)=0,"Очікую",0),SUM(N$10:N27)/$D27)</f>
        <v/>
      </c>
      <c r="O28" s="8">
        <f>IF(SUM(O$10:O27)=0,IF(COUNTA(O$10:O27)=0,"Очікую",0),SUM(O$10:O27)/$D27)</f>
        <v/>
      </c>
      <c r="P28" s="8">
        <f>IF(SUM(P$10:P27)=0,IF(COUNTA(P$10:P27)=0,"Очікую",0),SUM(P$10:P27)/$D27)</f>
        <v/>
      </c>
      <c r="Q28" s="8">
        <f>IF(SUM(Q$10:Q27)=0,IF(COUNTA(Q$10:Q27)=0,"Очікую",0),SUM(Q$10:Q27)/$D27)</f>
        <v/>
      </c>
      <c r="R28" s="8">
        <f>IF(SUM(R$10:R27)=0,IF(COUNTA(R$10:R27)=0,"Очікую",0),SUM(R$10:R27)/$D27)</f>
        <v/>
      </c>
      <c r="S28" s="8">
        <f>IF(SUM(S$10:S27)=0,IF(COUNTA(S$10:S27)=0,"Очікую",0),SUM(S$10:S27)/$D27)</f>
        <v/>
      </c>
      <c r="T28" s="8">
        <f>IF(SUM(T$10:T27)=0,IF(COUNTA(T$10:T27)=0,"Очікую",0),SUM(T$10:T27)/$D27)</f>
        <v/>
      </c>
      <c r="U28" s="9">
        <f>IFERROR(AVERAGE($F28:T28),"Очікую")</f>
        <v/>
      </c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</t>
        </is>
      </c>
      <c r="F29" s="43">
        <f>IF(SUM(F$10:F27)=0,IF(COUNTA(F$10:F27)=0,"Очікую",0),IF(COUNTIF(F$10:F27,"&gt;=4")=0,0,COUNTIF(F$10:F27,"&gt;=4")/$D27*100))</f>
        <v/>
      </c>
      <c r="G29" s="43">
        <f>IF(SUM(G$10:G27)=0,IF(COUNTA(G$10:G27)=0,"Очікую",0),IF(COUNTIF(G$10:G27,"&gt;=4")=0,0,COUNTIF(G$10:G27,"&gt;=4")/$D27*100))</f>
        <v/>
      </c>
      <c r="H29" s="43">
        <f>IF(SUM(H$10:H27)=0,IF(COUNTA(H$10:H27)=0,"Очікую",0),IF(COUNTIF(H$10:H27,"&gt;=4")=0,0,COUNTIF(H$10:H27,"&gt;=4")/$D27*100))</f>
        <v/>
      </c>
      <c r="I29" s="43">
        <f>IF(SUM(I$10:I27)=0,IF(COUNTA(I$10:I27)=0,"Очікую",0),IF(COUNTIF(I$10:I27,"&gt;=4")=0,0,COUNTIF(I$10:I27,"&gt;=4")/$D27*100))</f>
        <v/>
      </c>
      <c r="J29" s="43">
        <f>IF(SUM(J$10:J27)=0,IF(COUNTA(J$10:J27)=0,"Очікую",0),IF(COUNTIF(J$10:J27,"&gt;=4")=0,0,COUNTIF(J$10:J27,"&gt;=4")/$D27*100))</f>
        <v/>
      </c>
      <c r="K29" s="43">
        <f>IF(SUM(K$10:K27)=0,IF(COUNTA(K$10:K27)=0,"Очікую",0),IF(COUNTIF(K$10:K27,"&gt;=4")=0,0,COUNTIF(K$10:K27,"&gt;=4")/$D27*100))</f>
        <v/>
      </c>
      <c r="L29" s="43">
        <f>IF(SUM(L$10:L27)=0,IF(COUNTA(L$10:L27)=0,"Очікую",0),IF(COUNTIF(L$10:L27,"&gt;=4")=0,0,COUNTIF(L$10:L27,"&gt;=4")/$D27*100))</f>
        <v/>
      </c>
      <c r="M29" s="43">
        <f>IF(SUM(M$10:M27)=0,IF(COUNTA(M$10:M27)=0,"Очікую",0),IF(COUNTIF(M$10:M27,"&gt;=4")=0,0,COUNTIF(M$10:M27,"&gt;=4")/$D27*100))</f>
        <v/>
      </c>
      <c r="N29" s="43">
        <f>IF(SUM(N$10:N27)=0,IF(COUNTA(N$10:N27)=0,"Очікую",0),IF(COUNTIF(N$10:N27,"&gt;=4")=0,0,COUNTIF(N$10:N27,"&gt;=4")/$D27*100))</f>
        <v/>
      </c>
      <c r="O29" s="43">
        <f>IF(SUM(O$10:O27)=0,IF(COUNTA(O$10:O27)=0,"Очікую",0),IF(COUNTIF(O$10:O27,"&gt;=4")=0,0,COUNTIF(O$10:O27,"&gt;=4")/$D27*100))</f>
        <v/>
      </c>
      <c r="P29" s="43">
        <f>IF(SUM(P$10:P27)=0,IF(COUNTA(P$10:P27)=0,"Очікую",0),IF(COUNTIF(P$10:P27,"&gt;=4")=0,0,COUNTIF(P$10:P27,"&gt;=4")/$D27*100))</f>
        <v/>
      </c>
      <c r="Q29" s="43">
        <f>IF(SUM(Q$10:Q27)=0,IF(COUNTA(Q$10:Q27)=0,"Очікую",0),IF(COUNTIF(Q$10:Q27,"&gt;=4")=0,0,COUNTIF(Q$10:Q27,"&gt;=4")/$D27*100))</f>
        <v/>
      </c>
      <c r="R29" s="43">
        <f>IF(SUM(R$10:R27)=0,IF(COUNTA(R$10:R27)=0,"Очікую",0),IF(COUNTIF(R$10:R27,"&gt;=4")=0,0,COUNTIF(R$10:R27,"&gt;=4")/$D27*100))</f>
        <v/>
      </c>
      <c r="S29" s="43">
        <f>IF(SUM(S$10:S27)=0,IF(COUNTA(S$10:S27)=0,"Очікую",0),IF(COUNTIF(S$10:S27,"&gt;=4")=0,0,COUNTIF(S$10:S27,"&gt;=4")/$D27*100))</f>
        <v/>
      </c>
      <c r="T29" s="43">
        <f>IF(SUM(T$10:T27)=0,IF(COUNTA(T$10:T27)=0,"Очікую",0),IF(COUNTIF(T$10:T27,"&gt;=4")=0,0,COUNTIF(T$10:T27,"&gt;=4")/$D27*100))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</t>
        </is>
      </c>
      <c r="F30" s="43">
        <f>IF(SUM(F$10:F27)=0,IF(COUNTA(F$10:F27)=0,"Очікую",0),IF(COUNTIF(F$10:F27,"&gt;=7")=0,0,COUNTIF(F$10:F27,"&gt;=7")/$D27*100))</f>
        <v/>
      </c>
      <c r="G30" s="43">
        <f>IF(SUM(G$10:G27)=0,IF(COUNTA(G$10:G27)=0,"Очікую",0),IF(COUNTIF(G$10:G27,"&gt;=7")=0,0,COUNTIF(G$10:G27,"&gt;=7")/$D27*100))</f>
        <v/>
      </c>
      <c r="H30" s="43">
        <f>IF(SUM(H$10:H27)=0,IF(COUNTA(H$10:H27)=0,"Очікую",0),IF(COUNTIF(H$10:H27,"&gt;=7")=0,0,COUNTIF(H$10:H27,"&gt;=7")/$D27*100))</f>
        <v/>
      </c>
      <c r="I30" s="43">
        <f>IF(SUM(I$10:I27)=0,IF(COUNTA(I$10:I27)=0,"Очікую",0),IF(COUNTIF(I$10:I27,"&gt;=7")=0,0,COUNTIF(I$10:I27,"&gt;=7")/$D27*100))</f>
        <v/>
      </c>
      <c r="J30" s="43">
        <f>IF(SUM(J$10:J27)=0,IF(COUNTA(J$10:J27)=0,"Очікую",0),IF(COUNTIF(J$10:J27,"&gt;=7")=0,0,COUNTIF(J$10:J27,"&gt;=7")/$D27*100))</f>
        <v/>
      </c>
      <c r="K30" s="43">
        <f>IF(SUM(K$10:K27)=0,IF(COUNTA(K$10:K27)=0,"Очікую",0),IF(COUNTIF(K$10:K27,"&gt;=7")=0,0,COUNTIF(K$10:K27,"&gt;=7")/$D27*100))</f>
        <v/>
      </c>
      <c r="L30" s="43">
        <f>IF(SUM(L$10:L27)=0,IF(COUNTA(L$10:L27)=0,"Очікую",0),IF(COUNTIF(L$10:L27,"&gt;=7")=0,0,COUNTIF(L$10:L27,"&gt;=7")/$D27*100))</f>
        <v/>
      </c>
      <c r="M30" s="43">
        <f>IF(SUM(M$10:M27)=0,IF(COUNTA(M$10:M27)=0,"Очікую",0),IF(COUNTIF(M$10:M27,"&gt;=7")=0,0,COUNTIF(M$10:M27,"&gt;=7")/$D27*100))</f>
        <v/>
      </c>
      <c r="N30" s="43">
        <f>IF(SUM(N$10:N27)=0,IF(COUNTA(N$10:N27)=0,"Очікую",0),IF(COUNTIF(N$10:N27,"&gt;=7")=0,0,COUNTIF(N$10:N27,"&gt;=7")/$D27*100))</f>
        <v/>
      </c>
      <c r="O30" s="43">
        <f>IF(SUM(O$10:O27)=0,IF(COUNTA(O$10:O27)=0,"Очікую",0),IF(COUNTIF(O$10:O27,"&gt;=7")=0,0,COUNTIF(O$10:O27,"&gt;=7")/$D27*100))</f>
        <v/>
      </c>
      <c r="P30" s="43">
        <f>IF(SUM(P$10:P27)=0,IF(COUNTA(P$10:P27)=0,"Очікую",0),IF(COUNTIF(P$10:P27,"&gt;=7")=0,0,COUNTIF(P$10:P27,"&gt;=7")/$D27*100))</f>
        <v/>
      </c>
      <c r="Q30" s="43">
        <f>IF(SUM(Q$10:Q27)=0,IF(COUNTA(Q$10:Q27)=0,"Очікую",0),IF(COUNTIF(Q$10:Q27,"&gt;=7")=0,0,COUNTIF(Q$10:Q27,"&gt;=7")/$D27*100))</f>
        <v/>
      </c>
      <c r="R30" s="43">
        <f>IF(SUM(R$10:R27)=0,IF(COUNTA(R$10:R27)=0,"Очікую",0),IF(COUNTIF(R$10:R27,"&gt;=7")=0,0,COUNTIF(R$10:R27,"&gt;=7")/$D27*100))</f>
        <v/>
      </c>
      <c r="S30" s="43">
        <f>IF(SUM(S$10:S27)=0,IF(COUNTA(S$10:S27)=0,"Очікую",0),IF(COUNTIF(S$10:S27,"&gt;=7")=0,0,COUNTIF(S$10:S27,"&gt;=7")/$D27*100))</f>
        <v/>
      </c>
      <c r="T30" s="43">
        <f>IF(SUM(T$10:T27)=0,IF(COUNTA(T$10:T27)=0,"Очікую",0),IF(COUNTIF(T$10:T27,"&gt;=7")=0,0,COUNTIF(T$10:T27,"&gt;=7")/$D27*100))</f>
        <v/>
      </c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 по групі</t>
        </is>
      </c>
      <c r="F31" s="8">
        <f>IFERROR(AVERAGE(F29:T29),"Очікую")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 по групі</t>
        </is>
      </c>
      <c r="F32" s="8">
        <f>IFERROR(AVERAGE($F30:T30),"Очікую")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бюджетників</t>
        </is>
      </c>
      <c r="F33" s="63">
        <f>IF(COUNTIF($C$10:$C27,"=Б")=0,IF(COUNTIF($C$10:$C27,"=К")=0,"Очікую",0),COUNTIF($C$10:$C27,"=Б"))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контрактників</t>
        </is>
      </c>
      <c r="F34" s="63">
        <f>IF(COUNTIF($C$10:$C27,"=К")=0,IF(COUNTIF($C$10:$C27,"=Б")=0,"Очікую",0),COUNTIF($C$10:$C27,"=К"))</f>
        <v/>
      </c>
      <c r="G34" s="6" t="n"/>
      <c r="H34" s="55" t="inlineStr">
        <is>
          <t>Класний керівник</t>
        </is>
      </c>
      <c r="I34" s="55" t="n"/>
      <c r="J34" s="55" t="n"/>
      <c r="K34" s="55" t="n"/>
      <c r="L34" s="55" t="n"/>
      <c r="M34" s="6" t="n"/>
      <c r="N34" s="6" t="n"/>
      <c r="O34" s="6" t="n"/>
      <c r="P34" s="56" t="inlineStr">
        <is>
          <t>Ірина ДОПІРА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соціального контингенту</t>
        </is>
      </c>
      <c r="F35" s="4" t="n">
        <v>0</v>
      </c>
      <c r="G35" s="6" t="n"/>
      <c r="H35" s="55" t="n"/>
      <c r="I35" s="55" t="n"/>
      <c r="J35" s="55" t="n"/>
      <c r="K35" s="55" t="n"/>
      <c r="L35" s="55" t="n"/>
      <c r="M35" s="6" t="n"/>
      <c r="N35" s="6" t="n"/>
      <c r="O35" s="6" t="n"/>
      <c r="P35" s="56" t="n"/>
      <c r="Q35" s="52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Вийшли на стипендію</t>
        </is>
      </c>
      <c r="F36" s="63">
        <f>IF(F33="Очікую","Очікую",IF(F33-COUNTIF($U$10:$U27," - ")&lt;ROUNDDOWN(F33*0.4,0),F33-COUNTIF($U$10:$U27," - "),ROUNDDOWN(F33*0.4,0)))</f>
        <v/>
      </c>
      <c r="G36" s="6" t="n"/>
      <c r="H36" s="56" t="inlineStr">
        <is>
          <t>Завідувач відділення ПЗСО</t>
        </is>
      </c>
      <c r="I36" s="56" t="n"/>
      <c r="J36" s="56" t="n"/>
      <c r="K36" s="56" t="n"/>
      <c r="L36" s="56" t="n"/>
      <c r="M36" s="6" t="n"/>
      <c r="N36" s="6" t="n"/>
      <c r="O36" s="6" t="n"/>
      <c r="P36" s="56" t="inlineStr">
        <is>
          <t>Маргарита БРІТІКОВА</t>
        </is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5" t="n"/>
      <c r="W37" s="39" t="n"/>
    </row>
    <row r="38" ht="15" customFormat="1" customHeight="1" s="11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9" t="n"/>
    </row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Безуглий Юрій Віталійович</t>
        </is>
      </c>
      <c r="F10" s="49" t="n">
        <v>6</v>
      </c>
      <c r="G10" s="49" t="n">
        <v>10</v>
      </c>
      <c r="H10" s="49" t="n">
        <v>11</v>
      </c>
      <c r="I10" s="49" t="n">
        <v>6</v>
      </c>
      <c r="J10" s="49" t="n">
        <v>9</v>
      </c>
      <c r="K10" s="49" t="n">
        <v>4</v>
      </c>
      <c r="L10" s="49" t="n">
        <v>8</v>
      </c>
      <c r="M10" s="49" t="n">
        <v>5</v>
      </c>
      <c r="N10" s="49" t="n">
        <v>6</v>
      </c>
      <c r="O10" s="49" t="n">
        <v>6</v>
      </c>
      <c r="P10" s="49" t="n">
        <v>5</v>
      </c>
      <c r="Q10" s="49" t="n">
        <v>9</v>
      </c>
      <c r="R10" s="49" t="n">
        <v>8</v>
      </c>
      <c r="S10" s="49" t="n">
        <v>7</v>
      </c>
      <c r="T10" s="49" t="n">
        <v>5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Білан Інна Євгенівна</t>
        </is>
      </c>
      <c r="F11" s="49" t="n">
        <v>4</v>
      </c>
      <c r="G11" s="49" t="n">
        <v>11</v>
      </c>
      <c r="H11" s="49" t="n">
        <v>8</v>
      </c>
      <c r="I11" s="49" t="n">
        <v>6</v>
      </c>
      <c r="J11" s="49" t="n">
        <v>6</v>
      </c>
      <c r="K11" s="49" t="n">
        <v>5</v>
      </c>
      <c r="L11" s="49" t="n">
        <v>6</v>
      </c>
      <c r="M11" s="49" t="n">
        <v>8</v>
      </c>
      <c r="N11" s="49" t="n">
        <v>10</v>
      </c>
      <c r="O11" s="49" t="n">
        <v>7</v>
      </c>
      <c r="P11" s="49" t="n">
        <v>5</v>
      </c>
      <c r="Q11" s="49" t="n">
        <v>4</v>
      </c>
      <c r="R11" s="49" t="n">
        <v>8</v>
      </c>
      <c r="S11" s="49" t="n">
        <v>4</v>
      </c>
      <c r="T11" s="49" t="n">
        <v>7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Білик Анастасія Павлівна</t>
        </is>
      </c>
      <c r="F12" s="49" t="n">
        <v>7</v>
      </c>
      <c r="G12" s="49" t="n">
        <v>6</v>
      </c>
      <c r="H12" s="49" t="n">
        <v>5</v>
      </c>
      <c r="I12" s="49" t="n">
        <v>8</v>
      </c>
      <c r="J12" s="49" t="inlineStr">
        <is>
          <t>н/а</t>
        </is>
      </c>
      <c r="K12" s="49" t="inlineStr">
        <is>
          <t>н/а</t>
        </is>
      </c>
      <c r="L12" s="49" t="n">
        <v>6</v>
      </c>
      <c r="M12" s="49" t="n">
        <v>7</v>
      </c>
      <c r="N12" s="49" t="n">
        <v>7</v>
      </c>
      <c r="O12" s="49" t="n">
        <v>10</v>
      </c>
      <c r="P12" s="49" t="n">
        <v>5</v>
      </c>
      <c r="Q12" s="49" t="n">
        <v>9</v>
      </c>
      <c r="R12" s="49" t="n">
        <v>6</v>
      </c>
      <c r="S12" s="49" t="n">
        <v>8</v>
      </c>
      <c r="T12" s="49" t="n">
        <v>7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Волошин Кирило Миколайович</t>
        </is>
      </c>
      <c r="F13" s="49" t="n">
        <v>4</v>
      </c>
      <c r="G13" s="49" t="n">
        <v>9</v>
      </c>
      <c r="H13" s="49" t="n">
        <v>8</v>
      </c>
      <c r="I13" s="49" t="n">
        <v>8</v>
      </c>
      <c r="J13" s="49" t="n">
        <v>4</v>
      </c>
      <c r="K13" s="49" t="n">
        <v>4</v>
      </c>
      <c r="L13" s="49" t="n">
        <v>7</v>
      </c>
      <c r="M13" s="49" t="n">
        <v>9</v>
      </c>
      <c r="N13" s="49" t="n">
        <v>7</v>
      </c>
      <c r="O13" s="49" t="n">
        <v>4</v>
      </c>
      <c r="P13" s="49" t="n">
        <v>8</v>
      </c>
      <c r="Q13" s="49" t="n">
        <v>8</v>
      </c>
      <c r="R13" s="49" t="n">
        <v>5</v>
      </c>
      <c r="S13" s="49" t="n">
        <v>10</v>
      </c>
      <c r="T13" s="49" t="n">
        <v>8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Гаврилюк Маргарита Тимофіївна</t>
        </is>
      </c>
      <c r="F14" s="49" t="n">
        <v>7</v>
      </c>
      <c r="G14" s="49" t="n">
        <v>4</v>
      </c>
      <c r="H14" s="49" t="n">
        <v>8</v>
      </c>
      <c r="I14" s="49" t="n">
        <v>8</v>
      </c>
      <c r="J14" s="49" t="n">
        <v>10</v>
      </c>
      <c r="K14" s="49" t="n">
        <v>6</v>
      </c>
      <c r="L14" s="49" t="n">
        <v>8</v>
      </c>
      <c r="M14" s="49" t="n">
        <v>10</v>
      </c>
      <c r="N14" s="49" t="n">
        <v>8</v>
      </c>
      <c r="O14" s="49" t="n">
        <v>8</v>
      </c>
      <c r="P14" s="49" t="n">
        <v>8</v>
      </c>
      <c r="Q14" s="49" t="n">
        <v>4</v>
      </c>
      <c r="R14" s="49" t="n">
        <v>8</v>
      </c>
      <c r="S14" s="49" t="n">
        <v>10</v>
      </c>
      <c r="T14" s="49" t="n">
        <v>8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Гончар Марія Сергіївна</t>
        </is>
      </c>
      <c r="F15" s="49" t="n">
        <v>4</v>
      </c>
      <c r="G15" s="49" t="inlineStr">
        <is>
          <t>н/а</t>
        </is>
      </c>
      <c r="H15" s="49" t="n">
        <v>8</v>
      </c>
      <c r="I15" s="49" t="n">
        <v>4</v>
      </c>
      <c r="J15" s="49" t="n">
        <v>6</v>
      </c>
      <c r="K15" s="49" t="n">
        <v>4</v>
      </c>
      <c r="L15" s="49" t="n">
        <v>7</v>
      </c>
      <c r="M15" s="49" t="n">
        <v>9</v>
      </c>
      <c r="N15" s="49" t="n">
        <v>11</v>
      </c>
      <c r="O15" s="49" t="n">
        <v>7</v>
      </c>
      <c r="P15" s="49" t="n">
        <v>4</v>
      </c>
      <c r="Q15" s="49" t="n">
        <v>5</v>
      </c>
      <c r="R15" s="49" t="n">
        <v>6</v>
      </c>
      <c r="S15" s="49" t="n">
        <v>8</v>
      </c>
      <c r="T15" s="49" t="n">
        <v>8</v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Дяченко Катерина Дмитрівна</t>
        </is>
      </c>
      <c r="F16" s="49" t="n">
        <v>4</v>
      </c>
      <c r="G16" s="49" t="n">
        <v>8</v>
      </c>
      <c r="H16" s="49" t="n">
        <v>6</v>
      </c>
      <c r="I16" s="49" t="n">
        <v>5</v>
      </c>
      <c r="J16" s="49" t="n">
        <v>11</v>
      </c>
      <c r="K16" s="49" t="n">
        <v>7</v>
      </c>
      <c r="L16" s="49" t="n">
        <v>7</v>
      </c>
      <c r="M16" s="49" t="n">
        <v>6</v>
      </c>
      <c r="N16" s="49" t="n">
        <v>10</v>
      </c>
      <c r="O16" s="49" t="n">
        <v>7</v>
      </c>
      <c r="P16" s="49" t="n">
        <v>6</v>
      </c>
      <c r="Q16" s="49" t="n">
        <v>6</v>
      </c>
      <c r="R16" s="49" t="n">
        <v>4</v>
      </c>
      <c r="S16" s="49" t="n">
        <v>6</v>
      </c>
      <c r="T16" s="49" t="n">
        <v>6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Зінченко Богдан Романович</t>
        </is>
      </c>
      <c r="F17" s="49" t="n">
        <v>6</v>
      </c>
      <c r="G17" s="49" t="n">
        <v>9</v>
      </c>
      <c r="H17" s="49" t="n">
        <v>9</v>
      </c>
      <c r="I17" s="49" t="n">
        <v>8</v>
      </c>
      <c r="J17" s="49" t="n">
        <v>6</v>
      </c>
      <c r="K17" s="49" t="n">
        <v>10</v>
      </c>
      <c r="L17" s="49" t="n">
        <v>11</v>
      </c>
      <c r="M17" s="49" t="n">
        <v>6</v>
      </c>
      <c r="N17" s="49" t="n">
        <v>11</v>
      </c>
      <c r="O17" s="49" t="n">
        <v>7</v>
      </c>
      <c r="P17" s="49" t="n">
        <v>7</v>
      </c>
      <c r="Q17" s="49" t="n">
        <v>10</v>
      </c>
      <c r="R17" s="49" t="n">
        <v>6</v>
      </c>
      <c r="S17" s="49" t="n">
        <v>7</v>
      </c>
      <c r="T17" s="49" t="n">
        <v>8</v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Клименко Алла Михайлівна</t>
        </is>
      </c>
      <c r="F18" s="49" t="n">
        <v>11</v>
      </c>
      <c r="G18" s="49" t="n">
        <v>4</v>
      </c>
      <c r="H18" s="49" t="n">
        <v>4</v>
      </c>
      <c r="I18" s="49" t="n">
        <v>11</v>
      </c>
      <c r="J18" s="49" t="n">
        <v>8</v>
      </c>
      <c r="K18" s="49" t="n">
        <v>5</v>
      </c>
      <c r="L18" s="49" t="n">
        <v>10</v>
      </c>
      <c r="M18" s="49" t="n">
        <v>8</v>
      </c>
      <c r="N18" s="49" t="n">
        <v>5</v>
      </c>
      <c r="O18" s="49" t="n">
        <v>9</v>
      </c>
      <c r="P18" s="49" t="n">
        <v>6</v>
      </c>
      <c r="Q18" s="49" t="n">
        <v>4</v>
      </c>
      <c r="R18" s="49" t="n">
        <v>10</v>
      </c>
      <c r="S18" s="49" t="n">
        <v>8</v>
      </c>
      <c r="T18" s="49" t="n">
        <v>8</v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Козак Дмитро Вікторович</t>
        </is>
      </c>
      <c r="F19" s="49" t="n">
        <v>11</v>
      </c>
      <c r="G19" s="49" t="n">
        <v>9</v>
      </c>
      <c r="H19" s="49" t="n">
        <v>10</v>
      </c>
      <c r="I19" s="49" t="n">
        <v>8</v>
      </c>
      <c r="J19" s="49" t="n">
        <v>8</v>
      </c>
      <c r="K19" s="49" t="n">
        <v>4</v>
      </c>
      <c r="L19" s="49" t="n">
        <v>6</v>
      </c>
      <c r="M19" s="49" t="n">
        <v>8</v>
      </c>
      <c r="N19" s="49" t="n">
        <v>6</v>
      </c>
      <c r="O19" s="49" t="n">
        <v>6</v>
      </c>
      <c r="P19" s="49" t="n">
        <v>10</v>
      </c>
      <c r="Q19" s="49" t="n">
        <v>6</v>
      </c>
      <c r="R19" s="49" t="n">
        <v>6</v>
      </c>
      <c r="S19" s="49" t="n">
        <v>11</v>
      </c>
      <c r="T19" s="49" t="n">
        <v>7</v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Козаченко Роман Анатолійович</t>
        </is>
      </c>
      <c r="F20" s="49" t="n">
        <v>5</v>
      </c>
      <c r="G20" s="49" t="n">
        <v>9</v>
      </c>
      <c r="H20" s="49" t="n">
        <v>9</v>
      </c>
      <c r="I20" s="49" t="n">
        <v>6</v>
      </c>
      <c r="J20" s="49" t="n">
        <v>5</v>
      </c>
      <c r="K20" s="49" t="n">
        <v>10</v>
      </c>
      <c r="L20" s="49" t="n">
        <v>6</v>
      </c>
      <c r="M20" s="49" t="n">
        <v>7</v>
      </c>
      <c r="N20" s="49" t="n">
        <v>7</v>
      </c>
      <c r="O20" s="49" t="n">
        <v>6</v>
      </c>
      <c r="P20" s="49" t="n">
        <v>7</v>
      </c>
      <c r="Q20" s="49" t="n">
        <v>8</v>
      </c>
      <c r="R20" s="49" t="n">
        <v>10</v>
      </c>
      <c r="S20" s="49" t="n">
        <v>6</v>
      </c>
      <c r="T20" s="49" t="n">
        <v>7</v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Корнієнко Владислава Іванівна</t>
        </is>
      </c>
      <c r="F21" s="49" t="n">
        <v>5</v>
      </c>
      <c r="G21" s="49" t="n">
        <v>10</v>
      </c>
      <c r="H21" s="49" t="n">
        <v>6</v>
      </c>
      <c r="I21" s="49" t="n">
        <v>5</v>
      </c>
      <c r="J21" s="49" t="inlineStr">
        <is>
          <t>н/а</t>
        </is>
      </c>
      <c r="K21" s="49" t="n">
        <v>5</v>
      </c>
      <c r="L21" s="49" t="n">
        <v>8</v>
      </c>
      <c r="M21" s="49" t="n">
        <v>6</v>
      </c>
      <c r="N21" s="49" t="n">
        <v>7</v>
      </c>
      <c r="O21" s="49" t="n">
        <v>8</v>
      </c>
      <c r="P21" s="49" t="n">
        <v>10</v>
      </c>
      <c r="Q21" s="49" t="n">
        <v>5</v>
      </c>
      <c r="R21" s="49" t="n">
        <v>9</v>
      </c>
      <c r="S21" s="49" t="n">
        <v>8</v>
      </c>
      <c r="T21" s="49" t="n">
        <v>5</v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Куліш Дарина Олегівна</t>
        </is>
      </c>
      <c r="F22" s="49" t="n">
        <v>4</v>
      </c>
      <c r="G22" s="49" t="n">
        <v>7</v>
      </c>
      <c r="H22" s="49" t="n">
        <v>8</v>
      </c>
      <c r="I22" s="49" t="n">
        <v>11</v>
      </c>
      <c r="J22" s="49" t="n">
        <v>4</v>
      </c>
      <c r="K22" s="49" t="n">
        <v>9</v>
      </c>
      <c r="L22" s="49" t="n">
        <v>5</v>
      </c>
      <c r="M22" s="49" t="n">
        <v>8</v>
      </c>
      <c r="N22" s="49" t="n">
        <v>6</v>
      </c>
      <c r="O22" s="49" t="n">
        <v>8</v>
      </c>
      <c r="P22" s="49" t="n">
        <v>8</v>
      </c>
      <c r="Q22" s="49" t="n">
        <v>11</v>
      </c>
      <c r="R22" s="49" t="n">
        <v>7</v>
      </c>
      <c r="S22" s="49" t="n">
        <v>11</v>
      </c>
      <c r="T22" s="49" t="n">
        <v>8</v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Левченко Вікторія Василівна</t>
        </is>
      </c>
      <c r="F23" s="49" t="n">
        <v>7</v>
      </c>
      <c r="G23" s="49" t="n">
        <v>8</v>
      </c>
      <c r="H23" s="49" t="n">
        <v>8</v>
      </c>
      <c r="I23" s="49" t="n">
        <v>9</v>
      </c>
      <c r="J23" s="49" t="n">
        <v>6</v>
      </c>
      <c r="K23" s="49" t="n">
        <v>10</v>
      </c>
      <c r="L23" s="49" t="n">
        <v>10</v>
      </c>
      <c r="M23" s="49" t="n">
        <v>9</v>
      </c>
      <c r="N23" s="49" t="inlineStr">
        <is>
          <t>н/а</t>
        </is>
      </c>
      <c r="O23" s="49" t="n">
        <v>11</v>
      </c>
      <c r="P23" s="49" t="n">
        <v>11</v>
      </c>
      <c r="Q23" s="49" t="n">
        <v>7</v>
      </c>
      <c r="R23" s="49" t="n">
        <v>4</v>
      </c>
      <c r="S23" s="49" t="n">
        <v>10</v>
      </c>
      <c r="T23" s="49" t="n">
        <v>6</v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Мельничук Людмила Петрівна</t>
        </is>
      </c>
      <c r="F24" s="49" t="n">
        <v>8</v>
      </c>
      <c r="G24" s="49" t="n">
        <v>8</v>
      </c>
      <c r="H24" s="49" t="n">
        <v>7</v>
      </c>
      <c r="I24" s="49" t="n">
        <v>8</v>
      </c>
      <c r="J24" s="49" t="n">
        <v>8</v>
      </c>
      <c r="K24" s="49" t="n">
        <v>6</v>
      </c>
      <c r="L24" s="49" t="n">
        <v>7</v>
      </c>
      <c r="M24" s="49" t="n">
        <v>6</v>
      </c>
      <c r="N24" s="49" t="n">
        <v>7</v>
      </c>
      <c r="O24" s="49" t="n">
        <v>6</v>
      </c>
      <c r="P24" s="49" t="n">
        <v>9</v>
      </c>
      <c r="Q24" s="49" t="n">
        <v>5</v>
      </c>
      <c r="R24" s="49" t="n">
        <v>4</v>
      </c>
      <c r="S24" s="49" t="n">
        <v>5</v>
      </c>
      <c r="T24" s="49" t="n">
        <v>5</v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Нікітенко Владислав Юрійович</t>
        </is>
      </c>
      <c r="F25" s="49" t="n">
        <v>10</v>
      </c>
      <c r="G25" s="49" t="n">
        <v>8</v>
      </c>
      <c r="H25" s="49" t="n">
        <v>9</v>
      </c>
      <c r="I25" s="49" t="n">
        <v>9</v>
      </c>
      <c r="J25" s="49" t="n">
        <v>8</v>
      </c>
      <c r="K25" s="49" t="n">
        <v>8</v>
      </c>
      <c r="L25" s="49" t="n">
        <v>9</v>
      </c>
      <c r="M25" s="49" t="n">
        <v>10</v>
      </c>
      <c r="N25" s="49" t="n">
        <v>5</v>
      </c>
      <c r="O25" s="49" t="n">
        <v>10</v>
      </c>
      <c r="P25" s="49" t="n">
        <v>8</v>
      </c>
      <c r="Q25" s="49" t="n">
        <v>5</v>
      </c>
      <c r="R25" s="49" t="n">
        <v>5</v>
      </c>
      <c r="S25" s="49" t="n">
        <v>5</v>
      </c>
      <c r="T25" s="49" t="n">
        <v>6</v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Орленко Арсен Романович</t>
        </is>
      </c>
      <c r="F26" s="49" t="n">
        <v>5</v>
      </c>
      <c r="G26" s="49" t="n">
        <v>9</v>
      </c>
      <c r="H26" s="49" t="n">
        <v>7</v>
      </c>
      <c r="I26" s="49" t="n">
        <v>9</v>
      </c>
      <c r="J26" s="49" t="n">
        <v>8</v>
      </c>
      <c r="K26" s="49" t="n">
        <v>11</v>
      </c>
      <c r="L26" s="49" t="n">
        <v>8</v>
      </c>
      <c r="M26" s="49" t="n">
        <v>9</v>
      </c>
      <c r="N26" s="49" t="n">
        <v>6</v>
      </c>
      <c r="O26" s="49" t="n">
        <v>9</v>
      </c>
      <c r="P26" s="49" t="n">
        <v>6</v>
      </c>
      <c r="Q26" s="49" t="n">
        <v>10</v>
      </c>
      <c r="R26" s="49" t="n">
        <v>5</v>
      </c>
      <c r="S26" s="49" t="n">
        <v>11</v>
      </c>
      <c r="T26" s="49" t="n">
        <v>9</v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Остапчук Максим Олександрович</t>
        </is>
      </c>
      <c r="F27" s="49" t="n">
        <v>11</v>
      </c>
      <c r="G27" s="49" t="n">
        <v>8</v>
      </c>
      <c r="H27" s="49" t="n">
        <v>6</v>
      </c>
      <c r="I27" s="49" t="n">
        <v>9</v>
      </c>
      <c r="J27" s="49" t="n">
        <v>11</v>
      </c>
      <c r="K27" s="49" t="n">
        <v>4</v>
      </c>
      <c r="L27" s="49" t="n">
        <v>4</v>
      </c>
      <c r="M27" s="49" t="n">
        <v>8</v>
      </c>
      <c r="N27" s="49" t="n">
        <v>11</v>
      </c>
      <c r="O27" s="49" t="n">
        <v>9</v>
      </c>
      <c r="P27" s="49" t="n">
        <v>10</v>
      </c>
      <c r="Q27" s="49" t="n">
        <v>7</v>
      </c>
      <c r="R27" s="49" t="n">
        <v>9</v>
      </c>
      <c r="S27" s="49" t="n">
        <v>10</v>
      </c>
      <c r="T27" s="49" t="n">
        <v>9</v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Паламарчук Оксана Валентинівна</t>
        </is>
      </c>
      <c r="F28" s="49" t="n">
        <v>9</v>
      </c>
      <c r="G28" s="49" t="n">
        <v>6</v>
      </c>
      <c r="H28" s="49" t="n">
        <v>9</v>
      </c>
      <c r="I28" s="49" t="n">
        <v>6</v>
      </c>
      <c r="J28" s="49" t="n">
        <v>8</v>
      </c>
      <c r="K28" s="49" t="n">
        <v>8</v>
      </c>
      <c r="L28" s="49" t="n">
        <v>5</v>
      </c>
      <c r="M28" s="49" t="n">
        <v>7</v>
      </c>
      <c r="N28" s="49" t="n">
        <v>8</v>
      </c>
      <c r="O28" s="49" t="n">
        <v>7</v>
      </c>
      <c r="P28" s="49" t="n">
        <v>9</v>
      </c>
      <c r="Q28" s="49" t="n">
        <v>11</v>
      </c>
      <c r="R28" s="49" t="n">
        <v>10</v>
      </c>
      <c r="S28" s="49" t="n">
        <v>7</v>
      </c>
      <c r="T28" s="49" t="inlineStr">
        <is>
          <t>н/а</t>
        </is>
      </c>
      <c r="U28" s="42">
        <f>IF(COUNTIF($F28:T28,"=*")&gt;0,IF($C28="К","-"," - "),IF(COUNTIF($F28:T28,"&lt;4")&gt;0,IF(C28="К","-","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Панченко Тетяна Ігорівна</t>
        </is>
      </c>
      <c r="F29" s="49" t="n">
        <v>8</v>
      </c>
      <c r="G29" s="49" t="n">
        <v>7</v>
      </c>
      <c r="H29" s="49" t="n">
        <v>10</v>
      </c>
      <c r="I29" s="49" t="n">
        <v>10</v>
      </c>
      <c r="J29" s="49" t="n">
        <v>4</v>
      </c>
      <c r="K29" s="49" t="n">
        <v>8</v>
      </c>
      <c r="L29" s="49" t="n">
        <v>7</v>
      </c>
      <c r="M29" s="49" t="n">
        <v>8</v>
      </c>
      <c r="N29" s="49" t="n">
        <v>5</v>
      </c>
      <c r="O29" s="49" t="n">
        <v>10</v>
      </c>
      <c r="P29" s="49" t="n">
        <v>10</v>
      </c>
      <c r="Q29" s="49" t="n">
        <v>9</v>
      </c>
      <c r="R29" s="49" t="n">
        <v>6</v>
      </c>
      <c r="S29" s="49" t="n">
        <v>11</v>
      </c>
      <c r="T29" s="49" t="n">
        <v>6</v>
      </c>
      <c r="U29" s="42">
        <f>IF(COUNTIF($F29:T29,"=*")&gt;0,IF($C29="К","-"," - "),IF(COUNTIF($F29:T29,"&lt;4")&gt;0,IF(C29="К","-","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Петренко Назар Борисович</t>
        </is>
      </c>
      <c r="F30" s="49" t="n">
        <v>8</v>
      </c>
      <c r="G30" s="49" t="n">
        <v>8</v>
      </c>
      <c r="H30" s="49" t="n">
        <v>5</v>
      </c>
      <c r="I30" s="49" t="n">
        <v>7</v>
      </c>
      <c r="J30" s="49" t="n">
        <v>10</v>
      </c>
      <c r="K30" s="49" t="n">
        <v>7</v>
      </c>
      <c r="L30" s="49" t="n">
        <v>8</v>
      </c>
      <c r="M30" s="49" t="n">
        <v>6</v>
      </c>
      <c r="N30" s="49" t="n">
        <v>5</v>
      </c>
      <c r="O30" s="49" t="n">
        <v>8</v>
      </c>
      <c r="P30" s="49" t="n">
        <v>5</v>
      </c>
      <c r="Q30" s="49" t="n">
        <v>10</v>
      </c>
      <c r="R30" s="49" t="n">
        <v>11</v>
      </c>
      <c r="S30" s="49" t="n">
        <v>10</v>
      </c>
      <c r="T30" s="49" t="n">
        <v>10</v>
      </c>
      <c r="U30" s="42">
        <f>IF(COUNTIF($F30:T30,"=*")&gt;0,IF($C30="К","-"," - "),IF(COUNTIF($F30:T30,"&lt;4")&gt;0,IF(C30="К","-","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Романенко Юлія Андріївна</t>
        </is>
      </c>
      <c r="F31" s="49" t="n">
        <v>11</v>
      </c>
      <c r="G31" s="49" t="n">
        <v>4</v>
      </c>
      <c r="H31" s="49" t="n">
        <v>4</v>
      </c>
      <c r="I31" s="49" t="inlineStr">
        <is>
          <t>н/а</t>
        </is>
      </c>
      <c r="J31" s="49" t="n">
        <v>4</v>
      </c>
      <c r="K31" s="49" t="n">
        <v>8</v>
      </c>
      <c r="L31" s="49" t="inlineStr">
        <is>
          <t>н/а</t>
        </is>
      </c>
      <c r="M31" s="49" t="n">
        <v>6</v>
      </c>
      <c r="N31" s="49" t="n">
        <v>7</v>
      </c>
      <c r="O31" s="49" t="n">
        <v>10</v>
      </c>
      <c r="P31" s="49" t="n">
        <v>8</v>
      </c>
      <c r="Q31" s="49" t="inlineStr">
        <is>
          <t>н/а</t>
        </is>
      </c>
      <c r="R31" s="49" t="n">
        <v>7</v>
      </c>
      <c r="S31" s="49" t="n">
        <v>10</v>
      </c>
      <c r="T31" s="49" t="n">
        <v>11</v>
      </c>
      <c r="U31" s="42">
        <f>IF(COUNTIF($F31:T31,"=*")&gt;0,IF($C31="К","-"," - "),IF(COUNTIF($F31:T31,"&lt;4")&gt;0,IF(C31="К","-","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Семенюк Марина Григорівна</t>
        </is>
      </c>
      <c r="F32" s="49" t="n">
        <v>6</v>
      </c>
      <c r="G32" s="49" t="n">
        <v>5</v>
      </c>
      <c r="H32" s="49" t="n">
        <v>9</v>
      </c>
      <c r="I32" s="49" t="n">
        <v>10</v>
      </c>
      <c r="J32" s="49" t="n">
        <v>9</v>
      </c>
      <c r="K32" s="49" t="n">
        <v>5</v>
      </c>
      <c r="L32" s="49" t="n">
        <v>4</v>
      </c>
      <c r="M32" s="49" t="n">
        <v>6</v>
      </c>
      <c r="N32" s="49" t="n">
        <v>9</v>
      </c>
      <c r="O32" s="49" t="n">
        <v>8</v>
      </c>
      <c r="P32" s="49" t="n">
        <v>8</v>
      </c>
      <c r="Q32" s="49" t="n">
        <v>7</v>
      </c>
      <c r="R32" s="49" t="n">
        <v>7</v>
      </c>
      <c r="S32" s="49" t="n">
        <v>9</v>
      </c>
      <c r="T32" s="49" t="n">
        <v>9</v>
      </c>
      <c r="U32" s="42">
        <f>IF(COUNTIF($F32:T32,"=*")&gt;0,IF($C32="К","-"," - "),IF(COUNTIF($F32:T32,"&lt;4")&gt;0,IF(C32="К","-","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Сидоренко Ілля Артемович</t>
        </is>
      </c>
      <c r="F33" s="49" t="n">
        <v>10</v>
      </c>
      <c r="G33" s="49" t="n">
        <v>8</v>
      </c>
      <c r="H33" s="49" t="n">
        <v>9</v>
      </c>
      <c r="I33" s="49" t="n">
        <v>9</v>
      </c>
      <c r="J33" s="49" t="n">
        <v>8</v>
      </c>
      <c r="K33" s="49" t="n">
        <v>10</v>
      </c>
      <c r="L33" s="49" t="n">
        <v>5</v>
      </c>
      <c r="M33" s="49" t="n">
        <v>10</v>
      </c>
      <c r="N33" s="49" t="n">
        <v>8</v>
      </c>
      <c r="O33" s="49" t="n">
        <v>10</v>
      </c>
      <c r="P33" s="49" t="n">
        <v>10</v>
      </c>
      <c r="Q33" s="49" t="n">
        <v>8</v>
      </c>
      <c r="R33" s="49" t="n">
        <v>8</v>
      </c>
      <c r="S33" s="49" t="n">
        <v>10</v>
      </c>
      <c r="T33" s="49" t="n">
        <v>10</v>
      </c>
      <c r="U33" s="42">
        <f>IF(COUNTIF($F33:T33,"=*")&gt;0,IF($C33="К","-"," - "),IF(COUNTIF($F33:T33,"&lt;4")&gt;0,IF(C33="К","-","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Тимченко Олексій Вікторович</t>
        </is>
      </c>
      <c r="F34" s="49" t="n">
        <v>11</v>
      </c>
      <c r="G34" s="49" t="inlineStr">
        <is>
          <t>н/а</t>
        </is>
      </c>
      <c r="H34" s="49" t="n">
        <v>9</v>
      </c>
      <c r="I34" s="49" t="n">
        <v>11</v>
      </c>
      <c r="J34" s="49" t="inlineStr">
        <is>
          <t>н/а</t>
        </is>
      </c>
      <c r="K34" s="49" t="n">
        <v>11</v>
      </c>
      <c r="L34" s="49" t="n">
        <v>6</v>
      </c>
      <c r="M34" s="49" t="n">
        <v>10</v>
      </c>
      <c r="N34" s="49" t="n">
        <v>5</v>
      </c>
      <c r="O34" s="49" t="n">
        <v>8</v>
      </c>
      <c r="P34" s="49" t="n">
        <v>8</v>
      </c>
      <c r="Q34" s="49" t="n">
        <v>9</v>
      </c>
      <c r="R34" s="49" t="n">
        <v>5</v>
      </c>
      <c r="S34" s="49" t="inlineStr">
        <is>
          <t>н/а</t>
        </is>
      </c>
      <c r="T34" s="49" t="n">
        <v>9</v>
      </c>
      <c r="U34" s="42">
        <f>IF(COUNTIF($F34:T34,"=*")&gt;0,IF($C34="К","-"," - "),IF(COUNTIF($F34:T34,"&lt;4")&gt;0,IF(C34="К","-","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Харченко Ганна Олексіївна</t>
        </is>
      </c>
      <c r="F35" s="49" t="n">
        <v>8</v>
      </c>
      <c r="G35" s="49" t="n">
        <v>8</v>
      </c>
      <c r="H35" s="49" t="n">
        <v>4</v>
      </c>
      <c r="I35" s="49" t="n">
        <v>4</v>
      </c>
      <c r="J35" s="49" t="n">
        <v>9</v>
      </c>
      <c r="K35" s="49" t="n">
        <v>6</v>
      </c>
      <c r="L35" s="49" t="n">
        <v>10</v>
      </c>
      <c r="M35" s="49" t="inlineStr">
        <is>
          <t>н/а</t>
        </is>
      </c>
      <c r="N35" s="49" t="n">
        <v>5</v>
      </c>
      <c r="O35" s="49" t="n">
        <v>6</v>
      </c>
      <c r="P35" s="49" t="n">
        <v>10</v>
      </c>
      <c r="Q35" s="49" t="n">
        <v>10</v>
      </c>
      <c r="R35" s="49" t="inlineStr">
        <is>
          <t>н/а</t>
        </is>
      </c>
      <c r="S35" s="49" t="n">
        <v>11</v>
      </c>
      <c r="T35" s="49" t="n">
        <v>8</v>
      </c>
      <c r="U35" s="42">
        <f>IF(COUNTIF($F35:T35,"=*")&gt;0,IF($C35="К","-"," - "),IF(COUNTIF($F35:T35,"&lt;4")&gt;0,IF(C35="К","-","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Черненко Вадим Павлович</t>
        </is>
      </c>
      <c r="F36" s="49" t="n">
        <v>8</v>
      </c>
      <c r="G36" s="49" t="n">
        <v>8</v>
      </c>
      <c r="H36" s="49" t="n">
        <v>7</v>
      </c>
      <c r="I36" s="49" t="n">
        <v>8</v>
      </c>
      <c r="J36" s="49" t="n">
        <v>8</v>
      </c>
      <c r="K36" s="49" t="n">
        <v>6</v>
      </c>
      <c r="L36" s="49" t="n">
        <v>4</v>
      </c>
      <c r="M36" s="49" t="n">
        <v>5</v>
      </c>
      <c r="N36" s="49" t="n">
        <v>5</v>
      </c>
      <c r="O36" s="49" t="n">
        <v>8</v>
      </c>
      <c r="P36" s="49" t="n">
        <v>6</v>
      </c>
      <c r="Q36" s="49" t="n">
        <v>6</v>
      </c>
      <c r="R36" s="49" t="n">
        <v>5</v>
      </c>
      <c r="S36" s="49" t="n">
        <v>7</v>
      </c>
      <c r="T36" s="49" t="n">
        <v>10</v>
      </c>
      <c r="U36" s="42">
        <f>IF(COUNTIF($F36:T36,"=*")&gt;0,IF($C36="К","-"," - "),IF(COUNTIF($F36:T36,"&lt;4")&gt;0,IF(C36="К","-","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Чорний Степан Ігорович</t>
        </is>
      </c>
      <c r="F37" s="49" t="n">
        <v>9</v>
      </c>
      <c r="G37" s="49" t="n">
        <v>9</v>
      </c>
      <c r="H37" s="49" t="n">
        <v>6</v>
      </c>
      <c r="I37" s="49" t="n">
        <v>11</v>
      </c>
      <c r="J37" s="49" t="n">
        <v>8</v>
      </c>
      <c r="K37" s="49" t="n">
        <v>11</v>
      </c>
      <c r="L37" s="49" t="n">
        <v>8</v>
      </c>
      <c r="M37" s="49" t="n">
        <v>5</v>
      </c>
      <c r="N37" s="49" t="n">
        <v>5</v>
      </c>
      <c r="O37" s="49" t="n">
        <v>10</v>
      </c>
      <c r="P37" s="49" t="n">
        <v>8</v>
      </c>
      <c r="Q37" s="49" t="n">
        <v>10</v>
      </c>
      <c r="R37" s="49" t="n">
        <v>7</v>
      </c>
      <c r="S37" s="49" t="n">
        <v>7</v>
      </c>
      <c r="T37" s="49" t="n">
        <v>10</v>
      </c>
      <c r="U37" s="42">
        <f>IF(COUNTIF($F37:T37,"=*")&gt;0,IF($C37="К","-"," - "),IF(COUNTIF($F37:T37,"&lt;4")&gt;0,IF(C37="К","-","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Шаповал Аліна Сергіївна</t>
        </is>
      </c>
      <c r="F38" s="49" t="n">
        <v>5</v>
      </c>
      <c r="G38" s="49" t="n">
        <v>11</v>
      </c>
      <c r="H38" s="49" t="n">
        <v>6</v>
      </c>
      <c r="I38" s="49" t="n">
        <v>8</v>
      </c>
      <c r="J38" s="49" t="n">
        <v>11</v>
      </c>
      <c r="K38" s="49" t="n">
        <v>6</v>
      </c>
      <c r="L38" s="49" t="n">
        <v>9</v>
      </c>
      <c r="M38" s="49" t="n">
        <v>8</v>
      </c>
      <c r="N38" s="49" t="n">
        <v>6</v>
      </c>
      <c r="O38" s="49" t="n">
        <v>9</v>
      </c>
      <c r="P38" s="49" t="n">
        <v>8</v>
      </c>
      <c r="Q38" s="49" t="n">
        <v>10</v>
      </c>
      <c r="R38" s="49" t="n">
        <v>8</v>
      </c>
      <c r="S38" s="49" t="n">
        <v>8</v>
      </c>
      <c r="T38" s="49" t="n">
        <v>11</v>
      </c>
      <c r="U38" s="42">
        <f>IF(COUNTIF($F38:T38,"=*")&gt;0,IF($C38="К","-"," - "),IF(COUNTIF($F38:T38,"&lt;4")&gt;0,IF(C38="К","-","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Яремчук Євген Степанович</t>
        </is>
      </c>
      <c r="F39" s="49" t="n">
        <v>8</v>
      </c>
      <c r="G39" s="49" t="inlineStr">
        <is>
          <t>н/а</t>
        </is>
      </c>
      <c r="H39" s="49" t="n">
        <v>5</v>
      </c>
      <c r="I39" s="49" t="n">
        <v>4</v>
      </c>
      <c r="J39" s="49" t="n">
        <v>8</v>
      </c>
      <c r="K39" s="49" t="n">
        <v>7</v>
      </c>
      <c r="L39" s="49" t="n">
        <v>8</v>
      </c>
      <c r="M39" s="49" t="n">
        <v>7</v>
      </c>
      <c r="N39" s="49" t="n">
        <v>10</v>
      </c>
      <c r="O39" s="49" t="n">
        <v>7</v>
      </c>
      <c r="P39" s="49" t="n">
        <v>11</v>
      </c>
      <c r="Q39" s="49" t="n">
        <v>11</v>
      </c>
      <c r="R39" s="49" t="n">
        <v>6</v>
      </c>
      <c r="S39" s="49" t="n">
        <v>11</v>
      </c>
      <c r="T39" s="49" t="n">
        <v>8</v>
      </c>
      <c r="U39" s="42">
        <f>IF(COUNTIF($F39:T39,"=*")&gt;0,IF($C39="К","-"," - "),IF(COUNTIF($F39:T39,"&lt;4")&gt;0,IF(C39="К","-","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Середній бал успішності з дисципліни</t>
        </is>
      </c>
      <c r="F40" s="8">
        <f>IF(SUM(F$10:F39)=0,IF(COUNTA(F$10:F39)=0,"Очікую",0),SUM(F$10:F39)/$D39)</f>
        <v/>
      </c>
      <c r="G40" s="8">
        <f>IF(SUM(G$10:G39)=0,IF(COUNTA(G$10:G39)=0,"Очікую",0),SUM(G$10:G39)/$D39)</f>
        <v/>
      </c>
      <c r="H40" s="8">
        <f>IF(SUM(H$10:H39)=0,IF(COUNTA(H$10:H39)=0,"Очікую",0),SUM(H$10:H39)/$D39)</f>
        <v/>
      </c>
      <c r="I40" s="8">
        <f>IF(SUM(I$10:I39)=0,IF(COUNTA(I$10:I39)=0,"Очікую",0),SUM(I$10:I39)/$D39)</f>
        <v/>
      </c>
      <c r="J40" s="8">
        <f>IF(SUM(J$10:J39)=0,IF(COUNTA(J$10:J39)=0,"Очікую",0),SUM(J$10:J39)/$D39)</f>
        <v/>
      </c>
      <c r="K40" s="8">
        <f>IF(SUM(K$10:K39)=0,IF(COUNTA(K$10:K39)=0,"Очікую",0),SUM(K$10:K39)/$D39)</f>
        <v/>
      </c>
      <c r="L40" s="8">
        <f>IF(SUM(L$10:L39)=0,IF(COUNTA(L$10:L39)=0,"Очікую",0),SUM(L$10:L39)/$D39)</f>
        <v/>
      </c>
      <c r="M40" s="8">
        <f>IF(SUM(M$10:M39)=0,IF(COUNTA(M$10:M39)=0,"Очікую",0),SUM(M$10:M39)/$D39)</f>
        <v/>
      </c>
      <c r="N40" s="8">
        <f>IF(SUM(N$10:N39)=0,IF(COUNTA(N$10:N39)=0,"Очікую",0),SUM(N$10:N39)/$D39)</f>
        <v/>
      </c>
      <c r="O40" s="8">
        <f>IF(SUM(O$10:O39)=0,IF(COUNTA(O$10:O39)=0,"Очікую",0),SUM(O$10:O39)/$D39)</f>
        <v/>
      </c>
      <c r="P40" s="8">
        <f>IF(SUM(P$10:P39)=0,IF(COUNTA(P$10:P39)=0,"Очікую",0),SUM(P$10:P39)/$D39)</f>
        <v/>
      </c>
      <c r="Q40" s="8">
        <f>IF(SUM(Q$10:Q39)=0,IF(COUNTA(Q$10:Q39)=0,"Очікую",0),SUM(Q$10:Q39)/$D39)</f>
        <v/>
      </c>
      <c r="R40" s="8">
        <f>IF(SUM(R$10:R39)=0,IF(COUNTA(R$10:R39)=0,"Очікую",0),SUM(R$10:R39)/$D39)</f>
        <v/>
      </c>
      <c r="S40" s="8">
        <f>IF(SUM(S$10:S39)=0,IF(COUNTA(S$10:S39)=0,"Очікую",0),SUM(S$10:S39)/$D39)</f>
        <v/>
      </c>
      <c r="T40" s="8">
        <f>IF(SUM(T$10:T39)=0,IF(COUNTA(T$10:T39)=0,"Очікую",0),SUM(T$10:T39)/$D39)</f>
        <v/>
      </c>
      <c r="U40" s="9">
        <f>IFERROR(AVERAGE($F40:T40),"Очікую")</f>
        <v/>
      </c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Абсолютна успішність</t>
        </is>
      </c>
      <c r="F41" s="43">
        <f>IF(SUM(F$10:F39)=0,IF(COUNTA(F$10:F39)=0,"Очікую",0),IF(COUNTIF(F$10:F39,"&gt;=4")=0,0,COUNTIF(F$10:F39,"&gt;=4")/$D39*100))</f>
        <v/>
      </c>
      <c r="G41" s="43">
        <f>IF(SUM(G$10:G39)=0,IF(COUNTA(G$10:G39)=0,"Очікую",0),IF(COUNTIF(G$10:G39,"&gt;=4")=0,0,COUNTIF(G$10:G39,"&gt;=4")/$D39*100))</f>
        <v/>
      </c>
      <c r="H41" s="43">
        <f>IF(SUM(H$10:H39)=0,IF(COUNTA(H$10:H39)=0,"Очікую",0),IF(COUNTIF(H$10:H39,"&gt;=4")=0,0,COUNTIF(H$10:H39,"&gt;=4")/$D39*100))</f>
        <v/>
      </c>
      <c r="I41" s="43">
        <f>IF(SUM(I$10:I39)=0,IF(COUNTA(I$10:I39)=0,"Очікую",0),IF(COUNTIF(I$10:I39,"&gt;=4")=0,0,COUNTIF(I$10:I39,"&gt;=4")/$D39*100))</f>
        <v/>
      </c>
      <c r="J41" s="43">
        <f>IF(SUM(J$10:J39)=0,IF(COUNTA(J$10:J39)=0,"Очікую",0),IF(COUNTIF(J$10:J39,"&gt;=4")=0,0,COUNTIF(J$10:J39,"&gt;=4")/$D39*100))</f>
        <v/>
      </c>
      <c r="K41" s="43">
        <f>IF(SUM(K$10:K39)=0,IF(COUNTA(K$10:K39)=0,"Очікую",0),IF(COUNTIF(K$10:K39,"&gt;=4")=0,0,COUNTIF(K$10:K39,"&gt;=4")/$D39*100))</f>
        <v/>
      </c>
      <c r="L41" s="43">
        <f>IF(SUM(L$10:L39)=0,IF(COUNTA(L$10:L39)=0,"Очікую",0),IF(COUNTIF(L$10:L39,"&gt;=4")=0,0,COUNTIF(L$10:L39,"&gt;=4")/$D39*100))</f>
        <v/>
      </c>
      <c r="M41" s="43">
        <f>IF(SUM(M$10:M39)=0,IF(COUNTA(M$10:M39)=0,"Очікую",0),IF(COUNTIF(M$10:M39,"&gt;=4")=0,0,COUNTIF(M$10:M39,"&gt;=4")/$D39*100))</f>
        <v/>
      </c>
      <c r="N41" s="43">
        <f>IF(SUM(N$10:N39)=0,IF(COUNTA(N$10:N39)=0,"Очікую",0),IF(COUNTIF(N$10:N39,"&gt;=4")=0,0,COUNTIF(N$10:N39,"&gt;=4")/$D39*100))</f>
        <v/>
      </c>
      <c r="O41" s="43">
        <f>IF(SUM(O$10:O39)=0,IF(COUNTA(O$10:O39)=0,"Очікую",0),IF(COUNTIF(O$10:O39,"&gt;=4")=0,0,COUNTIF(O$10:O39,"&gt;=4")/$D39*100))</f>
        <v/>
      </c>
      <c r="P41" s="43">
        <f>IF(SUM(P$10:P39)=0,IF(COUNTA(P$10:P39)=0,"Очікую",0),IF(COUNTIF(P$10:P39,"&gt;=4")=0,0,COUNTIF(P$10:P39,"&gt;=4")/$D39*100))</f>
        <v/>
      </c>
      <c r="Q41" s="43">
        <f>IF(SUM(Q$10:Q39)=0,IF(COUNTA(Q$10:Q39)=0,"Очікую",0),IF(COUNTIF(Q$10:Q39,"&gt;=4")=0,0,COUNTIF(Q$10:Q39,"&gt;=4")/$D39*100))</f>
        <v/>
      </c>
      <c r="R41" s="43">
        <f>IF(SUM(R$10:R39)=0,IF(COUNTA(R$10:R39)=0,"Очікую",0),IF(COUNTIF(R$10:R39,"&gt;=4")=0,0,COUNTIF(R$10:R39,"&gt;=4")/$D39*100))</f>
        <v/>
      </c>
      <c r="S41" s="43">
        <f>IF(SUM(S$10:S39)=0,IF(COUNTA(S$10:S39)=0,"Очікую",0),IF(COUNTIF(S$10:S39,"&gt;=4")=0,0,COUNTIF(S$10:S39,"&gt;=4")/$D39*100))</f>
        <v/>
      </c>
      <c r="T41" s="43">
        <f>IF(SUM(T$10:T39)=0,IF(COUNTA(T$10:T39)=0,"Очікую",0),IF(COUNTIF(T$10:T39,"&gt;=4")=0,0,COUNTIF(T$10:T39,"&gt;=4")/$D39*100))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Якісна успішність</t>
        </is>
      </c>
      <c r="F42" s="43">
        <f>IF(SUM(F$10:F39)=0,IF(COUNTA(F$10:F39)=0,"Очікую",0),IF(COUNTIF(F$10:F39,"&gt;=7")=0,0,COUNTIF(F$10:F39,"&gt;=7")/$D39*100))</f>
        <v/>
      </c>
      <c r="G42" s="43">
        <f>IF(SUM(G$10:G39)=0,IF(COUNTA(G$10:G39)=0,"Очікую",0),IF(COUNTIF(G$10:G39,"&gt;=7")=0,0,COUNTIF(G$10:G39,"&gt;=7")/$D39*100))</f>
        <v/>
      </c>
      <c r="H42" s="43">
        <f>IF(SUM(H$10:H39)=0,IF(COUNTA(H$10:H39)=0,"Очікую",0),IF(COUNTIF(H$10:H39,"&gt;=7")=0,0,COUNTIF(H$10:H39,"&gt;=7")/$D39*100))</f>
        <v/>
      </c>
      <c r="I42" s="43">
        <f>IF(SUM(I$10:I39)=0,IF(COUNTA(I$10:I39)=0,"Очікую",0),IF(COUNTIF(I$10:I39,"&gt;=7")=0,0,COUNTIF(I$10:I39,"&gt;=7")/$D39*100))</f>
        <v/>
      </c>
      <c r="J42" s="43">
        <f>IF(SUM(J$10:J39)=0,IF(COUNTA(J$10:J39)=0,"Очікую",0),IF(COUNTIF(J$10:J39,"&gt;=7")=0,0,COUNTIF(J$10:J39,"&gt;=7")/$D39*100))</f>
        <v/>
      </c>
      <c r="K42" s="43">
        <f>IF(SUM(K$10:K39)=0,IF(COUNTA(K$10:K39)=0,"Очікую",0),IF(COUNTIF(K$10:K39,"&gt;=7")=0,0,COUNTIF(K$10:K39,"&gt;=7")/$D39*100))</f>
        <v/>
      </c>
      <c r="L42" s="43">
        <f>IF(SUM(L$10:L39)=0,IF(COUNTA(L$10:L39)=0,"Очікую",0),IF(COUNTIF(L$10:L39,"&gt;=7")=0,0,COUNTIF(L$10:L39,"&gt;=7")/$D39*100))</f>
        <v/>
      </c>
      <c r="M42" s="43">
        <f>IF(SUM(M$10:M39)=0,IF(COUNTA(M$10:M39)=0,"Очікую",0),IF(COUNTIF(M$10:M39,"&gt;=7")=0,0,COUNTIF(M$10:M39,"&gt;=7")/$D39*100))</f>
        <v/>
      </c>
      <c r="N42" s="43">
        <f>IF(SUM(N$10:N39)=0,IF(COUNTA(N$10:N39)=0,"Очікую",0),IF(COUNTIF(N$10:N39,"&gt;=7")=0,0,COUNTIF(N$10:N39,"&gt;=7")/$D39*100))</f>
        <v/>
      </c>
      <c r="O42" s="43">
        <f>IF(SUM(O$10:O39)=0,IF(COUNTA(O$10:O39)=0,"Очікую",0),IF(COUNTIF(O$10:O39,"&gt;=7")=0,0,COUNTIF(O$10:O39,"&gt;=7")/$D39*100))</f>
        <v/>
      </c>
      <c r="P42" s="43">
        <f>IF(SUM(P$10:P39)=0,IF(COUNTA(P$10:P39)=0,"Очікую",0),IF(COUNTIF(P$10:P39,"&gt;=7")=0,0,COUNTIF(P$10:P39,"&gt;=7")/$D39*100))</f>
        <v/>
      </c>
      <c r="Q42" s="43">
        <f>IF(SUM(Q$10:Q39)=0,IF(COUNTA(Q$10:Q39)=0,"Очікую",0),IF(COUNTIF(Q$10:Q39,"&gt;=7")=0,0,COUNTIF(Q$10:Q39,"&gt;=7")/$D39*100))</f>
        <v/>
      </c>
      <c r="R42" s="43">
        <f>IF(SUM(R$10:R39)=0,IF(COUNTA(R$10:R39)=0,"Очікую",0),IF(COUNTIF(R$10:R39,"&gt;=7")=0,0,COUNTIF(R$10:R39,"&gt;=7")/$D39*100))</f>
        <v/>
      </c>
      <c r="S42" s="43">
        <f>IF(SUM(S$10:S39)=0,IF(COUNTA(S$10:S39)=0,"Очікую",0),IF(COUNTIF(S$10:S39,"&gt;=7")=0,0,COUNTIF(S$10:S39,"&gt;=7")/$D39*100))</f>
        <v/>
      </c>
      <c r="T42" s="43">
        <f>IF(SUM(T$10:T39)=0,IF(COUNTA(T$10:T39)=0,"Очікую",0),IF(COUNTIF(T$10:T39,"&gt;=7")=0,0,COUNTIF(T$10:T39,"&gt;=7")/$D39*100))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Абсолютна успішність по групі</t>
        </is>
      </c>
      <c r="F43" s="8">
        <f>IFERROR(AVERAGE(F41:T41),"Очікую")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Якісна успішність по групі</t>
        </is>
      </c>
      <c r="F44" s="8">
        <f>IFERROR(AVERAGE($F42:T42),"Очікую")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бюджетників</t>
        </is>
      </c>
      <c r="F45" s="63">
        <f>IF(COUNTIF($C$10:$C39,"=Б")=0,IF(COUNTIF($C$10:$C39,"=К")=0,"Очікую",0),COUNTIF($C$10:$C39,"=Б"))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52" t="n"/>
      <c r="S45" s="52" t="n"/>
      <c r="T45" s="52" t="n"/>
      <c r="U45" s="52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контрактників</t>
        </is>
      </c>
      <c r="F46" s="63">
        <f>IF(COUNTIF($C$10:$C39,"=К")=0,IF(COUNTIF($C$10:$C39,"=Б")=0,"Очікую",0),COUNTIF($C$10:$C39,"=К"))</f>
        <v/>
      </c>
      <c r="G46" s="6" t="n"/>
      <c r="H46" s="55" t="inlineStr">
        <is>
          <t>Класний керівник</t>
        </is>
      </c>
      <c r="I46" s="55" t="n"/>
      <c r="J46" s="55" t="n"/>
      <c r="K46" s="55" t="n"/>
      <c r="L46" s="55" t="n"/>
      <c r="M46" s="6" t="n"/>
      <c r="N46" s="6" t="n"/>
      <c r="O46" s="6" t="n"/>
      <c r="P46" s="56" t="inlineStr">
        <is>
          <t>Ірина ДОПІРА</t>
        </is>
      </c>
      <c r="Q46" s="54" t="n"/>
      <c r="R46" s="54" t="n"/>
      <c r="S46" s="54" t="n"/>
      <c r="T46" s="54" t="n"/>
      <c r="U46" s="54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соціального контингенту</t>
        </is>
      </c>
      <c r="F47" s="4" t="n">
        <v>2</v>
      </c>
      <c r="G47" s="6" t="n"/>
      <c r="H47" s="55" t="n"/>
      <c r="I47" s="55" t="n"/>
      <c r="J47" s="55" t="n"/>
      <c r="K47" s="55" t="n"/>
      <c r="L47" s="55" t="n"/>
      <c r="M47" s="6" t="n"/>
      <c r="N47" s="6" t="n"/>
      <c r="O47" s="6" t="n"/>
      <c r="P47" s="56" t="n"/>
      <c r="Q47" s="52" t="n"/>
      <c r="R47" s="52" t="n"/>
      <c r="S47" s="52" t="n"/>
      <c r="T47" s="52" t="n"/>
      <c r="U47" s="52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Вийшли на стипендію</t>
        </is>
      </c>
      <c r="F48" s="63">
        <f>IF(F45="Очікую","Очікую",IF(F45-COUNTIF($U$10:$U39," - ")&lt;ROUNDDOWN(F45*0.4,0),F45-COUNTIF($U$10:$U39," - "),ROUNDDOWN(F45*0.4,0)))</f>
        <v/>
      </c>
      <c r="G48" s="6" t="n"/>
      <c r="H48" s="56" t="inlineStr">
        <is>
          <t>Завідувач відділення ПЗСО</t>
        </is>
      </c>
      <c r="I48" s="56" t="n"/>
      <c r="J48" s="56" t="n"/>
      <c r="K48" s="56" t="n"/>
      <c r="L48" s="56" t="n"/>
      <c r="M48" s="6" t="n"/>
      <c r="N48" s="6" t="n"/>
      <c r="O48" s="6" t="n"/>
      <c r="P48" s="56" t="inlineStr">
        <is>
          <t>Маргарита БРІТІКОВА</t>
        </is>
      </c>
      <c r="Q48" s="54" t="n"/>
      <c r="R48" s="54" t="n"/>
      <c r="S48" s="54" t="n"/>
      <c r="T48" s="54" t="n"/>
      <c r="U48" s="54" t="n"/>
      <c r="V48" s="20" t="n"/>
      <c r="W48" s="39" t="n"/>
    </row>
    <row r="49" ht="15" customFormat="1" customHeight="1" s="11">
      <c r="A49" s="40" t="n"/>
      <c r="B49" s="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5" t="n"/>
      <c r="W49" s="39" t="n"/>
    </row>
    <row r="50" ht="15" customFormat="1" customHeight="1" s="11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9" t="n"/>
    </row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Бондарчук Ніна Григорівна</t>
        </is>
      </c>
      <c r="F10" s="49" t="n">
        <v>8</v>
      </c>
      <c r="G10" s="49" t="n">
        <v>8</v>
      </c>
      <c r="H10" s="49" t="n">
        <v>7</v>
      </c>
      <c r="I10" s="49" t="n">
        <v>8</v>
      </c>
      <c r="J10" s="49" t="n">
        <v>8</v>
      </c>
      <c r="K10" s="49" t="n">
        <v>6</v>
      </c>
      <c r="L10" s="49" t="n">
        <v>4</v>
      </c>
      <c r="M10" s="49" t="n">
        <v>5</v>
      </c>
      <c r="N10" s="49" t="n">
        <v>5</v>
      </c>
      <c r="O10" s="49" t="n">
        <v>8</v>
      </c>
      <c r="P10" s="49" t="n">
        <v>6</v>
      </c>
      <c r="Q10" s="49" t="n">
        <v>6</v>
      </c>
      <c r="R10" s="49" t="n">
        <v>5</v>
      </c>
      <c r="S10" s="49" t="n">
        <v>7</v>
      </c>
      <c r="T10" s="49" t="n">
        <v>10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Дубовик Віра Михайлівна</t>
        </is>
      </c>
      <c r="F11" s="49" t="n">
        <v>11</v>
      </c>
      <c r="G11" s="49" t="n">
        <v>8</v>
      </c>
      <c r="H11" s="49" t="n">
        <v>6</v>
      </c>
      <c r="I11" s="49" t="n">
        <v>9</v>
      </c>
      <c r="J11" s="49" t="n">
        <v>11</v>
      </c>
      <c r="K11" s="49" t="n">
        <v>4</v>
      </c>
      <c r="L11" s="49" t="n">
        <v>4</v>
      </c>
      <c r="M11" s="49" t="n">
        <v>8</v>
      </c>
      <c r="N11" s="49" t="n">
        <v>11</v>
      </c>
      <c r="O11" s="49" t="n">
        <v>9</v>
      </c>
      <c r="P11" s="49" t="n">
        <v>10</v>
      </c>
      <c r="Q11" s="49" t="n">
        <v>7</v>
      </c>
      <c r="R11" s="49" t="n">
        <v>9</v>
      </c>
      <c r="S11" s="49" t="n">
        <v>10</v>
      </c>
      <c r="T11" s="49" t="n">
        <v>9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Кушніренко Артем Олександрович</t>
        </is>
      </c>
      <c r="F12" s="49" t="n">
        <v>4</v>
      </c>
      <c r="G12" s="49" t="n">
        <v>8</v>
      </c>
      <c r="H12" s="49" t="n">
        <v>6</v>
      </c>
      <c r="I12" s="49" t="n">
        <v>5</v>
      </c>
      <c r="J12" s="49" t="n">
        <v>11</v>
      </c>
      <c r="K12" s="49" t="n">
        <v>7</v>
      </c>
      <c r="L12" s="49" t="n">
        <v>7</v>
      </c>
      <c r="M12" s="49" t="n">
        <v>6</v>
      </c>
      <c r="N12" s="49" t="n">
        <v>10</v>
      </c>
      <c r="O12" s="49" t="n">
        <v>7</v>
      </c>
      <c r="P12" s="49" t="n">
        <v>6</v>
      </c>
      <c r="Q12" s="49" t="n">
        <v>6</v>
      </c>
      <c r="R12" s="49" t="n">
        <v>4</v>
      </c>
      <c r="S12" s="49" t="n">
        <v>6</v>
      </c>
      <c r="T12" s="49" t="n">
        <v>6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Назаренко Єгор Віталійович</t>
        </is>
      </c>
      <c r="F13" s="49" t="n">
        <v>8</v>
      </c>
      <c r="G13" s="49" t="n">
        <v>7</v>
      </c>
      <c r="H13" s="49" t="n">
        <v>10</v>
      </c>
      <c r="I13" s="49" t="n">
        <v>10</v>
      </c>
      <c r="J13" s="49" t="n">
        <v>4</v>
      </c>
      <c r="K13" s="49" t="n">
        <v>8</v>
      </c>
      <c r="L13" s="49" t="n">
        <v>7</v>
      </c>
      <c r="M13" s="49" t="n">
        <v>8</v>
      </c>
      <c r="N13" s="49" t="n">
        <v>5</v>
      </c>
      <c r="O13" s="49" t="n">
        <v>10</v>
      </c>
      <c r="P13" s="49" t="n">
        <v>10</v>
      </c>
      <c r="Q13" s="49" t="n">
        <v>9</v>
      </c>
      <c r="R13" s="49" t="n">
        <v>6</v>
      </c>
      <c r="S13" s="49" t="n">
        <v>11</v>
      </c>
      <c r="T13" s="49" t="n">
        <v>6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Рябоконь Софія Юріївна</t>
        </is>
      </c>
      <c r="F14" s="49" t="n">
        <v>6</v>
      </c>
      <c r="G14" s="49" t="n">
        <v>9</v>
      </c>
      <c r="H14" s="49" t="n">
        <v>9</v>
      </c>
      <c r="I14" s="49" t="n">
        <v>8</v>
      </c>
      <c r="J14" s="49" t="n">
        <v>6</v>
      </c>
      <c r="K14" s="49" t="n">
        <v>10</v>
      </c>
      <c r="L14" s="49" t="n">
        <v>11</v>
      </c>
      <c r="M14" s="49" t="n">
        <v>6</v>
      </c>
      <c r="N14" s="49" t="n">
        <v>11</v>
      </c>
      <c r="O14" s="49" t="n">
        <v>7</v>
      </c>
      <c r="P14" s="49" t="n">
        <v>7</v>
      </c>
      <c r="Q14" s="49" t="n">
        <v>10</v>
      </c>
      <c r="R14" s="49" t="n">
        <v>6</v>
      </c>
      <c r="S14" s="49" t="n">
        <v>7</v>
      </c>
      <c r="T14" s="49" t="n">
        <v>8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Соловей Микита Ігорович</t>
        </is>
      </c>
      <c r="F15" s="49" t="n">
        <v>11</v>
      </c>
      <c r="G15" s="49" t="n">
        <v>4</v>
      </c>
      <c r="H15" s="49" t="n">
        <v>4</v>
      </c>
      <c r="I15" s="49" t="n">
        <v>11</v>
      </c>
      <c r="J15" s="49" t="n">
        <v>8</v>
      </c>
      <c r="K15" s="49" t="n">
        <v>5</v>
      </c>
      <c r="L15" s="49" t="n">
        <v>10</v>
      </c>
      <c r="M15" s="49" t="n">
        <v>8</v>
      </c>
      <c r="N15" s="49" t="n">
        <v>5</v>
      </c>
      <c r="O15" s="49" t="n">
        <v>9</v>
      </c>
      <c r="P15" s="49" t="n">
        <v>6</v>
      </c>
      <c r="Q15" s="49" t="n">
        <v>4</v>
      </c>
      <c r="R15" s="49" t="n">
        <v>10</v>
      </c>
      <c r="S15" s="49" t="n">
        <v>8</v>
      </c>
      <c r="T15" s="49" t="n">
        <v>8</v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Тарасенко Леонід Степанович</t>
        </is>
      </c>
      <c r="F16" s="49" t="n">
        <v>11</v>
      </c>
      <c r="G16" s="49" t="n">
        <v>4</v>
      </c>
      <c r="H16" s="49" t="n">
        <v>4</v>
      </c>
      <c r="I16" s="49" t="inlineStr">
        <is>
          <t>н/а</t>
        </is>
      </c>
      <c r="J16" s="49" t="n">
        <v>4</v>
      </c>
      <c r="K16" s="49" t="n">
        <v>8</v>
      </c>
      <c r="L16" s="49" t="inlineStr">
        <is>
          <t>н/а</t>
        </is>
      </c>
      <c r="M16" s="49" t="n">
        <v>6</v>
      </c>
      <c r="N16" s="49" t="n">
        <v>7</v>
      </c>
      <c r="O16" s="49" t="n">
        <v>10</v>
      </c>
      <c r="P16" s="49" t="n">
        <v>8</v>
      </c>
      <c r="Q16" s="49" t="inlineStr">
        <is>
          <t>н/а</t>
        </is>
      </c>
      <c r="R16" s="49" t="n">
        <v>7</v>
      </c>
      <c r="S16" s="49" t="n">
        <v>10</v>
      </c>
      <c r="T16" s="49" t="n">
        <v>11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Середній бал успішності з дисципліни</t>
        </is>
      </c>
      <c r="F17" s="8">
        <f>IF(SUM(F$10:F16)=0,IF(COUNTA(F$10:F16)=0,"Очікую",0),SUM(F$10:F16)/$D16)</f>
        <v/>
      </c>
      <c r="G17" s="8">
        <f>IF(SUM(G$10:G16)=0,IF(COUNTA(G$10:G16)=0,"Очікую",0),SUM(G$10:G16)/$D16)</f>
        <v/>
      </c>
      <c r="H17" s="8">
        <f>IF(SUM(H$10:H16)=0,IF(COUNTA(H$10:H16)=0,"Очікую",0),SUM(H$10:H16)/$D16)</f>
        <v/>
      </c>
      <c r="I17" s="8">
        <f>IF(SUM(I$10:I16)=0,IF(COUNTA(I$10:I16)=0,"Очікую",0),SUM(I$10:I16)/$D16)</f>
        <v/>
      </c>
      <c r="J17" s="8">
        <f>IF(SUM(J$10:J16)=0,IF(COUNTA(J$10:J16)=0,"Очікую",0),SUM(J$10:J16)/$D16)</f>
        <v/>
      </c>
      <c r="K17" s="8">
        <f>IF(SUM(K$10:K16)=0,IF(COUNTA(K$10:K16)=0,"Очікую",0),SUM(K$10:K16)/$D16)</f>
        <v/>
      </c>
      <c r="L17" s="8">
        <f>IF(SUM(L$10:L16)=0,IF(COUNTA(L$10:L16)=0,"Очікую",0),SUM(L$10:L16)/$D16)</f>
        <v/>
      </c>
      <c r="M17" s="8">
        <f>IF(SUM(M$10:M16)=0,IF(COUNTA(M$10:M16)=0,"Очікую",0),SUM(M$10:M16)/$D16)</f>
        <v/>
      </c>
      <c r="N17" s="8">
        <f>IF(SUM(N$10:N16)=0,IF(COUNTA(N$10:N16)=0,"Очікую",0),SUM(N$10:N16)/$D16)</f>
        <v/>
      </c>
      <c r="O17" s="8">
        <f>IF(SUM(O$10:O16)=0,IF(COUNTA(O$10:O16)=0,"Очікую",0),SUM(O$10:O16)/$D16)</f>
        <v/>
      </c>
      <c r="P17" s="8">
        <f>IF(SUM(P$10:P16)=0,IF(COUNTA(P$10:P16)=0,"Очікую",0),SUM(P$10:P16)/$D16)</f>
        <v/>
      </c>
      <c r="Q17" s="8">
        <f>IF(SUM(Q$10:Q16)=0,IF(COUNTA(Q$10:Q16)=0,"Очікую",0),SUM(Q$10:Q16)/$D16)</f>
        <v/>
      </c>
      <c r="R17" s="8">
        <f>IF(SUM(R$10:R16)=0,IF(COUNTA(R$10:R16)=0,"Очікую",0),SUM(R$10:R16)/$D16)</f>
        <v/>
      </c>
      <c r="S17" s="8">
        <f>IF(SUM(S$10:S16)=0,IF(COUNTA(S$10:S16)=0,"Очікую",0),SUM(S$10:S16)/$D16)</f>
        <v/>
      </c>
      <c r="T17" s="8">
        <f>IF(SUM(T$10:T16)=0,IF(COUNTA(T$10:T16)=0,"Очікую",0),SUM(T$10:T16)/$D16)</f>
        <v/>
      </c>
      <c r="U17" s="9">
        <f>IFERROR(AVERAGE($F17:T17),"Очікую")</f>
        <v/>
      </c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</t>
        </is>
      </c>
      <c r="F18" s="43">
        <f>IF(SUM(F$10:F16)=0,IF(COUNTA(F$10:F16)=0,"Очікую",0),IF(COUNTIF(F$10:F16,"&gt;=4")=0,0,COUNTIF(F$10:F16,"&gt;=4")/$D16*100))</f>
        <v/>
      </c>
      <c r="G18" s="43">
        <f>IF(SUM(G$10:G16)=0,IF(COUNTA(G$10:G16)=0,"Очікую",0),IF(COUNTIF(G$10:G16,"&gt;=4")=0,0,COUNTIF(G$10:G16,"&gt;=4")/$D16*100))</f>
        <v/>
      </c>
      <c r="H18" s="43">
        <f>IF(SUM(H$10:H16)=0,IF(COUNTA(H$10:H16)=0,"Очікую",0),IF(COUNTIF(H$10:H16,"&gt;=4")=0,0,COUNTIF(H$10:H16,"&gt;=4")/$D16*100))</f>
        <v/>
      </c>
      <c r="I18" s="43">
        <f>IF(SUM(I$10:I16)=0,IF(COUNTA(I$10:I16)=0,"Очікую",0),IF(COUNTIF(I$10:I16,"&gt;=4")=0,0,COUNTIF(I$10:I16,"&gt;=4")/$D16*100))</f>
        <v/>
      </c>
      <c r="J18" s="43">
        <f>IF(SUM(J$10:J16)=0,IF(COUNTA(J$10:J16)=0,"Очікую",0),IF(COUNTIF(J$10:J16,"&gt;=4")=0,0,COUNTIF(J$10:J16,"&gt;=4")/$D16*100))</f>
        <v/>
      </c>
      <c r="K18" s="43">
        <f>IF(SUM(K$10:K16)=0,IF(COUNTA(K$10:K16)=0,"Очікую",0),IF(COUNTIF(K$10:K16,"&gt;=4")=0,0,COUNTIF(K$10:K16,"&gt;=4")/$D16*100))</f>
        <v/>
      </c>
      <c r="L18" s="43">
        <f>IF(SUM(L$10:L16)=0,IF(COUNTA(L$10:L16)=0,"Очікую",0),IF(COUNTIF(L$10:L16,"&gt;=4")=0,0,COUNTIF(L$10:L16,"&gt;=4")/$D16*100))</f>
        <v/>
      </c>
      <c r="M18" s="43">
        <f>IF(SUM(M$10:M16)=0,IF(COUNTA(M$10:M16)=0,"Очікую",0),IF(COUNTIF(M$10:M16,"&gt;=4")=0,0,COUNTIF(M$10:M16,"&gt;=4")/$D16*100))</f>
        <v/>
      </c>
      <c r="N18" s="43">
        <f>IF(SUM(N$10:N16)=0,IF(COUNTA(N$10:N16)=0,"Очікую",0),IF(COUNTIF(N$10:N16,"&gt;=4")=0,0,COUNTIF(N$10:N16,"&gt;=4")/$D16*100))</f>
        <v/>
      </c>
      <c r="O18" s="43">
        <f>IF(SUM(O$10:O16)=0,IF(COUNTA(O$10:O16)=0,"Очікую",0),IF(COUNTIF(O$10:O16,"&gt;=4")=0,0,COUNTIF(O$10:O16,"&gt;=4")/$D16*100))</f>
        <v/>
      </c>
      <c r="P18" s="43">
        <f>IF(SUM(P$10:P16)=0,IF(COUNTA(P$10:P16)=0,"Очікую",0),IF(COUNTIF(P$10:P16,"&gt;=4")=0,0,COUNTIF(P$10:P16,"&gt;=4")/$D16*100))</f>
        <v/>
      </c>
      <c r="Q18" s="43">
        <f>IF(SUM(Q$10:Q16)=0,IF(COUNTA(Q$10:Q16)=0,"Очікую",0),IF(COUNTIF(Q$10:Q16,"&gt;=4")=0,0,COUNTIF(Q$10:Q16,"&gt;=4")/$D16*100))</f>
        <v/>
      </c>
      <c r="R18" s="43">
        <f>IF(SUM(R$10:R16)=0,IF(COUNTA(R$10:R16)=0,"Очікую",0),IF(COUNTIF(R$10:R16,"&gt;=4")=0,0,COUNTIF(R$10:R16,"&gt;=4")/$D16*100))</f>
        <v/>
      </c>
      <c r="S18" s="43">
        <f>IF(SUM(S$10:S16)=0,IF(COUNTA(S$10:S16)=0,"Очікую",0),IF(COUNTIF(S$10:S16,"&gt;=4")=0,0,COUNTIF(S$10:S16,"&gt;=4")/$D16*100))</f>
        <v/>
      </c>
      <c r="T18" s="43">
        <f>IF(SUM(T$10:T16)=0,IF(COUNTA(T$10:T16)=0,"Очікую",0),IF(COUNTIF(T$10:T16,"&gt;=4")=0,0,COUNTIF(T$10:T16,"&gt;=4")/$D16*100))</f>
        <v/>
      </c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</t>
        </is>
      </c>
      <c r="F19" s="43">
        <f>IF(SUM(F$10:F16)=0,IF(COUNTA(F$10:F16)=0,"Очікую",0),IF(COUNTIF(F$10:F16,"&gt;=7")=0,0,COUNTIF(F$10:F16,"&gt;=7")/$D16*100))</f>
        <v/>
      </c>
      <c r="G19" s="43">
        <f>IF(SUM(G$10:G16)=0,IF(COUNTA(G$10:G16)=0,"Очікую",0),IF(COUNTIF(G$10:G16,"&gt;=7")=0,0,COUNTIF(G$10:G16,"&gt;=7")/$D16*100))</f>
        <v/>
      </c>
      <c r="H19" s="43">
        <f>IF(SUM(H$10:H16)=0,IF(COUNTA(H$10:H16)=0,"Очікую",0),IF(COUNTIF(H$10:H16,"&gt;=7")=0,0,COUNTIF(H$10:H16,"&gt;=7")/$D16*100))</f>
        <v/>
      </c>
      <c r="I19" s="43">
        <f>IF(SUM(I$10:I16)=0,IF(COUNTA(I$10:I16)=0,"Очікую",0),IF(COUNTIF(I$10:I16,"&gt;=7")=0,0,COUNTIF(I$10:I16,"&gt;=7")/$D16*100))</f>
        <v/>
      </c>
      <c r="J19" s="43">
        <f>IF(SUM(J$10:J16)=0,IF(COUNTA(J$10:J16)=0,"Очікую",0),IF(COUNTIF(J$10:J16,"&gt;=7")=0,0,COUNTIF(J$10:J16,"&gt;=7")/$D16*100))</f>
        <v/>
      </c>
      <c r="K19" s="43">
        <f>IF(SUM(K$10:K16)=0,IF(COUNTA(K$10:K16)=0,"Очікую",0),IF(COUNTIF(K$10:K16,"&gt;=7")=0,0,COUNTIF(K$10:K16,"&gt;=7")/$D16*100))</f>
        <v/>
      </c>
      <c r="L19" s="43">
        <f>IF(SUM(L$10:L16)=0,IF(COUNTA(L$10:L16)=0,"Очікую",0),IF(COUNTIF(L$10:L16,"&gt;=7")=0,0,COUNTIF(L$10:L16,"&gt;=7")/$D16*100))</f>
        <v/>
      </c>
      <c r="M19" s="43">
        <f>IF(SUM(M$10:M16)=0,IF(COUNTA(M$10:M16)=0,"Очікую",0),IF(COUNTIF(M$10:M16,"&gt;=7")=0,0,COUNTIF(M$10:M16,"&gt;=7")/$D16*100))</f>
        <v/>
      </c>
      <c r="N19" s="43">
        <f>IF(SUM(N$10:N16)=0,IF(COUNTA(N$10:N16)=0,"Очікую",0),IF(COUNTIF(N$10:N16,"&gt;=7")=0,0,COUNTIF(N$10:N16,"&gt;=7")/$D16*100))</f>
        <v/>
      </c>
      <c r="O19" s="43">
        <f>IF(SUM(O$10:O16)=0,IF(COUNTA(O$10:O16)=0,"Очікую",0),IF(COUNTIF(O$10:O16,"&gt;=7")=0,0,COUNTIF(O$10:O16,"&gt;=7")/$D16*100))</f>
        <v/>
      </c>
      <c r="P19" s="43">
        <f>IF(SUM(P$10:P16)=0,IF(COUNTA(P$10:P16)=0,"Очікую",0),IF(COUNTIF(P$10:P16,"&gt;=7")=0,0,COUNTIF(P$10:P16,"&gt;=7")/$D16*100))</f>
        <v/>
      </c>
      <c r="Q19" s="43">
        <f>IF(SUM(Q$10:Q16)=0,IF(COUNTA(Q$10:Q16)=0,"Очікую",0),IF(COUNTIF(Q$10:Q16,"&gt;=7")=0,0,COUNTIF(Q$10:Q16,"&gt;=7")/$D16*100))</f>
        <v/>
      </c>
      <c r="R19" s="43">
        <f>IF(SUM(R$10:R16)=0,IF(COUNTA(R$10:R16)=0,"Очікую",0),IF(COUNTIF(R$10:R16,"&gt;=7")=0,0,COUNTIF(R$10:R16,"&gt;=7")/$D16*100))</f>
        <v/>
      </c>
      <c r="S19" s="43">
        <f>IF(SUM(S$10:S16)=0,IF(COUNTA(S$10:S16)=0,"Очікую",0),IF(COUNTIF(S$10:S16,"&gt;=7")=0,0,COUNTIF(S$10:S16,"&gt;=7")/$D16*100))</f>
        <v/>
      </c>
      <c r="T19" s="43">
        <f>IF(SUM(T$10:T16)=0,IF(COUNTA(T$10:T16)=0,"Очікую",0),IF(COUNTIF(T$10:T16,"&gt;=7")=0,0,COUNTIF(T$10:T16,"&gt;=7")/$D16*100))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Абсолютна успішність по групі</t>
        </is>
      </c>
      <c r="F20" s="8">
        <f>IFERROR(AVERAGE(F18:T18),"Очікую")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Якісна успішність по групі</t>
        </is>
      </c>
      <c r="F21" s="8">
        <f>IFERROR(AVERAGE($F19:T19),"Очікую")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бюджетників</t>
        </is>
      </c>
      <c r="F22" s="63">
        <f>IF(COUNTIF($C$10:$C16,"=Б")=0,IF(COUNTIF($C$10:$C16,"=К")=0,"Очікую",0),COUNTIF($C$10:$C16,"=Б"))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контрактників</t>
        </is>
      </c>
      <c r="F23" s="63">
        <f>IF(COUNTIF($C$10:$C16,"=К")=0,IF(COUNTIF($C$10:$C16,"=Б")=0,"Очікую",0),COUNTIF($C$10:$C16,"=К"))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55" t="n"/>
      <c r="M23" s="6" t="n"/>
      <c r="N23" s="6" t="n"/>
      <c r="O23" s="6" t="n"/>
      <c r="P23" s="56" t="inlineStr">
        <is>
          <t>Ірина ДОПІРА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соціального контингенту</t>
        </is>
      </c>
      <c r="F24" s="4" t="n">
        <v>0</v>
      </c>
      <c r="G24" s="6" t="n"/>
      <c r="H24" s="55" t="n"/>
      <c r="I24" s="55" t="n"/>
      <c r="J24" s="55" t="n"/>
      <c r="K24" s="55" t="n"/>
      <c r="L24" s="55" t="n"/>
      <c r="M24" s="6" t="n"/>
      <c r="N24" s="6" t="n"/>
      <c r="O24" s="6" t="n"/>
      <c r="P24" s="56" t="n"/>
      <c r="Q24" s="52" t="n"/>
      <c r="R24" s="52" t="n"/>
      <c r="S24" s="52" t="n"/>
      <c r="T24" s="52" t="n"/>
      <c r="U24" s="52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Вийшли на стипендію</t>
        </is>
      </c>
      <c r="F25" s="63">
        <f>IF(F22="Очікую","Очікую",IF(F22-COUNTIF($U$10:$U16," - ")&lt;ROUNDDOWN(F22*0.4,0),F22-COUNTIF($U$10:$U16," - "),ROUNDDOWN(F22*0.4,0)))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56" t="n"/>
      <c r="M25" s="6" t="n"/>
      <c r="N25" s="6" t="n"/>
      <c r="O25" s="6" t="n"/>
      <c r="P25" s="56" t="inlineStr">
        <is>
          <t>Маргарита БРІТІКОВА</t>
        </is>
      </c>
      <c r="Q25" s="54" t="n"/>
      <c r="R25" s="54" t="n"/>
      <c r="S25" s="54" t="n"/>
      <c r="T25" s="54" t="n"/>
      <c r="U25" s="54" t="n"/>
      <c r="V25" s="20" t="n"/>
      <c r="W25" s="39" t="n"/>
    </row>
    <row r="26" ht="15" customFormat="1" customHeight="1" s="11">
      <c r="A26" s="40" t="n"/>
      <c r="B26" s="21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5" t="n"/>
      <c r="W26" s="39" t="n"/>
    </row>
    <row r="27" ht="15" customFormat="1" customHeight="1" s="1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9" t="n"/>
    </row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X1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11.3" customWidth="1" min="22" max="22"/>
    <col width="2.7" customWidth="1" min="23" max="23"/>
    <col width="2.7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9"/>
    <col hidden="1" width="14.42578125" customWidth="1" style="1" min="70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9" t="n"/>
      <c r="X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20" t="n"/>
      <c r="X3" s="39" t="n"/>
    </row>
    <row r="4" ht="15" customFormat="1" customHeight="1" s="3">
      <c r="A4" s="40" t="n"/>
      <c r="B4" s="12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20" t="n"/>
      <c r="X4" s="39" t="n"/>
    </row>
    <row r="5" ht="15" customFormat="1" customHeight="1" s="2">
      <c r="A5" s="40" t="n"/>
      <c r="B5" s="12" t="n"/>
      <c r="C5" s="73">
        <f>'Зведена D5'!C5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20" t="n"/>
      <c r="X5" s="39" t="n"/>
    </row>
    <row r="6" ht="15" customFormat="1" customHeight="1" s="2">
      <c r="A6" s="40" t="n"/>
      <c r="B6" s="12" t="n"/>
      <c r="C6" s="73">
        <f>'Зведена D5'!C6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87" t="n"/>
      <c r="W6" s="20" t="n"/>
      <c r="X6" s="39" t="n"/>
    </row>
    <row r="7" ht="15" customFormat="1" customHeight="1" s="2">
      <c r="A7" s="40" t="n"/>
      <c r="B7" s="12" t="n"/>
      <c r="C7" s="72">
        <f>'Зведена D5'!C7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20" t="n"/>
      <c r="X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91" t="inlineStr">
        <is>
          <t>Рейтинговий бал</t>
        </is>
      </c>
      <c r="W8" s="20" t="n"/>
      <c r="X8" s="39" t="n"/>
    </row>
    <row r="9" ht="125.1" customHeight="1">
      <c r="A9" s="40" t="n"/>
      <c r="B9" s="12" t="n"/>
      <c r="C9" s="92" t="n"/>
      <c r="D9" s="92" t="n"/>
      <c r="E9" s="92" t="n"/>
      <c r="F9" s="13">
        <f>'Зведена D5'!F9</f>
        <v/>
      </c>
      <c r="G9" s="13">
        <f>'Зведена D5'!G9</f>
        <v/>
      </c>
      <c r="H9" s="13">
        <f>'Зведена D5'!H9</f>
        <v/>
      </c>
      <c r="I9" s="13">
        <f>'Зведена D5'!I9</f>
        <v/>
      </c>
      <c r="J9" s="13">
        <f>'Зведена D5'!J9</f>
        <v/>
      </c>
      <c r="K9" s="13">
        <f>'Зведена D5'!K9</f>
        <v/>
      </c>
      <c r="L9" s="13">
        <f>'Зведена D5'!L9</f>
        <v/>
      </c>
      <c r="M9" s="13">
        <f>'Зведена D5'!M9</f>
        <v/>
      </c>
      <c r="N9" s="13">
        <f>'Зведена D5'!N9</f>
        <v/>
      </c>
      <c r="O9" s="13">
        <f>'Зведена D5'!O9</f>
        <v/>
      </c>
      <c r="P9" s="13">
        <f>'Зведена D5'!P9</f>
        <v/>
      </c>
      <c r="Q9" s="13">
        <f>'Зведена D5'!Q9</f>
        <v/>
      </c>
      <c r="R9" s="13">
        <f>'Зведена D5'!R9</f>
        <v/>
      </c>
      <c r="S9" s="13">
        <f>'Зведена D5'!S9</f>
        <v/>
      </c>
      <c r="T9" s="13">
        <f>'Зведена D5'!T9</f>
        <v/>
      </c>
      <c r="U9" s="92" t="n"/>
      <c r="V9" s="92" t="n"/>
      <c r="W9" s="20" t="n"/>
      <c r="X9" s="39" t="n"/>
    </row>
    <row r="10" ht="15" customFormat="1" customHeight="1" s="11">
      <c r="A10" s="40" t="n"/>
      <c r="B10" s="12" t="n"/>
      <c r="C10" s="93">
        <f>'Зведена D5'!C20</f>
        <v/>
      </c>
      <c r="D10" s="93" t="n">
        <v>1</v>
      </c>
      <c r="E10" s="94">
        <f>'Зведена D5'!E20</f>
        <v/>
      </c>
      <c r="F10" s="95">
        <f>'Зведена D5'!F20</f>
        <v/>
      </c>
      <c r="G10" s="95">
        <f>'Зведена D5'!G20</f>
        <v/>
      </c>
      <c r="H10" s="95">
        <f>'Зведена D5'!H20</f>
        <v/>
      </c>
      <c r="I10" s="95">
        <f>'Зведена D5'!I20</f>
        <v/>
      </c>
      <c r="J10" s="95">
        <f>'Зведена D5'!J20</f>
        <v/>
      </c>
      <c r="K10" s="95">
        <f>'Зведена D5'!K20</f>
        <v/>
      </c>
      <c r="L10" s="95">
        <f>'Зведена D5'!L20</f>
        <v/>
      </c>
      <c r="M10" s="95">
        <f>'Зведена D5'!M20</f>
        <v/>
      </c>
      <c r="N10" s="95">
        <f>'Зведена D5'!N20</f>
        <v/>
      </c>
      <c r="O10" s="95">
        <f>'Зведена D5'!O20</f>
        <v/>
      </c>
      <c r="P10" s="95">
        <f>'Зведена D5'!P20</f>
        <v/>
      </c>
      <c r="Q10" s="95">
        <f>'Зведена D5'!Q20</f>
        <v/>
      </c>
      <c r="R10" s="95">
        <f>'Зведена D5'!R20</f>
        <v/>
      </c>
      <c r="S10" s="95">
        <f>'Зведена D5'!S20</f>
        <v/>
      </c>
      <c r="T10" s="95">
        <f>'Зведена D5'!T20</f>
        <v/>
      </c>
      <c r="U10" s="96">
        <f>IF(COUNTIF($F10:T10,"=*")&gt;0,IF($C10="К","-"," - "),IF(COUNTIF($F10:T10,"&lt;4")&gt;0,IF(C10="К","-"," - "),(IFERROR(AVERAGE($F10:T10),"Очікую"))))</f>
        <v/>
      </c>
      <c r="V10" s="96">
        <f>IFERROR(U10/12*90,"Очікую")</f>
        <v/>
      </c>
      <c r="W10" s="22" t="n"/>
      <c r="X10" s="39" t="n"/>
    </row>
    <row r="11" ht="15" customFormat="1" customHeight="1" s="11">
      <c r="A11" s="40" t="n"/>
      <c r="B11" s="12" t="n"/>
      <c r="C11" s="93">
        <f>'Зведена D5'!C19</f>
        <v/>
      </c>
      <c r="D11" s="93" t="n">
        <v>2</v>
      </c>
      <c r="E11" s="94">
        <f>'Зведена D5'!E19</f>
        <v/>
      </c>
      <c r="F11" s="95">
        <f>'Зведена D5'!F19</f>
        <v/>
      </c>
      <c r="G11" s="95">
        <f>'Зведена D5'!G19</f>
        <v/>
      </c>
      <c r="H11" s="95">
        <f>'Зведена D5'!H19</f>
        <v/>
      </c>
      <c r="I11" s="95">
        <f>'Зведена D5'!I19</f>
        <v/>
      </c>
      <c r="J11" s="95">
        <f>'Зведена D5'!J19</f>
        <v/>
      </c>
      <c r="K11" s="95">
        <f>'Зведена D5'!K19</f>
        <v/>
      </c>
      <c r="L11" s="95">
        <f>'Зведена D5'!L19</f>
        <v/>
      </c>
      <c r="M11" s="95">
        <f>'Зведена D5'!M19</f>
        <v/>
      </c>
      <c r="N11" s="95">
        <f>'Зведена D5'!N19</f>
        <v/>
      </c>
      <c r="O11" s="95">
        <f>'Зведена D5'!O19</f>
        <v/>
      </c>
      <c r="P11" s="95">
        <f>'Зведена D5'!P19</f>
        <v/>
      </c>
      <c r="Q11" s="95">
        <f>'Зведена D5'!Q19</f>
        <v/>
      </c>
      <c r="R11" s="95">
        <f>'Зведена D5'!R19</f>
        <v/>
      </c>
      <c r="S11" s="95">
        <f>'Зведена D5'!S19</f>
        <v/>
      </c>
      <c r="T11" s="95">
        <f>'Зведена D5'!T19</f>
        <v/>
      </c>
      <c r="U11" s="96">
        <f>IF(COUNTIF($F11:T11,"=*")&gt;0,IF($C11="К","-"," - "),IF(COUNTIF($F11:T11,"&lt;4")&gt;0,IF(C11="К","-"," - "),(IFERROR(AVERAGE($F11:T11),"Очікую"))))</f>
        <v/>
      </c>
      <c r="V11" s="96">
        <f>IFERROR(U11/12*90,"Очікую")</f>
        <v/>
      </c>
      <c r="W11" s="22" t="n"/>
      <c r="X11" s="39" t="n"/>
    </row>
    <row r="12" ht="15" customFormat="1" customHeight="1" s="11">
      <c r="A12" s="40" t="n"/>
      <c r="B12" s="12" t="n"/>
      <c r="C12" s="93">
        <f>'Зведена D5'!C23</f>
        <v/>
      </c>
      <c r="D12" s="93" t="n">
        <v>3</v>
      </c>
      <c r="E12" s="94">
        <f>'Зведена D5'!E23</f>
        <v/>
      </c>
      <c r="F12" s="95">
        <f>'Зведена D5'!F23</f>
        <v/>
      </c>
      <c r="G12" s="95">
        <f>'Зведена D5'!G23</f>
        <v/>
      </c>
      <c r="H12" s="95">
        <f>'Зведена D5'!H23</f>
        <v/>
      </c>
      <c r="I12" s="95">
        <f>'Зведена D5'!I23</f>
        <v/>
      </c>
      <c r="J12" s="95">
        <f>'Зведена D5'!J23</f>
        <v/>
      </c>
      <c r="K12" s="95">
        <f>'Зведена D5'!K23</f>
        <v/>
      </c>
      <c r="L12" s="95">
        <f>'Зведена D5'!L23</f>
        <v/>
      </c>
      <c r="M12" s="95">
        <f>'Зведена D5'!M23</f>
        <v/>
      </c>
      <c r="N12" s="95">
        <f>'Зведена D5'!N23</f>
        <v/>
      </c>
      <c r="O12" s="95">
        <f>'Зведена D5'!O23</f>
        <v/>
      </c>
      <c r="P12" s="95">
        <f>'Зведена D5'!P23</f>
        <v/>
      </c>
      <c r="Q12" s="95">
        <f>'Зведена D5'!Q23</f>
        <v/>
      </c>
      <c r="R12" s="95">
        <f>'Зведена D5'!R23</f>
        <v/>
      </c>
      <c r="S12" s="95">
        <f>'Зведена D5'!S23</f>
        <v/>
      </c>
      <c r="T12" s="95">
        <f>'Зведена D5'!T23</f>
        <v/>
      </c>
      <c r="U12" s="96">
        <f>IF(COUNTIF($F12:T12,"=*")&gt;0,IF($C12="К","-"," - "),IF(COUNTIF($F12:T12,"&lt;4")&gt;0,IF(C12="К","-"," - "),(IFERROR(AVERAGE($F12:T12),"Очікую"))))</f>
        <v/>
      </c>
      <c r="V12" s="96">
        <f>IFERROR(U12/12*90,"Очікую")</f>
        <v/>
      </c>
      <c r="W12" s="22" t="n"/>
      <c r="X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Кількість бюджетників</t>
        </is>
      </c>
      <c r="F13" s="63">
        <f>'Зведена D5'!F33</f>
        <v/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52" t="n"/>
      <c r="S13" s="52" t="n"/>
      <c r="T13" s="52" t="n"/>
      <c r="U13" s="52" t="n"/>
      <c r="V13" s="52" t="n"/>
      <c r="W13" s="20" t="n"/>
      <c r="X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Кількість контрактників</t>
        </is>
      </c>
      <c r="F14" s="63">
        <f>'Зведена D5'!F34</f>
        <v/>
      </c>
      <c r="G14" s="6" t="n"/>
      <c r="H14" s="55" t="inlineStr">
        <is>
          <t>Класний керівник</t>
        </is>
      </c>
      <c r="I14" s="55" t="n"/>
      <c r="J14" s="55" t="n"/>
      <c r="K14" s="55" t="n"/>
      <c r="L14" s="55" t="n"/>
      <c r="M14" s="6" t="n"/>
      <c r="N14" s="6" t="n"/>
      <c r="O14" s="6" t="n"/>
      <c r="P14" s="56">
        <f>'Зведена D5'!P34</f>
        <v/>
      </c>
      <c r="Q14" s="54" t="n"/>
      <c r="R14" s="54" t="n"/>
      <c r="S14" s="54" t="n"/>
      <c r="T14" s="54" t="n"/>
      <c r="U14" s="54" t="n"/>
      <c r="V14" s="54" t="n"/>
      <c r="W14" s="20" t="n"/>
      <c r="X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Кількість соціального контингенту</t>
        </is>
      </c>
      <c r="F15" s="63">
        <f>'Зведена D5'!F35</f>
        <v/>
      </c>
      <c r="G15" s="6" t="n"/>
      <c r="H15" s="55" t="n"/>
      <c r="I15" s="55" t="n"/>
      <c r="J15" s="55" t="n"/>
      <c r="K15" s="55" t="n"/>
      <c r="L15" s="55" t="n"/>
      <c r="M15" s="6" t="n"/>
      <c r="N15" s="6" t="n"/>
      <c r="O15" s="6" t="n"/>
      <c r="P15" s="56" t="n"/>
      <c r="Q15" s="52" t="n"/>
      <c r="R15" s="52" t="n"/>
      <c r="S15" s="52" t="n"/>
      <c r="T15" s="52" t="n"/>
      <c r="U15" s="52" t="n"/>
      <c r="V15" s="52" t="n"/>
      <c r="W15" s="20" t="n"/>
      <c r="X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Вийшли на стипендію</t>
        </is>
      </c>
      <c r="F16" s="63">
        <f>'Зведена D5'!F36</f>
        <v/>
      </c>
      <c r="G16" s="6" t="n"/>
      <c r="H16" s="56" t="inlineStr">
        <is>
          <t>Завідувач відділення ПЗСО</t>
        </is>
      </c>
      <c r="I16" s="56" t="n"/>
      <c r="J16" s="56" t="n"/>
      <c r="K16" s="56" t="n"/>
      <c r="L16" s="56" t="n"/>
      <c r="M16" s="6" t="n"/>
      <c r="N16" s="6" t="n"/>
      <c r="O16" s="6" t="n"/>
      <c r="P16" s="56" t="inlineStr">
        <is>
          <t>Маргарита БРІТІКОВА</t>
        </is>
      </c>
      <c r="Q16" s="54" t="n"/>
      <c r="R16" s="54" t="n"/>
      <c r="S16" s="54" t="n"/>
      <c r="T16" s="54" t="n"/>
      <c r="U16" s="54" t="n"/>
      <c r="V16" s="54" t="n"/>
      <c r="W16" s="20" t="n"/>
      <c r="X16" s="39" t="n"/>
    </row>
    <row r="17" ht="15" customFormat="1" customHeight="1" s="11">
      <c r="A17" s="40" t="n"/>
      <c r="B17" s="21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5" t="n"/>
      <c r="X17" s="39" t="n"/>
    </row>
    <row r="18" ht="15" customFormat="1" customHeight="1" s="1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9" t="n"/>
    </row>
    <row r="19" hidden="1" ht="15" customFormat="1" customHeight="1" s="11"/>
    <row r="20" hidden="1" ht="15" customFormat="1" customHeight="1" s="11"/>
    <row r="21" hidden="1" ht="15" customFormat="1" customHeight="1" s="11"/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</sheetData>
  <mergeCells count="11">
    <mergeCell ref="E8:E9"/>
    <mergeCell ref="C8:C9"/>
    <mergeCell ref="C4:V4"/>
    <mergeCell ref="U8:U9"/>
    <mergeCell ref="C3:V3"/>
    <mergeCell ref="V8:V9"/>
    <mergeCell ref="C7:V7"/>
    <mergeCell ref="D8:D9"/>
    <mergeCell ref="C6:V6"/>
    <mergeCell ref="F8:T8"/>
    <mergeCell ref="C5:V5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X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11.3" customWidth="1" min="22" max="22"/>
    <col width="2.7" customWidth="1" min="23" max="23"/>
    <col width="2.7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7"/>
    <col hidden="1" width="14.42578125" customWidth="1" style="1" min="68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2" customHeight="1">
      <c r="A2" s="40" t="n"/>
      <c r="B2" s="28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30" t="n"/>
      <c r="X2" s="39" t="n"/>
    </row>
    <row r="3" ht="54.95" customFormat="1" customHeight="1" s="2">
      <c r="A3" s="40" t="n"/>
      <c r="B3" s="31" t="n"/>
      <c r="C3" s="75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32" t="n"/>
      <c r="X3" s="39" t="n"/>
    </row>
    <row r="4" ht="15" customFormat="1" customHeight="1" s="3">
      <c r="A4" s="40" t="n"/>
      <c r="B4" s="31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32" t="n"/>
      <c r="X4" s="39" t="n"/>
    </row>
    <row r="5" ht="15" customFormat="1" customHeight="1" s="2">
      <c r="A5" s="40" t="n"/>
      <c r="B5" s="31" t="n"/>
      <c r="C5" s="76">
        <f>'Зведена D7'!C5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32" t="n"/>
      <c r="X5" s="39" t="n"/>
    </row>
    <row r="6" ht="15" customFormat="1" customHeight="1" s="2">
      <c r="A6" s="40" t="n"/>
      <c r="B6" s="31" t="n"/>
      <c r="C6" s="76">
        <f>'Зведена D7'!C6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87" t="n"/>
      <c r="W6" s="32" t="n"/>
      <c r="X6" s="39" t="n"/>
    </row>
    <row r="7" ht="15" customFormat="1" customHeight="1" s="2">
      <c r="A7" s="40" t="n"/>
      <c r="B7" s="31" t="n"/>
      <c r="C7" s="77">
        <f>'Зведена D7'!C7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32" t="n"/>
      <c r="X7" s="39" t="n"/>
    </row>
    <row r="8" ht="15" customHeight="1">
      <c r="A8" s="40" t="n"/>
      <c r="B8" s="31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91" t="inlineStr">
        <is>
          <t>Рейтинговий бал</t>
        </is>
      </c>
      <c r="W8" s="32" t="n"/>
      <c r="X8" s="39" t="n"/>
    </row>
    <row r="9" ht="125.1" customHeight="1">
      <c r="A9" s="40" t="n"/>
      <c r="B9" s="31" t="n"/>
      <c r="C9" s="92" t="n"/>
      <c r="D9" s="92" t="n"/>
      <c r="E9" s="92" t="n"/>
      <c r="F9" s="50">
        <f>'Зведена D7'!F9</f>
        <v/>
      </c>
      <c r="G9" s="50">
        <f>'Зведена D7'!G9</f>
        <v/>
      </c>
      <c r="H9" s="50">
        <f>'Зведена D7'!H9</f>
        <v/>
      </c>
      <c r="I9" s="50">
        <f>'Зведена D7'!I9</f>
        <v/>
      </c>
      <c r="J9" s="50">
        <f>'Зведена D7'!J9</f>
        <v/>
      </c>
      <c r="K9" s="50">
        <f>'Зведена D7'!K9</f>
        <v/>
      </c>
      <c r="L9" s="50">
        <f>'Зведена D7'!L9</f>
        <v/>
      </c>
      <c r="M9" s="50">
        <f>'Зведена D7'!M9</f>
        <v/>
      </c>
      <c r="N9" s="50">
        <f>'Зведена D7'!N9</f>
        <v/>
      </c>
      <c r="O9" s="50">
        <f>'Зведена D7'!O9</f>
        <v/>
      </c>
      <c r="P9" s="50">
        <f>'Зведена D7'!P9</f>
        <v/>
      </c>
      <c r="Q9" s="50">
        <f>'Зведена D7'!Q9</f>
        <v/>
      </c>
      <c r="R9" s="50">
        <f>'Зведена D7'!R9</f>
        <v/>
      </c>
      <c r="S9" s="50">
        <f>'Зведена D7'!S9</f>
        <v/>
      </c>
      <c r="T9" s="50">
        <f>'Зведена D7'!T9</f>
        <v/>
      </c>
      <c r="U9" s="92" t="n"/>
      <c r="V9" s="92" t="n"/>
      <c r="W9" s="32" t="n"/>
      <c r="X9" s="39" t="n"/>
    </row>
    <row r="10" ht="15" customFormat="1" customHeight="1" s="11">
      <c r="A10" s="40" t="n"/>
      <c r="B10" s="31" t="n"/>
      <c r="C10" s="93">
        <f>'Зведена D7'!C33</f>
        <v/>
      </c>
      <c r="D10" s="93" t="n">
        <v>1</v>
      </c>
      <c r="E10" s="94">
        <f>'Зведена D7'!E33</f>
        <v/>
      </c>
      <c r="F10" s="93">
        <f>'Зведена D7'!F33</f>
        <v/>
      </c>
      <c r="G10" s="93">
        <f>'Зведена D7'!G33</f>
        <v/>
      </c>
      <c r="H10" s="93">
        <f>'Зведена D7'!H33</f>
        <v/>
      </c>
      <c r="I10" s="93">
        <f>'Зведена D7'!I33</f>
        <v/>
      </c>
      <c r="J10" s="93">
        <f>'Зведена D7'!J33</f>
        <v/>
      </c>
      <c r="K10" s="93">
        <f>'Зведена D7'!K33</f>
        <v/>
      </c>
      <c r="L10" s="93">
        <f>'Зведена D7'!L33</f>
        <v/>
      </c>
      <c r="M10" s="93">
        <f>'Зведена D7'!M33</f>
        <v/>
      </c>
      <c r="N10" s="93">
        <f>'Зведена D7'!N33</f>
        <v/>
      </c>
      <c r="O10" s="93">
        <f>'Зведена D7'!O33</f>
        <v/>
      </c>
      <c r="P10" s="93">
        <f>'Зведена D7'!P33</f>
        <v/>
      </c>
      <c r="Q10" s="93">
        <f>'Зведена D7'!Q33</f>
        <v/>
      </c>
      <c r="R10" s="93">
        <f>'Зведена D7'!R33</f>
        <v/>
      </c>
      <c r="S10" s="93">
        <f>'Зведена D7'!S33</f>
        <v/>
      </c>
      <c r="T10" s="93">
        <f>'Зведена D7'!T33</f>
        <v/>
      </c>
      <c r="U10" s="97">
        <f>IF(COUNTIF($F10:T10,"=*")&gt;0,IF($C10="К","-"," - "),IF(COUNTIF($F10:T10,"&lt;4")&gt;0,IF(C10="К","-"," - "),(IFERROR(AVERAGE($F10:T10),"Очікую"))))</f>
        <v/>
      </c>
      <c r="V10" s="97">
        <f>IFERROR(U10/12*90,"Очікую")</f>
        <v/>
      </c>
      <c r="W10" s="33" t="n"/>
      <c r="X10" s="39" t="n"/>
    </row>
    <row r="11" ht="15" customFormat="1" customHeight="1" s="11">
      <c r="A11" s="40" t="n"/>
      <c r="B11" s="31" t="n"/>
      <c r="C11" s="93">
        <f>'Зведена D7'!C27</f>
        <v/>
      </c>
      <c r="D11" s="93" t="n">
        <v>2</v>
      </c>
      <c r="E11" s="94">
        <f>'Зведена D7'!E27</f>
        <v/>
      </c>
      <c r="F11" s="93">
        <f>'Зведена D7'!F27</f>
        <v/>
      </c>
      <c r="G11" s="93">
        <f>'Зведена D7'!G27</f>
        <v/>
      </c>
      <c r="H11" s="93">
        <f>'Зведена D7'!H27</f>
        <v/>
      </c>
      <c r="I11" s="93">
        <f>'Зведена D7'!I27</f>
        <v/>
      </c>
      <c r="J11" s="93">
        <f>'Зведена D7'!J27</f>
        <v/>
      </c>
      <c r="K11" s="93">
        <f>'Зведена D7'!K27</f>
        <v/>
      </c>
      <c r="L11" s="93">
        <f>'Зведена D7'!L27</f>
        <v/>
      </c>
      <c r="M11" s="93">
        <f>'Зведена D7'!M27</f>
        <v/>
      </c>
      <c r="N11" s="93">
        <f>'Зведена D7'!N27</f>
        <v/>
      </c>
      <c r="O11" s="93">
        <f>'Зведена D7'!O27</f>
        <v/>
      </c>
      <c r="P11" s="93">
        <f>'Зведена D7'!P27</f>
        <v/>
      </c>
      <c r="Q11" s="93">
        <f>'Зведена D7'!Q27</f>
        <v/>
      </c>
      <c r="R11" s="93">
        <f>'Зведена D7'!R27</f>
        <v/>
      </c>
      <c r="S11" s="93">
        <f>'Зведена D7'!S27</f>
        <v/>
      </c>
      <c r="T11" s="93">
        <f>'Зведена D7'!T27</f>
        <v/>
      </c>
      <c r="U11" s="97">
        <f>IF(COUNTIF($F11:T11,"=*")&gt;0,IF($C11="К","-"," - "),IF(COUNTIF($F11:T11,"&lt;4")&gt;0,IF(C11="К","-"," - "),(IFERROR(AVERAGE($F11:T11),"Очікую"))))</f>
        <v/>
      </c>
      <c r="V11" s="97">
        <f>IFERROR(U11/12*90,"Очікую")</f>
        <v/>
      </c>
      <c r="W11" s="33" t="n"/>
      <c r="X11" s="39" t="n"/>
    </row>
    <row r="12" ht="15" customFormat="1" customHeight="1" s="11">
      <c r="A12" s="40" t="n"/>
      <c r="B12" s="31" t="n"/>
      <c r="C12" s="93">
        <f>'Зведена D7'!C17</f>
        <v/>
      </c>
      <c r="D12" s="93" t="n">
        <v>3</v>
      </c>
      <c r="E12" s="94">
        <f>'Зведена D7'!E17</f>
        <v/>
      </c>
      <c r="F12" s="93">
        <f>'Зведена D7'!F17</f>
        <v/>
      </c>
      <c r="G12" s="93">
        <f>'Зведена D7'!G17</f>
        <v/>
      </c>
      <c r="H12" s="93">
        <f>'Зведена D7'!H17</f>
        <v/>
      </c>
      <c r="I12" s="93">
        <f>'Зведена D7'!I17</f>
        <v/>
      </c>
      <c r="J12" s="93">
        <f>'Зведена D7'!J17</f>
        <v/>
      </c>
      <c r="K12" s="93">
        <f>'Зведена D7'!K17</f>
        <v/>
      </c>
      <c r="L12" s="93">
        <f>'Зведена D7'!L17</f>
        <v/>
      </c>
      <c r="M12" s="93">
        <f>'Зведена D7'!M17</f>
        <v/>
      </c>
      <c r="N12" s="93">
        <f>'Зведена D7'!N17</f>
        <v/>
      </c>
      <c r="O12" s="93">
        <f>'Зведена D7'!O17</f>
        <v/>
      </c>
      <c r="P12" s="93">
        <f>'Зведена D7'!P17</f>
        <v/>
      </c>
      <c r="Q12" s="93">
        <f>'Зведена D7'!Q17</f>
        <v/>
      </c>
      <c r="R12" s="93">
        <f>'Зведена D7'!R17</f>
        <v/>
      </c>
      <c r="S12" s="93">
        <f>'Зведена D7'!S17</f>
        <v/>
      </c>
      <c r="T12" s="93">
        <f>'Зведена D7'!T17</f>
        <v/>
      </c>
      <c r="U12" s="97">
        <f>IF(COUNTIF($F12:T12,"=*")&gt;0,IF($C12="К","-"," - "),IF(COUNTIF($F12:T12,"&lt;4")&gt;0,IF(C12="К","-"," - "),(IFERROR(AVERAGE($F12:T12),"Очікую"))))</f>
        <v/>
      </c>
      <c r="V12" s="97">
        <f>IFERROR(U12/12*90,"Очікую")</f>
        <v/>
      </c>
      <c r="W12" s="33" t="n"/>
      <c r="X12" s="39" t="n"/>
    </row>
    <row r="13" ht="15" customFormat="1" customHeight="1" s="11">
      <c r="A13" s="40" t="n"/>
      <c r="B13" s="31" t="n"/>
      <c r="C13" s="93">
        <f>'Зведена D7'!C14</f>
        <v/>
      </c>
      <c r="D13" s="93" t="n">
        <v>4</v>
      </c>
      <c r="E13" s="94">
        <f>'Зведена D7'!E14</f>
        <v/>
      </c>
      <c r="F13" s="93">
        <f>'Зведена D7'!F14</f>
        <v/>
      </c>
      <c r="G13" s="93">
        <f>'Зведена D7'!G14</f>
        <v/>
      </c>
      <c r="H13" s="93">
        <f>'Зведена D7'!H14</f>
        <v/>
      </c>
      <c r="I13" s="93">
        <f>'Зведена D7'!I14</f>
        <v/>
      </c>
      <c r="J13" s="93">
        <f>'Зведена D7'!J14</f>
        <v/>
      </c>
      <c r="K13" s="93">
        <f>'Зведена D7'!K14</f>
        <v/>
      </c>
      <c r="L13" s="93">
        <f>'Зведена D7'!L14</f>
        <v/>
      </c>
      <c r="M13" s="93">
        <f>'Зведена D7'!M14</f>
        <v/>
      </c>
      <c r="N13" s="93">
        <f>'Зведена D7'!N14</f>
        <v/>
      </c>
      <c r="O13" s="93">
        <f>'Зведена D7'!O14</f>
        <v/>
      </c>
      <c r="P13" s="93">
        <f>'Зведена D7'!P14</f>
        <v/>
      </c>
      <c r="Q13" s="93">
        <f>'Зведена D7'!Q14</f>
        <v/>
      </c>
      <c r="R13" s="93">
        <f>'Зведена D7'!R14</f>
        <v/>
      </c>
      <c r="S13" s="93">
        <f>'Зведена D7'!S14</f>
        <v/>
      </c>
      <c r="T13" s="93">
        <f>'Зведена D7'!T14</f>
        <v/>
      </c>
      <c r="U13" s="97">
        <f>IF(COUNTIF($F13:T13,"=*")&gt;0,IF($C13="К","-"," - "),IF(COUNTIF($F13:T13,"&lt;4")&gt;0,IF(C13="К","-"," - "),(IFERROR(AVERAGE($F13:T13),"Очікую"))))</f>
        <v/>
      </c>
      <c r="V13" s="97">
        <f>IFERROR(U13/12*90,"Очікую")</f>
        <v/>
      </c>
      <c r="W13" s="33" t="n"/>
      <c r="X13" s="39" t="n"/>
    </row>
    <row r="14" ht="15" customFormat="1" customHeight="1" s="11">
      <c r="A14" s="40" t="n"/>
      <c r="B14" s="31" t="n"/>
      <c r="C14" s="93">
        <f>'Зведена D7'!C22</f>
        <v/>
      </c>
      <c r="D14" s="93" t="n">
        <v>5</v>
      </c>
      <c r="E14" s="94">
        <f>'Зведена D7'!E22</f>
        <v/>
      </c>
      <c r="F14" s="93">
        <f>'Зведена D7'!F22</f>
        <v/>
      </c>
      <c r="G14" s="93">
        <f>'Зведена D7'!G22</f>
        <v/>
      </c>
      <c r="H14" s="93">
        <f>'Зведена D7'!H22</f>
        <v/>
      </c>
      <c r="I14" s="93">
        <f>'Зведена D7'!I22</f>
        <v/>
      </c>
      <c r="J14" s="93">
        <f>'Зведена D7'!J22</f>
        <v/>
      </c>
      <c r="K14" s="93">
        <f>'Зведена D7'!K22</f>
        <v/>
      </c>
      <c r="L14" s="93">
        <f>'Зведена D7'!L22</f>
        <v/>
      </c>
      <c r="M14" s="93">
        <f>'Зведена D7'!M22</f>
        <v/>
      </c>
      <c r="N14" s="93">
        <f>'Зведена D7'!N22</f>
        <v/>
      </c>
      <c r="O14" s="93">
        <f>'Зведена D7'!O22</f>
        <v/>
      </c>
      <c r="P14" s="93">
        <f>'Зведена D7'!P22</f>
        <v/>
      </c>
      <c r="Q14" s="93">
        <f>'Зведена D7'!Q22</f>
        <v/>
      </c>
      <c r="R14" s="93">
        <f>'Зведена D7'!R22</f>
        <v/>
      </c>
      <c r="S14" s="93">
        <f>'Зведена D7'!S22</f>
        <v/>
      </c>
      <c r="T14" s="93">
        <f>'Зведена D7'!T22</f>
        <v/>
      </c>
      <c r="U14" s="97">
        <f>IF(COUNTIF($F14:T14,"=*")&gt;0,IF($C14="К","-"," - "),IF(COUNTIF($F14:T14,"&lt;4")&gt;0,IF(C14="К","-"," - "),(IFERROR(AVERAGE($F14:T14),"Очікую"))))</f>
        <v/>
      </c>
      <c r="V14" s="97">
        <f>IFERROR(U14/12*90,"Очікую")</f>
        <v/>
      </c>
      <c r="W14" s="33" t="n"/>
      <c r="X14" s="39" t="n"/>
    </row>
    <row r="15" ht="15" customFormat="1" customHeight="1" s="11">
      <c r="A15" s="40" t="n"/>
      <c r="B15" s="31" t="n"/>
      <c r="C15" s="47">
        <f>'Зведена D7'!C18</f>
        <v/>
      </c>
      <c r="D15" s="47" t="n">
        <v>6</v>
      </c>
      <c r="E15" s="48">
        <f>'Зведена D7'!E18</f>
        <v/>
      </c>
      <c r="F15" s="47">
        <f>'Зведена D7'!F18</f>
        <v/>
      </c>
      <c r="G15" s="47">
        <f>'Зведена D7'!G18</f>
        <v/>
      </c>
      <c r="H15" s="47">
        <f>'Зведена D7'!H18</f>
        <v/>
      </c>
      <c r="I15" s="47">
        <f>'Зведена D7'!I18</f>
        <v/>
      </c>
      <c r="J15" s="47">
        <f>'Зведена D7'!J18</f>
        <v/>
      </c>
      <c r="K15" s="47">
        <f>'Зведена D7'!K18</f>
        <v/>
      </c>
      <c r="L15" s="47">
        <f>'Зведена D7'!L18</f>
        <v/>
      </c>
      <c r="M15" s="47">
        <f>'Зведена D7'!M18</f>
        <v/>
      </c>
      <c r="N15" s="47">
        <f>'Зведена D7'!N18</f>
        <v/>
      </c>
      <c r="O15" s="47">
        <f>'Зведена D7'!O18</f>
        <v/>
      </c>
      <c r="P15" s="47">
        <f>'Зведена D7'!P18</f>
        <v/>
      </c>
      <c r="Q15" s="47">
        <f>'Зведена D7'!Q18</f>
        <v/>
      </c>
      <c r="R15" s="47">
        <f>'Зведена D7'!R18</f>
        <v/>
      </c>
      <c r="S15" s="47">
        <f>'Зведена D7'!S18</f>
        <v/>
      </c>
      <c r="T15" s="47">
        <f>'Зведена D7'!T18</f>
        <v/>
      </c>
      <c r="U15" s="51">
        <f>IF(COUNTIF($F15:T15,"=*")&gt;0,IF($C15="К","-"," - "),IF(COUNTIF($F15:T15,"&lt;4")&gt;0,IF(C15="К","-"," - "),(IFERROR(AVERAGE($F15:T15),"Очікую"))))</f>
        <v/>
      </c>
      <c r="V15" s="51">
        <f>IFERROR(U15/12*90,"Очікую")</f>
        <v/>
      </c>
      <c r="W15" s="33" t="n"/>
      <c r="X15" s="39" t="n"/>
    </row>
    <row r="16" ht="15" customFormat="1" customHeight="1" s="11">
      <c r="A16" s="40" t="n"/>
      <c r="B16" s="31" t="n"/>
      <c r="C16" s="47">
        <f>'Зведена D7'!C32</f>
        <v/>
      </c>
      <c r="D16" s="47" t="n">
        <v>7</v>
      </c>
      <c r="E16" s="48">
        <f>'Зведена D7'!E32</f>
        <v/>
      </c>
      <c r="F16" s="47">
        <f>'Зведена D7'!F32</f>
        <v/>
      </c>
      <c r="G16" s="47">
        <f>'Зведена D7'!G32</f>
        <v/>
      </c>
      <c r="H16" s="47">
        <f>'Зведена D7'!H32</f>
        <v/>
      </c>
      <c r="I16" s="47">
        <f>'Зведена D7'!I32</f>
        <v/>
      </c>
      <c r="J16" s="47">
        <f>'Зведена D7'!J32</f>
        <v/>
      </c>
      <c r="K16" s="47">
        <f>'Зведена D7'!K32</f>
        <v/>
      </c>
      <c r="L16" s="47">
        <f>'Зведена D7'!L32</f>
        <v/>
      </c>
      <c r="M16" s="47">
        <f>'Зведена D7'!M32</f>
        <v/>
      </c>
      <c r="N16" s="47">
        <f>'Зведена D7'!N32</f>
        <v/>
      </c>
      <c r="O16" s="47">
        <f>'Зведена D7'!O32</f>
        <v/>
      </c>
      <c r="P16" s="47">
        <f>'Зведена D7'!P32</f>
        <v/>
      </c>
      <c r="Q16" s="47">
        <f>'Зведена D7'!Q32</f>
        <v/>
      </c>
      <c r="R16" s="47">
        <f>'Зведена D7'!R32</f>
        <v/>
      </c>
      <c r="S16" s="47">
        <f>'Зведена D7'!S32</f>
        <v/>
      </c>
      <c r="T16" s="47">
        <f>'Зведена D7'!T32</f>
        <v/>
      </c>
      <c r="U16" s="51">
        <f>IF(COUNTIF($F16:T16,"=*")&gt;0,IF($C16="К","-"," - "),IF(COUNTIF($F16:T16,"&lt;4")&gt;0,IF(C16="К","-"," - "),(IFERROR(AVERAGE($F16:T16),"Очікую"))))</f>
        <v/>
      </c>
      <c r="V16" s="51">
        <f>IFERROR(U16/12*90,"Очікую")</f>
        <v/>
      </c>
      <c r="W16" s="33" t="n"/>
      <c r="X16" s="39" t="n"/>
    </row>
    <row r="17" ht="15" customFormat="1" customHeight="1" s="11">
      <c r="A17" s="40" t="n"/>
      <c r="B17" s="31" t="n"/>
      <c r="C17" s="47">
        <f>'Зведена D7'!C20</f>
        <v/>
      </c>
      <c r="D17" s="47" t="n">
        <v>8</v>
      </c>
      <c r="E17" s="48">
        <f>'Зведена D7'!E20</f>
        <v/>
      </c>
      <c r="F17" s="47">
        <f>'Зведена D7'!F20</f>
        <v/>
      </c>
      <c r="G17" s="47">
        <f>'Зведена D7'!G20</f>
        <v/>
      </c>
      <c r="H17" s="47">
        <f>'Зведена D7'!H20</f>
        <v/>
      </c>
      <c r="I17" s="47">
        <f>'Зведена D7'!I20</f>
        <v/>
      </c>
      <c r="J17" s="47">
        <f>'Зведена D7'!J20</f>
        <v/>
      </c>
      <c r="K17" s="47">
        <f>'Зведена D7'!K20</f>
        <v/>
      </c>
      <c r="L17" s="47">
        <f>'Зведена D7'!L20</f>
        <v/>
      </c>
      <c r="M17" s="47">
        <f>'Зведена D7'!M20</f>
        <v/>
      </c>
      <c r="N17" s="47">
        <f>'Зведена D7'!N20</f>
        <v/>
      </c>
      <c r="O17" s="47">
        <f>'Зведена D7'!O20</f>
        <v/>
      </c>
      <c r="P17" s="47">
        <f>'Зведена D7'!P20</f>
        <v/>
      </c>
      <c r="Q17" s="47">
        <f>'Зведена D7'!Q20</f>
        <v/>
      </c>
      <c r="R17" s="47">
        <f>'Зведена D7'!R20</f>
        <v/>
      </c>
      <c r="S17" s="47">
        <f>'Зведена D7'!S20</f>
        <v/>
      </c>
      <c r="T17" s="47">
        <f>'Зведена D7'!T20</f>
        <v/>
      </c>
      <c r="U17" s="51">
        <f>IF(COUNTIF($F17:T17,"=*")&gt;0,IF($C17="К","-"," - "),IF(COUNTIF($F17:T17,"&lt;4")&gt;0,IF(C17="К","-"," - "),(IFERROR(AVERAGE($F17:T17),"Очікую"))))</f>
        <v/>
      </c>
      <c r="V17" s="51">
        <f>IFERROR(U17/12*90,"Очікую")</f>
        <v/>
      </c>
      <c r="W17" s="33" t="n"/>
      <c r="X17" s="39" t="n"/>
    </row>
    <row r="18" ht="15" customFormat="1" customHeight="1" s="11">
      <c r="A18" s="40" t="n"/>
      <c r="B18" s="31" t="n"/>
      <c r="C18" s="47">
        <f>'Зведена D7'!C10</f>
        <v/>
      </c>
      <c r="D18" s="47" t="n">
        <v>9</v>
      </c>
      <c r="E18" s="48">
        <f>'Зведена D7'!E10</f>
        <v/>
      </c>
      <c r="F18" s="47">
        <f>'Зведена D7'!F10</f>
        <v/>
      </c>
      <c r="G18" s="47">
        <f>'Зведена D7'!G10</f>
        <v/>
      </c>
      <c r="H18" s="47">
        <f>'Зведена D7'!H10</f>
        <v/>
      </c>
      <c r="I18" s="47">
        <f>'Зведена D7'!I10</f>
        <v/>
      </c>
      <c r="J18" s="47">
        <f>'Зведена D7'!J10</f>
        <v/>
      </c>
      <c r="K18" s="47">
        <f>'Зведена D7'!K10</f>
        <v/>
      </c>
      <c r="L18" s="47">
        <f>'Зведена D7'!L10</f>
        <v/>
      </c>
      <c r="M18" s="47">
        <f>'Зведена D7'!M10</f>
        <v/>
      </c>
      <c r="N18" s="47">
        <f>'Зведена D7'!N10</f>
        <v/>
      </c>
      <c r="O18" s="47">
        <f>'Зведена D7'!O10</f>
        <v/>
      </c>
      <c r="P18" s="47">
        <f>'Зведена D7'!P10</f>
        <v/>
      </c>
      <c r="Q18" s="47">
        <f>'Зведена D7'!Q10</f>
        <v/>
      </c>
      <c r="R18" s="47">
        <f>'Зведена D7'!R10</f>
        <v/>
      </c>
      <c r="S18" s="47">
        <f>'Зведена D7'!S10</f>
        <v/>
      </c>
      <c r="T18" s="47">
        <f>'Зведена D7'!T10</f>
        <v/>
      </c>
      <c r="U18" s="51">
        <f>IF(COUNTIF($F18:T18,"=*")&gt;0,IF($C18="К","-"," - "),IF(COUNTIF($F18:T18,"&lt;4")&gt;0,IF(C18="К","-"," - "),(IFERROR(AVERAGE($F18:T18),"Очікую"))))</f>
        <v/>
      </c>
      <c r="V18" s="51">
        <f>IFERROR(U18/12*90,"Очікую")</f>
        <v/>
      </c>
      <c r="W18" s="33" t="n"/>
      <c r="X18" s="39" t="n"/>
    </row>
    <row r="19" ht="15" customFormat="1" customHeight="1" s="11">
      <c r="A19" s="40" t="n"/>
      <c r="B19" s="31" t="n"/>
      <c r="C19" s="47">
        <f>'Зведена D7'!C11</f>
        <v/>
      </c>
      <c r="D19" s="47" t="n">
        <v>10</v>
      </c>
      <c r="E19" s="48">
        <f>'Зведена D7'!E11</f>
        <v/>
      </c>
      <c r="F19" s="47">
        <f>'Зведена D7'!F11</f>
        <v/>
      </c>
      <c r="G19" s="47">
        <f>'Зведена D7'!G11</f>
        <v/>
      </c>
      <c r="H19" s="47">
        <f>'Зведена D7'!H11</f>
        <v/>
      </c>
      <c r="I19" s="47">
        <f>'Зведена D7'!I11</f>
        <v/>
      </c>
      <c r="J19" s="47">
        <f>'Зведена D7'!J11</f>
        <v/>
      </c>
      <c r="K19" s="47">
        <f>'Зведена D7'!K11</f>
        <v/>
      </c>
      <c r="L19" s="47">
        <f>'Зведена D7'!L11</f>
        <v/>
      </c>
      <c r="M19" s="47">
        <f>'Зведена D7'!M11</f>
        <v/>
      </c>
      <c r="N19" s="47">
        <f>'Зведена D7'!N11</f>
        <v/>
      </c>
      <c r="O19" s="47">
        <f>'Зведена D7'!O11</f>
        <v/>
      </c>
      <c r="P19" s="47">
        <f>'Зведена D7'!P11</f>
        <v/>
      </c>
      <c r="Q19" s="47">
        <f>'Зведена D7'!Q11</f>
        <v/>
      </c>
      <c r="R19" s="47">
        <f>'Зведена D7'!R11</f>
        <v/>
      </c>
      <c r="S19" s="47">
        <f>'Зведена D7'!S11</f>
        <v/>
      </c>
      <c r="T19" s="47">
        <f>'Зведена D7'!T11</f>
        <v/>
      </c>
      <c r="U19" s="51">
        <f>IF(COUNTIF($F19:T19,"=*")&gt;0,IF($C19="К","-"," - "),IF(COUNTIF($F19:T19,"&lt;4")&gt;0,IF(C19="К","-"," - "),(IFERROR(AVERAGE($F19:T19),"Очікую"))))</f>
        <v/>
      </c>
      <c r="V19" s="51">
        <f>IFERROR(U19/12*90,"Очікую")</f>
        <v/>
      </c>
      <c r="W19" s="33" t="n"/>
      <c r="X19" s="39" t="n"/>
    </row>
    <row r="20" ht="15" customFormat="1" customHeight="1" s="11">
      <c r="A20" s="40" t="n"/>
      <c r="B20" s="31" t="n"/>
      <c r="C20" s="47">
        <f>'Зведена D7'!C16</f>
        <v/>
      </c>
      <c r="D20" s="47" t="n">
        <v>11</v>
      </c>
      <c r="E20" s="48">
        <f>'Зведена D7'!E16</f>
        <v/>
      </c>
      <c r="F20" s="47">
        <f>'Зведена D7'!F16</f>
        <v/>
      </c>
      <c r="G20" s="47">
        <f>'Зведена D7'!G16</f>
        <v/>
      </c>
      <c r="H20" s="47">
        <f>'Зведена D7'!H16</f>
        <v/>
      </c>
      <c r="I20" s="47">
        <f>'Зведена D7'!I16</f>
        <v/>
      </c>
      <c r="J20" s="47">
        <f>'Зведена D7'!J16</f>
        <v/>
      </c>
      <c r="K20" s="47">
        <f>'Зведена D7'!K16</f>
        <v/>
      </c>
      <c r="L20" s="47">
        <f>'Зведена D7'!L16</f>
        <v/>
      </c>
      <c r="M20" s="47">
        <f>'Зведена D7'!M16</f>
        <v/>
      </c>
      <c r="N20" s="47">
        <f>'Зведена D7'!N16</f>
        <v/>
      </c>
      <c r="O20" s="47">
        <f>'Зведена D7'!O16</f>
        <v/>
      </c>
      <c r="P20" s="47">
        <f>'Зведена D7'!P16</f>
        <v/>
      </c>
      <c r="Q20" s="47">
        <f>'Зведена D7'!Q16</f>
        <v/>
      </c>
      <c r="R20" s="47">
        <f>'Зведена D7'!R16</f>
        <v/>
      </c>
      <c r="S20" s="47">
        <f>'Зведена D7'!S16</f>
        <v/>
      </c>
      <c r="T20" s="47">
        <f>'Зведена D7'!T16</f>
        <v/>
      </c>
      <c r="U20" s="51">
        <f>IF(COUNTIF($F20:T20,"=*")&gt;0,IF($C20="К","-"," - "),IF(COUNTIF($F20:T20,"&lt;4")&gt;0,IF(C20="К","-"," - "),(IFERROR(AVERAGE($F20:T20),"Очікую"))))</f>
        <v/>
      </c>
      <c r="V20" s="51">
        <f>IFERROR(U20/12*90,"Очікую")</f>
        <v/>
      </c>
      <c r="W20" s="33" t="n"/>
      <c r="X20" s="39" t="n"/>
    </row>
    <row r="21" ht="15" customFormat="1" customHeight="1" s="11">
      <c r="A21" s="40" t="n"/>
      <c r="B21" s="31" t="n"/>
      <c r="C21" s="47">
        <f>'Зведена D7'!C24</f>
        <v/>
      </c>
      <c r="D21" s="47" t="n">
        <v>12</v>
      </c>
      <c r="E21" s="48">
        <f>'Зведена D7'!E24</f>
        <v/>
      </c>
      <c r="F21" s="47">
        <f>'Зведена D7'!F24</f>
        <v/>
      </c>
      <c r="G21" s="47">
        <f>'Зведена D7'!G24</f>
        <v/>
      </c>
      <c r="H21" s="47">
        <f>'Зведена D7'!H24</f>
        <v/>
      </c>
      <c r="I21" s="47">
        <f>'Зведена D7'!I24</f>
        <v/>
      </c>
      <c r="J21" s="47">
        <f>'Зведена D7'!J24</f>
        <v/>
      </c>
      <c r="K21" s="47">
        <f>'Зведена D7'!K24</f>
        <v/>
      </c>
      <c r="L21" s="47">
        <f>'Зведена D7'!L24</f>
        <v/>
      </c>
      <c r="M21" s="47">
        <f>'Зведена D7'!M24</f>
        <v/>
      </c>
      <c r="N21" s="47">
        <f>'Зведена D7'!N24</f>
        <v/>
      </c>
      <c r="O21" s="47">
        <f>'Зведена D7'!O24</f>
        <v/>
      </c>
      <c r="P21" s="47">
        <f>'Зведена D7'!P24</f>
        <v/>
      </c>
      <c r="Q21" s="47">
        <f>'Зведена D7'!Q24</f>
        <v/>
      </c>
      <c r="R21" s="47">
        <f>'Зведена D7'!R24</f>
        <v/>
      </c>
      <c r="S21" s="47">
        <f>'Зведена D7'!S24</f>
        <v/>
      </c>
      <c r="T21" s="47">
        <f>'Зведена D7'!T24</f>
        <v/>
      </c>
      <c r="U21" s="51">
        <f>IF(COUNTIF($F21:T21,"=*")&gt;0,IF($C21="К","-"," - "),IF(COUNTIF($F21:T21,"&lt;4")&gt;0,IF(C21="К","-"," - "),(IFERROR(AVERAGE($F21:T21),"Очікую"))))</f>
        <v/>
      </c>
      <c r="V21" s="51">
        <f>IFERROR(U21/12*90,"Очікую")</f>
        <v/>
      </c>
      <c r="W21" s="33" t="n"/>
      <c r="X21" s="39" t="n"/>
    </row>
    <row r="22" ht="15" customFormat="1" customHeight="1" s="11">
      <c r="A22" s="40" t="n"/>
      <c r="B22" s="31" t="n"/>
      <c r="C22" s="24" t="n"/>
      <c r="D22" s="24" t="n"/>
      <c r="E22" s="25" t="inlineStr">
        <is>
          <t>Кількість бюджетників</t>
        </is>
      </c>
      <c r="F22" s="63">
        <f>'Зведена D7'!F45</f>
        <v/>
      </c>
      <c r="G22" s="6" t="n"/>
      <c r="H22" s="6" t="n"/>
      <c r="I22" s="24" t="n"/>
      <c r="J22" s="24" t="n"/>
      <c r="K22" s="24" t="n"/>
      <c r="L22" s="24" t="n"/>
      <c r="M22" s="24" t="n"/>
      <c r="N22" s="24" t="n"/>
      <c r="O22" s="24" t="n"/>
      <c r="P22" s="27" t="n"/>
      <c r="Q22" s="26" t="n"/>
      <c r="R22" s="24" t="n"/>
      <c r="S22" s="24" t="n"/>
      <c r="T22" s="24" t="n"/>
      <c r="U22" s="24" t="n"/>
      <c r="V22" s="24" t="n"/>
      <c r="W22" s="32" t="n"/>
      <c r="X22" s="39" t="n"/>
    </row>
    <row r="23" ht="15" customFormat="1" customHeight="1" s="11">
      <c r="A23" s="40" t="n"/>
      <c r="B23" s="31" t="n"/>
      <c r="C23" s="24" t="n"/>
      <c r="D23" s="24" t="n"/>
      <c r="E23" s="25" t="inlineStr">
        <is>
          <t>Кількість контрактників</t>
        </is>
      </c>
      <c r="F23" s="63">
        <f>'Зведена D7'!F46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55" t="n"/>
      <c r="M23" s="6" t="n"/>
      <c r="N23" s="6" t="n"/>
      <c r="O23" s="6" t="n"/>
      <c r="P23" s="56">
        <f>'Зведена D7'!P46</f>
        <v/>
      </c>
      <c r="Q23" s="56" t="n"/>
      <c r="R23" s="56" t="n"/>
      <c r="S23" s="56" t="n"/>
      <c r="T23" s="56" t="n"/>
      <c r="U23" s="56" t="n"/>
      <c r="V23" s="24" t="n"/>
      <c r="W23" s="32" t="n"/>
      <c r="X23" s="39" t="n"/>
    </row>
    <row r="24" ht="15" customFormat="1" customHeight="1" s="11">
      <c r="A24" s="40" t="n"/>
      <c r="B24" s="31" t="n"/>
      <c r="C24" s="24" t="n"/>
      <c r="D24" s="24" t="n"/>
      <c r="E24" s="25" t="inlineStr">
        <is>
          <t>Кількість соціального контингенту</t>
        </is>
      </c>
      <c r="F24" s="63">
        <f>'Зведена D7'!F47</f>
        <v/>
      </c>
      <c r="G24" s="6" t="n"/>
      <c r="H24" s="10" t="n"/>
      <c r="I24" s="6" t="n"/>
      <c r="J24" s="6" t="n"/>
      <c r="K24" s="6" t="n"/>
      <c r="L24" s="6" t="n"/>
      <c r="M24" s="6" t="n"/>
      <c r="N24" s="6" t="n"/>
      <c r="O24" s="6" t="n"/>
      <c r="P24" s="10" t="n"/>
      <c r="Q24" s="10" t="n"/>
      <c r="R24" s="6" t="n"/>
      <c r="S24" s="6" t="n"/>
      <c r="T24" s="6" t="n"/>
      <c r="U24" s="6" t="n"/>
      <c r="V24" s="24" t="n"/>
      <c r="W24" s="32" t="n"/>
      <c r="X24" s="39" t="n"/>
    </row>
    <row r="25" ht="15" customFormat="1" customHeight="1" s="11">
      <c r="A25" s="40" t="n"/>
      <c r="B25" s="31" t="n"/>
      <c r="C25" s="24" t="n"/>
      <c r="D25" s="24" t="n"/>
      <c r="E25" s="25" t="inlineStr">
        <is>
          <t>Вийшли на стипендію</t>
        </is>
      </c>
      <c r="F25" s="63">
        <f>'Зведена D7'!F48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56" t="n"/>
      <c r="M25" s="6" t="n"/>
      <c r="N25" s="6" t="n"/>
      <c r="O25" s="6" t="n"/>
      <c r="P25" s="56" t="inlineStr">
        <is>
          <t>Маргарита БРІТІКОВА</t>
        </is>
      </c>
      <c r="Q25" s="56" t="n"/>
      <c r="R25" s="56" t="n"/>
      <c r="S25" s="56" t="n"/>
      <c r="T25" s="56" t="n"/>
      <c r="U25" s="56" t="n"/>
      <c r="V25" s="24" t="n"/>
      <c r="W25" s="32" t="n"/>
      <c r="X25" s="39" t="n"/>
    </row>
    <row r="26" ht="15" customFormat="1" customHeight="1" s="11">
      <c r="A26" s="40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6" t="n"/>
      <c r="X26" s="39" t="n"/>
    </row>
    <row r="27" ht="15" customFormat="1" customHeight="1" s="11">
      <c r="A27" s="3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39" t="n"/>
    </row>
    <row r="28" hidden="1" ht="15" customFormat="1" customHeight="1" s="11">
      <c r="A28" s="41" t="n"/>
      <c r="X28" s="41" t="n"/>
    </row>
    <row r="29" hidden="1" ht="15" customFormat="1" customHeight="1" s="11">
      <c r="A29" s="41" t="n"/>
      <c r="X29" s="41" t="n"/>
    </row>
    <row r="30" hidden="1" ht="15" customFormat="1" customHeight="1" s="11">
      <c r="A30" s="41" t="n"/>
      <c r="X30" s="41" t="n"/>
    </row>
    <row r="31" hidden="1" ht="15" customFormat="1" customHeight="1" s="11">
      <c r="A31" s="41" t="n"/>
      <c r="X31" s="41" t="n"/>
    </row>
    <row r="32" hidden="1" ht="15" customFormat="1" customHeight="1" s="1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  <row r="116" hidden="1" customHeight="1"/>
    <row r="117" hidden="1" customHeight="1"/>
    <row r="118" hidden="1" customHeight="1"/>
    <row r="119" hidden="1" customHeight="1"/>
    <row r="120" hidden="1" customHeight="1"/>
  </sheetData>
  <mergeCells count="11">
    <mergeCell ref="E8:E9"/>
    <mergeCell ref="C8:C9"/>
    <mergeCell ref="C4:V4"/>
    <mergeCell ref="U8:U9"/>
    <mergeCell ref="C3:V3"/>
    <mergeCell ref="V8:V9"/>
    <mergeCell ref="C7:V7"/>
    <mergeCell ref="D8:D9"/>
    <mergeCell ref="C6:V6"/>
    <mergeCell ref="F8:T8"/>
    <mergeCell ref="C5:V5"/>
  </mergeCells>
  <printOptions horizontalCentered="1"/>
  <pageMargins left="0.1968503937007874" right="0.1968503937007874" top="0.1968503937007874" bottom="0.1968503937007874" header="0" footer="0"/>
  <pageSetup orientation="landscape" paperSize="9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2026-06-18T10:02:31Z</dcterms:modified>
  <cp:lastModifiedBy>Maxim Surkov</cp:lastModifiedBy>
  <cp:lastPrinted>2026-01-07T15:30:50Z</cp:lastPrinted>
</cp:coreProperties>
</file>